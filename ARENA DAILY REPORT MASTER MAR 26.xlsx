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tabRatio="728" firstSheet="2" activeTab="4"/>
  </bookViews>
  <sheets>
    <sheet name="OUTLET WISE  " sheetId="2" state="hidden" r:id="rId1"/>
    <sheet name="DSE" sheetId="36" r:id="rId2"/>
    <sheet name="TL" sheetId="9" r:id="rId3"/>
    <sheet name="Outlet" sheetId="1" r:id="rId4"/>
    <sheet name="Finance" sheetId="29" r:id="rId5"/>
    <sheet name="Arena+Nexa" sheetId="35" r:id="rId6"/>
    <sheet name="RETAIL" sheetId="4" r:id="rId7"/>
    <sheet name="IH" sheetId="5" r:id="rId8"/>
    <sheet name="Booking" sheetId="12" r:id="rId9"/>
    <sheet name="Allotment" sheetId="37" r:id="rId10"/>
    <sheet name="Report" sheetId="34" r:id="rId11"/>
    <sheet name="Report 2" sheetId="38" r:id="rId12"/>
    <sheet name="Emp" sheetId="28" r:id="rId13"/>
    <sheet name="Sheet1" sheetId="27" state="hidden" r:id="rId14"/>
    <sheet name="ERP" sheetId="32" r:id="rId15"/>
    <sheet name="Sheet4" sheetId="24" state="hidden" r:id="rId16"/>
    <sheet name="Sheet6" sheetId="26" state="hidden" r:id="rId17"/>
    <sheet name="EQUA" sheetId="21" state="hidden" r:id="rId18"/>
    <sheet name="Location wise vol." sheetId="7" state="hidden" r:id="rId19"/>
    <sheet name="FORMULA" sheetId="16" state="hidden" r:id="rId20"/>
    <sheet name="THCR" sheetId="15" state="hidden" r:id="rId21"/>
  </sheets>
  <externalReferences>
    <externalReference r:id="rId22"/>
    <externalReference r:id="rId23"/>
  </externalReferences>
  <definedNames>
    <definedName name="_xlnm._FilterDatabase" localSheetId="6" hidden="1">RETAIL!$A$1:$AA$186</definedName>
    <definedName name="_xlnm._FilterDatabase" localSheetId="7" hidden="1">IH!$A$1:$AB$132</definedName>
    <definedName name="_xlnm._FilterDatabase" localSheetId="11" hidden="1">'Report 2'!$J$3:$P$29</definedName>
    <definedName name="_xlnm._FilterDatabase" localSheetId="20" hidden="1">THCR!$A$74:$U$82</definedName>
    <definedName name="_xlnm._FilterDatabase" localSheetId="9" hidden="1">Allotment!$A$1:$F$72</definedName>
    <definedName name="_xlnm._FilterDatabase" localSheetId="12" hidden="1">Emp!$A$1:$F$162</definedName>
    <definedName name="_xlnm._FilterDatabase" localSheetId="8" hidden="1">Booking!$A$1:$H$360</definedName>
    <definedName name="_xlnm._FilterDatabase" localSheetId="1" hidden="1">DSE!$B$2:$M$174</definedName>
    <definedName name="_xlnm._FilterDatabase" localSheetId="10" hidden="1">Report!#REF!</definedName>
    <definedName name="_xlnm._FilterDatabase" localSheetId="2" hidden="1">TL!$B$2:$M$33</definedName>
    <definedName name="_xlnm._FilterDatabase" localSheetId="5" hidden="1">'Arena+Nexa'!$B$3:$N$22</definedName>
    <definedName name="_xlnm._FilterDatabase" localSheetId="14" hidden="1">ERP!$A$1:$AP$2</definedName>
    <definedName name="_xlnm._FilterDatabase" localSheetId="4" hidden="1">Finance!$L$2:$T$20</definedName>
    <definedName name="_xlnm._FilterDatabase" localSheetId="3" hidden="1">Outlet!$B$2:$J$20</definedName>
    <definedName name="_xlnm._FilterDatabase" localSheetId="0" hidden="1">'OUTLET WISE  '!#REF!</definedName>
    <definedName name="_xlnm._FilterDatabase" localSheetId="15" hidden="1">Sheet4!$D$1:$E$28</definedName>
    <definedName name="_xlnm.Print_Area" localSheetId="5">'Arena+Nexa'!$A$1:$N$21</definedName>
    <definedName name="_xlnm.Print_Area" localSheetId="4">Finance!$A$1:$U$30</definedName>
    <definedName name="_xlnm.Print_Area" localSheetId="3">Outlet!$A$1:$V$21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<sst xmlns="http://schemas.openxmlformats.org/spreadsheetml/2006/main" count="17384" uniqueCount="4623">
  <si>
    <t xml:space="preserve">   Outlet Wise Report APRIL 2023</t>
  </si>
  <si>
    <t>Outlet</t>
  </si>
  <si>
    <t>Booking</t>
  </si>
  <si>
    <t>Retail</t>
  </si>
  <si>
    <t>SBI &amp; Other Banks</t>
  </si>
  <si>
    <t>In House</t>
  </si>
  <si>
    <t>Pending Login</t>
  </si>
  <si>
    <t>SBI Pending Login</t>
  </si>
  <si>
    <t>Pent%</t>
  </si>
  <si>
    <t>CF</t>
  </si>
  <si>
    <t>MSSF DISBURSED</t>
  </si>
  <si>
    <t>ALUVA</t>
  </si>
  <si>
    <t>ALVA</t>
  </si>
  <si>
    <t>ANGAMALY</t>
  </si>
  <si>
    <t>ANGLY</t>
  </si>
  <si>
    <t>CHAVAKKAD</t>
  </si>
  <si>
    <t>CHVKD</t>
  </si>
  <si>
    <t>EDAPPALLY</t>
  </si>
  <si>
    <t>EDPLY</t>
  </si>
  <si>
    <t>KADAVANTHRA</t>
  </si>
  <si>
    <t>KDVRA</t>
  </si>
  <si>
    <t>KODUNGALLOOR</t>
  </si>
  <si>
    <t>KDLR</t>
  </si>
  <si>
    <t>KAIPAMANGALAM</t>
  </si>
  <si>
    <t>KPLM</t>
  </si>
  <si>
    <t>KOOTHATTUKULAM</t>
  </si>
  <si>
    <t>KTLM</t>
  </si>
  <si>
    <t>KOLENCHERRY</t>
  </si>
  <si>
    <t>KLY</t>
  </si>
  <si>
    <t>PERUMBAVOOR</t>
  </si>
  <si>
    <t>PMBR</t>
  </si>
  <si>
    <t>PALAKKAD</t>
  </si>
  <si>
    <t>PLKD</t>
  </si>
  <si>
    <t>FORTKOCHI</t>
  </si>
  <si>
    <t>PIRAVOM</t>
  </si>
  <si>
    <t>PRVM</t>
  </si>
  <si>
    <t>SHOWROOM</t>
  </si>
  <si>
    <t>SHWRM</t>
  </si>
  <si>
    <t>THRISSUR</t>
  </si>
  <si>
    <t>THCR</t>
  </si>
  <si>
    <t>TRIPPUNITURA</t>
  </si>
  <si>
    <t>TPRA</t>
  </si>
  <si>
    <t>NEXA</t>
  </si>
  <si>
    <t>Total</t>
  </si>
  <si>
    <t>DSE PERFORMANCE - Mar-26</t>
  </si>
  <si>
    <t>ARENA</t>
  </si>
  <si>
    <t>TOTAL</t>
  </si>
  <si>
    <t>DSE</t>
  </si>
  <si>
    <t>SRM</t>
  </si>
  <si>
    <t>OUTLET</t>
  </si>
  <si>
    <t>RETAIL</t>
  </si>
  <si>
    <t>IH</t>
  </si>
  <si>
    <t>PENT%</t>
  </si>
  <si>
    <t>SALIH M S</t>
  </si>
  <si>
    <t>JAYESH</t>
  </si>
  <si>
    <t>PRAVEEN KUMAR B</t>
  </si>
  <si>
    <t>ELDHO A JACOB</t>
  </si>
  <si>
    <t>SREEJITH P P</t>
  </si>
  <si>
    <t>AMEENSHAH</t>
  </si>
  <si>
    <t>BHAGIESH</t>
  </si>
  <si>
    <t>AKHIL M B</t>
  </si>
  <si>
    <t>JITHIN CHANDRAN K C</t>
  </si>
  <si>
    <t>JOHNSON C D</t>
  </si>
  <si>
    <t>MIDHUL V M</t>
  </si>
  <si>
    <t>RISHAD K S</t>
  </si>
  <si>
    <t>ABHILASH P C</t>
  </si>
  <si>
    <t>ABHILASH K P</t>
  </si>
  <si>
    <t>MANOJ C S</t>
  </si>
  <si>
    <t>LANEESH A S</t>
  </si>
  <si>
    <t>MANU SASI</t>
  </si>
  <si>
    <t>MANU JOY</t>
  </si>
  <si>
    <t>THANVEER E A</t>
  </si>
  <si>
    <t>ANOUSH</t>
  </si>
  <si>
    <t>ANUKUTTAN K R</t>
  </si>
  <si>
    <t>NOUFAL T A</t>
  </si>
  <si>
    <t>SREENATH R PRABHU</t>
  </si>
  <si>
    <t>SALAS JUDE</t>
  </si>
  <si>
    <t>MARTIN GEORGE</t>
  </si>
  <si>
    <t>SUFIYAN K A</t>
  </si>
  <si>
    <t>SHEMEER A K</t>
  </si>
  <si>
    <t>RIYAS</t>
  </si>
  <si>
    <t>DINU S</t>
  </si>
  <si>
    <t>REJIM GEORGE</t>
  </si>
  <si>
    <t>MIDHUN SUGATHAN</t>
  </si>
  <si>
    <t>SERIN JOSEPH</t>
  </si>
  <si>
    <t>CHANCHAL K G</t>
  </si>
  <si>
    <t>FAIZAL K N</t>
  </si>
  <si>
    <t>AMAL RAJ ANTHONY</t>
  </si>
  <si>
    <t>RATISH K R</t>
  </si>
  <si>
    <t>AJITHVISHNU R</t>
  </si>
  <si>
    <t>VINAY T V</t>
  </si>
  <si>
    <t>ANANDA KRISHNAN P A</t>
  </si>
  <si>
    <t>SMITHIN P S</t>
  </si>
  <si>
    <t>AGHIL N U</t>
  </si>
  <si>
    <t>VIBIN I B</t>
  </si>
  <si>
    <t>VISHNU K R</t>
  </si>
  <si>
    <t>KASI VISWANATH</t>
  </si>
  <si>
    <t>SAJITH V S</t>
  </si>
  <si>
    <t>JAYAKRISHNAN K V</t>
  </si>
  <si>
    <t>BINOY RAJ</t>
  </si>
  <si>
    <t>KODUNGALLUR</t>
  </si>
  <si>
    <t>NIKESHKRISHNA P S</t>
  </si>
  <si>
    <t>AMALKRISHNA M K</t>
  </si>
  <si>
    <t>VIPIN K G</t>
  </si>
  <si>
    <t>UBAIS</t>
  </si>
  <si>
    <t>AJAY KRISHNA K R</t>
  </si>
  <si>
    <t>RIJITH</t>
  </si>
  <si>
    <t>STUDIO KDLR</t>
  </si>
  <si>
    <t>ANVAR SADATH</t>
  </si>
  <si>
    <t>SONY SIMON</t>
  </si>
  <si>
    <t>ANAND K V</t>
  </si>
  <si>
    <t>KOLENCHERY</t>
  </si>
  <si>
    <t>AMITH JACOB</t>
  </si>
  <si>
    <t>ELSON JACOB</t>
  </si>
  <si>
    <t>SOORAJ K S</t>
  </si>
  <si>
    <t>AJIL JAYAN</t>
  </si>
  <si>
    <t>ARUN BABU</t>
  </si>
  <si>
    <t>IBIN JOSE</t>
  </si>
  <si>
    <t>SAJIN T S</t>
  </si>
  <si>
    <t>SATHEESH A V</t>
  </si>
  <si>
    <t>SREEKANTH P D</t>
  </si>
  <si>
    <t>ROMINS GEORGE</t>
  </si>
  <si>
    <t>ARUN MATHEW</t>
  </si>
  <si>
    <t>GEEMON VARGHESE</t>
  </si>
  <si>
    <t>GEORGE KUTTAN JOY</t>
  </si>
  <si>
    <t>NEXA COCHIN</t>
  </si>
  <si>
    <t>AJAY MOHAN K</t>
  </si>
  <si>
    <t>JOEMON</t>
  </si>
  <si>
    <t>AMAL P U</t>
  </si>
  <si>
    <t>ARUN K G</t>
  </si>
  <si>
    <t>PRAVEEN KUMAR K P</t>
  </si>
  <si>
    <t>NAKUL P</t>
  </si>
  <si>
    <t>ARVIND SANTHOSH</t>
  </si>
  <si>
    <t>SANDEEP P</t>
  </si>
  <si>
    <t>RAASIK SHERIEF</t>
  </si>
  <si>
    <t>SANTU SUNNY</t>
  </si>
  <si>
    <t>VISHNU P V</t>
  </si>
  <si>
    <t>NISSAR M A</t>
  </si>
  <si>
    <t>RON JOHN</t>
  </si>
  <si>
    <t>ANSILA P H</t>
  </si>
  <si>
    <t>ELDHO SONNY</t>
  </si>
  <si>
    <t>JOSE P VALOORAN</t>
  </si>
  <si>
    <t>MUHAMMED RAPHY KUNJUMON</t>
  </si>
  <si>
    <t>SANOOP P S</t>
  </si>
  <si>
    <t>ABHILASH A M</t>
  </si>
  <si>
    <t>JOSEPH GEORGE</t>
  </si>
  <si>
    <t>MANIL C MOHAN</t>
  </si>
  <si>
    <t>SALEEL P A</t>
  </si>
  <si>
    <t>ANISH THOMAS</t>
  </si>
  <si>
    <t>RAHUL P R</t>
  </si>
  <si>
    <t>ASWIN ASHOKAN</t>
  </si>
  <si>
    <t>ARUN VISWANATH</t>
  </si>
  <si>
    <t>HUDSON FRANKLIN</t>
  </si>
  <si>
    <t>MOHAMMED RIFIN</t>
  </si>
  <si>
    <t>ANSAR V I</t>
  </si>
  <si>
    <t>SINIYYA P K</t>
  </si>
  <si>
    <t>SURYAKANTH P B</t>
  </si>
  <si>
    <t>NYGIL GEORGE</t>
  </si>
  <si>
    <t>SIJO VARGHESE GEORGE</t>
  </si>
  <si>
    <t>RAJEEV JACOB</t>
  </si>
  <si>
    <t>VISHNU RAJU</t>
  </si>
  <si>
    <t>BIJO JOY</t>
  </si>
  <si>
    <t>AJITH C M</t>
  </si>
  <si>
    <t>JESTIN UTHUP JOHN</t>
  </si>
  <si>
    <t>JESTIN MARK JACOB</t>
  </si>
  <si>
    <t>LIPIN P PAUL</t>
  </si>
  <si>
    <t>MIRAJ KAREEM</t>
  </si>
  <si>
    <t>PRAMOD K</t>
  </si>
  <si>
    <t>SIVAPRAKASH K S</t>
  </si>
  <si>
    <t>BINEESH P ANTO</t>
  </si>
  <si>
    <t>SUJEESH P G</t>
  </si>
  <si>
    <t>SREEKANTH K K</t>
  </si>
  <si>
    <t>VISHNUDAS P D</t>
  </si>
  <si>
    <t>CHANCHAL JOSE ANTONY</t>
  </si>
  <si>
    <t>PRANOOB V NAIR</t>
  </si>
  <si>
    <t>TRIPPUNITHURA</t>
  </si>
  <si>
    <t>JERRIN ROY</t>
  </si>
  <si>
    <t>RATHEESH K B</t>
  </si>
  <si>
    <t>AKSHAY SHINOD</t>
  </si>
  <si>
    <t>NAVANEETH MENON</t>
  </si>
  <si>
    <t>ATHUL KRISHNAN</t>
  </si>
  <si>
    <t>MUNEER</t>
  </si>
  <si>
    <t>JIJU</t>
  </si>
  <si>
    <t>SHARON FILAN</t>
  </si>
  <si>
    <t>SARATH MOHAN</t>
  </si>
  <si>
    <t>AKSHAY A M</t>
  </si>
  <si>
    <t>PRASANTH</t>
  </si>
  <si>
    <t>STUDIO KPLM</t>
  </si>
  <si>
    <t>KURIAN JOHN</t>
  </si>
  <si>
    <t>JITHIN K ANAND</t>
  </si>
  <si>
    <t>AMAL K SAJU</t>
  </si>
  <si>
    <t>JIVIN K DAVIS</t>
  </si>
  <si>
    <t>ARUN DAS</t>
  </si>
  <si>
    <t>SHEBIN SHERIFF</t>
  </si>
  <si>
    <t>BIPU PETER</t>
  </si>
  <si>
    <t>JINTO THOMAS</t>
  </si>
  <si>
    <t>BINOY MOHANDAS</t>
  </si>
  <si>
    <t>MUHAMMED USMAN</t>
  </si>
  <si>
    <t>JITHESH</t>
  </si>
  <si>
    <t>SARATH</t>
  </si>
  <si>
    <t>RAHUL P DAS</t>
  </si>
  <si>
    <t>SUDHEESH</t>
  </si>
  <si>
    <t>NIDHIN C D</t>
  </si>
  <si>
    <t>GOWTHAMLAL J</t>
  </si>
  <si>
    <t>NISHANTH</t>
  </si>
  <si>
    <t>SIBIN P S</t>
  </si>
  <si>
    <t>SHINU</t>
  </si>
  <si>
    <t>SALDATH M S</t>
  </si>
  <si>
    <t>NEJIL</t>
  </si>
  <si>
    <t>SACHIN</t>
  </si>
  <si>
    <t>DEEPAK</t>
  </si>
  <si>
    <t>MIDHUN P M</t>
  </si>
  <si>
    <t>RESIN PETER</t>
  </si>
  <si>
    <t>SANJAY</t>
  </si>
  <si>
    <t>ADWAITH</t>
  </si>
  <si>
    <t>ABIN KURIAN</t>
  </si>
  <si>
    <t>ANZIL A M</t>
  </si>
  <si>
    <t>MOHAMMED HAFIZ</t>
  </si>
  <si>
    <t>AKSHAY RENJAN</t>
  </si>
  <si>
    <t>ALOCIOUS TOMY</t>
  </si>
  <si>
    <t>SHIBIN A K</t>
  </si>
  <si>
    <t>NABEEL</t>
  </si>
  <si>
    <t>VISHNU T M</t>
  </si>
  <si>
    <t>ANSAR ALI</t>
  </si>
  <si>
    <t>BEN KOTTUPALLY</t>
  </si>
  <si>
    <t>LIGIN JOY</t>
  </si>
  <si>
    <t>ALBIN MARTIN</t>
  </si>
  <si>
    <t>AKHIL P A</t>
  </si>
  <si>
    <t>VISHNU M S</t>
  </si>
  <si>
    <t>GAYATHRI SANAL</t>
  </si>
  <si>
    <t>ARUGH T K</t>
  </si>
  <si>
    <t>AMALDEV</t>
  </si>
  <si>
    <t>HARIKRISHNAN T K</t>
  </si>
  <si>
    <t>VIGNESH</t>
  </si>
  <si>
    <t>FARISA</t>
  </si>
  <si>
    <t>RAGIN N R</t>
  </si>
  <si>
    <t>ASWIN P S</t>
  </si>
  <si>
    <t>ABHIJITH K P</t>
  </si>
  <si>
    <t>KRISHNARAJ</t>
  </si>
  <si>
    <t>SHIYAS T S</t>
  </si>
  <si>
    <t>NIDHIN K U</t>
  </si>
  <si>
    <t>MUHAMMED ABOOBACKER</t>
  </si>
  <si>
    <t>NUMAN ZAINUDHEEN</t>
  </si>
  <si>
    <t>NIKHIL M T</t>
  </si>
  <si>
    <t>NIJIN THOMAS</t>
  </si>
  <si>
    <t>ABHIRAMI T J</t>
  </si>
  <si>
    <t>MARY SHANI</t>
  </si>
  <si>
    <t>ABHILASH T S</t>
  </si>
  <si>
    <t>ALFIYA ASHRAF</t>
  </si>
  <si>
    <t>DIVYARAJ C B</t>
  </si>
  <si>
    <t>SARATH P J</t>
  </si>
  <si>
    <t>RAGIL N R</t>
  </si>
  <si>
    <t>AARJI</t>
  </si>
  <si>
    <t>NITHIN</t>
  </si>
  <si>
    <t>HYKES</t>
  </si>
  <si>
    <t>SUJITH A R</t>
  </si>
  <si>
    <t>VYSHNAV K S</t>
  </si>
  <si>
    <t>EBIN</t>
  </si>
  <si>
    <t>SRM WISE PERFORMANCE - Mar-26</t>
  </si>
  <si>
    <t>-</t>
  </si>
  <si>
    <t>NISHAD K S</t>
  </si>
  <si>
    <t>RAJEEV</t>
  </si>
  <si>
    <t>Arena Outletwise Performance - Mar-26</t>
  </si>
  <si>
    <t>Finance Cordinator wise Performance - Mar-26</t>
  </si>
  <si>
    <t>Outlet Location</t>
  </si>
  <si>
    <t>Bking</t>
  </si>
  <si>
    <t>Login</t>
  </si>
  <si>
    <t>Mssf Login</t>
  </si>
  <si>
    <t>Mssf Disb</t>
  </si>
  <si>
    <t>Cordinator</t>
  </si>
  <si>
    <t>SALMAN</t>
  </si>
  <si>
    <t>COORDINATOR</t>
  </si>
  <si>
    <t>IH Fin</t>
  </si>
  <si>
    <t>SIVAPRASAD</t>
  </si>
  <si>
    <t>SINTO</t>
  </si>
  <si>
    <t>AMAL</t>
  </si>
  <si>
    <t>JINEESH</t>
  </si>
  <si>
    <t>WILSON</t>
  </si>
  <si>
    <t>PRADEEP</t>
  </si>
  <si>
    <t>ABHIJITH</t>
  </si>
  <si>
    <t>ALFY</t>
  </si>
  <si>
    <t>ARENA COCHIN</t>
  </si>
  <si>
    <t>STUDIO</t>
  </si>
  <si>
    <t>Date</t>
  </si>
  <si>
    <t>Pent %</t>
  </si>
  <si>
    <t>MF</t>
  </si>
  <si>
    <t>MF %</t>
  </si>
  <si>
    <t>Channel/Location</t>
  </si>
  <si>
    <t>GRAND TOTAL</t>
  </si>
  <si>
    <t>Bkg IH</t>
  </si>
  <si>
    <t>Allot</t>
  </si>
  <si>
    <t>Allot IH</t>
  </si>
  <si>
    <t>COCHIN</t>
  </si>
  <si>
    <t>CGR</t>
  </si>
  <si>
    <t>KYM</t>
  </si>
  <si>
    <t>KTM</t>
  </si>
  <si>
    <t>IN FIN</t>
  </si>
  <si>
    <t>IH FIN AMT (Lac)</t>
  </si>
  <si>
    <t>IH PENT %</t>
  </si>
  <si>
    <t>BOOKING</t>
  </si>
  <si>
    <t>LOGIN</t>
  </si>
  <si>
    <t>PEND. LOGIN</t>
  </si>
  <si>
    <t>BOOKING %</t>
  </si>
  <si>
    <t>ALLOTMENTS</t>
  </si>
  <si>
    <t>ALLOT - IH</t>
  </si>
  <si>
    <t>ALLOTMENT - IH %</t>
  </si>
  <si>
    <t>RIPS</t>
  </si>
  <si>
    <t>MSSF</t>
  </si>
  <si>
    <t>MSSF%</t>
  </si>
  <si>
    <t>Today Login -</t>
  </si>
  <si>
    <t>Total Login -</t>
  </si>
  <si>
    <t>Today Disb -</t>
  </si>
  <si>
    <t>Total Disb -</t>
  </si>
  <si>
    <t>Retail -</t>
  </si>
  <si>
    <t>PENT% -</t>
  </si>
  <si>
    <t>MSSFLogin -</t>
  </si>
  <si>
    <t>MSSF Disb -</t>
  </si>
  <si>
    <t>Arena + Nexa Outletwise Performance - Mar-26</t>
  </si>
  <si>
    <t>Arena + Nexa Outletwise Performance - Feb-26</t>
  </si>
  <si>
    <t>IH FINANCE</t>
  </si>
  <si>
    <t>IH PENT%</t>
  </si>
  <si>
    <t>LOCATION</t>
  </si>
  <si>
    <t>CORDINATOR</t>
  </si>
  <si>
    <t>LOC</t>
  </si>
  <si>
    <t>TOUR</t>
  </si>
  <si>
    <t>Finance Cordinator wise Performance - Jan-26</t>
  </si>
  <si>
    <t>SRL</t>
  </si>
  <si>
    <t>ORDER_NUMBER</t>
  </si>
  <si>
    <t>Enquiry_No</t>
  </si>
  <si>
    <t>Chassis</t>
  </si>
  <si>
    <t>Engine</t>
  </si>
  <si>
    <t>Inv_No</t>
  </si>
  <si>
    <t>Inv_dt</t>
  </si>
  <si>
    <t>Customer_id</t>
  </si>
  <si>
    <t>Customer_Name</t>
  </si>
  <si>
    <t>Model</t>
  </si>
  <si>
    <t>Variant_DESC</t>
  </si>
  <si>
    <t>Hypo</t>
  </si>
  <si>
    <t>FINANCE</t>
  </si>
  <si>
    <t>SOURCE</t>
  </si>
  <si>
    <t>MSSF MAPPED</t>
  </si>
  <si>
    <t>MSSF STATUS</t>
  </si>
  <si>
    <t>IH STATUS</t>
  </si>
  <si>
    <t>DISBURSED DATE</t>
  </si>
  <si>
    <t>FINANCE CO</t>
  </si>
  <si>
    <t>ERP EXECUTIVE NAME</t>
  </si>
  <si>
    <t>ERP TEAM LEADER</t>
  </si>
  <si>
    <t>MSSF REMARKS</t>
  </si>
  <si>
    <t>SOB25000366</t>
  </si>
  <si>
    <t>ENQ25002774</t>
  </si>
  <si>
    <t>K111248</t>
  </si>
  <si>
    <t>72/VSL/25000153</t>
  </si>
  <si>
    <t>JOSEPH JESMON</t>
  </si>
  <si>
    <t>VICTORIS</t>
  </si>
  <si>
    <t>MARUTI VICTORIS LXI CNG 1.5L 5MT</t>
  </si>
  <si>
    <t>CASH</t>
  </si>
  <si>
    <t>NO</t>
  </si>
  <si>
    <t>SOB25002218</t>
  </si>
  <si>
    <t>ENQ25016028</t>
  </si>
  <si>
    <t>E54170</t>
  </si>
  <si>
    <t>C987571</t>
  </si>
  <si>
    <t>40/VSL/25001411</t>
  </si>
  <si>
    <t>RANJITH T</t>
  </si>
  <si>
    <t>TOUR H3</t>
  </si>
  <si>
    <t>MARUTI TOUR H3 CNG 1L 5MT</t>
  </si>
  <si>
    <t>KERALA GRAMEENA BANK</t>
  </si>
  <si>
    <t>KGB</t>
  </si>
  <si>
    <t>YES</t>
  </si>
  <si>
    <t>DISBURSED</t>
  </si>
  <si>
    <t>FEB</t>
  </si>
  <si>
    <t>SOB25002263</t>
  </si>
  <si>
    <t>ENQ25016266</t>
  </si>
  <si>
    <t>E53480</t>
  </si>
  <si>
    <t>C986534</t>
  </si>
  <si>
    <t>40/VSL/25001412</t>
  </si>
  <si>
    <t>ANSAMMA</t>
  </si>
  <si>
    <t>SHRIRAM TRANSPORT FINANCE CO.LTD</t>
  </si>
  <si>
    <t>SHRIRAM</t>
  </si>
  <si>
    <t>SELF</t>
  </si>
  <si>
    <t>SOB25002308</t>
  </si>
  <si>
    <t>ENQ25016526</t>
  </si>
  <si>
    <t>E53336</t>
  </si>
  <si>
    <t>C986623</t>
  </si>
  <si>
    <t>40/VSL/25001413</t>
  </si>
  <si>
    <t>SUDHI</t>
  </si>
  <si>
    <t>STATE BANK OF INDIA</t>
  </si>
  <si>
    <t>SBI</t>
  </si>
  <si>
    <t>SOB25002209</t>
  </si>
  <si>
    <t>ENQ25015984</t>
  </si>
  <si>
    <t>E54492</t>
  </si>
  <si>
    <t>C987700</t>
  </si>
  <si>
    <t>40/VSL/25001414</t>
  </si>
  <si>
    <t>LIBIN ANTO</t>
  </si>
  <si>
    <t>SOB25001937</t>
  </si>
  <si>
    <t>ENQ25014823</t>
  </si>
  <si>
    <t>E54416</t>
  </si>
  <si>
    <t>40/VSL/25001415</t>
  </si>
  <si>
    <t>SHIBIN K B</t>
  </si>
  <si>
    <t>SOB25002150</t>
  </si>
  <si>
    <t>ENQ25015563</t>
  </si>
  <si>
    <t>E54510</t>
  </si>
  <si>
    <t>C987803</t>
  </si>
  <si>
    <t>40/VSL/25001416</t>
  </si>
  <si>
    <t>JAMSHEER P A</t>
  </si>
  <si>
    <t>SOB25002176</t>
  </si>
  <si>
    <t>ENQ25015701</t>
  </si>
  <si>
    <t>E54635</t>
  </si>
  <si>
    <t>C987892</t>
  </si>
  <si>
    <t>40/VSL/25001417</t>
  </si>
  <si>
    <t>MIDHUN AZEEZ</t>
  </si>
  <si>
    <t>KOTAK MAHINDRA PRIME LTD</t>
  </si>
  <si>
    <t>KOTAK</t>
  </si>
  <si>
    <t>SOB25002194</t>
  </si>
  <si>
    <t>ENQ25015845</t>
  </si>
  <si>
    <t>E53597</t>
  </si>
  <si>
    <t>40/VSL/25001418</t>
  </si>
  <si>
    <t>RAMESH PATHARI</t>
  </si>
  <si>
    <t>KERALA GRAMIN BANK</t>
  </si>
  <si>
    <t>SOB25002314</t>
  </si>
  <si>
    <t>ENQ25016541</t>
  </si>
  <si>
    <t>E53434</t>
  </si>
  <si>
    <t>40/VSL/25001419</t>
  </si>
  <si>
    <t>JITHIN JOSEPH</t>
  </si>
  <si>
    <t>INDIAN OVERSEAS BANK</t>
  </si>
  <si>
    <t>IOB</t>
  </si>
  <si>
    <t>SOB25002318</t>
  </si>
  <si>
    <t>ENQ25016625</t>
  </si>
  <si>
    <t>E54680</t>
  </si>
  <si>
    <t>40/VSL/25001422</t>
  </si>
  <si>
    <t>MAHESH KUMAR P S</t>
  </si>
  <si>
    <t>SOB25002319</t>
  </si>
  <si>
    <t>ENQ25016626</t>
  </si>
  <si>
    <t>40/VSL/25001423</t>
  </si>
  <si>
    <t>SANUJ  JOSEPH</t>
  </si>
  <si>
    <t>ALTO K10</t>
  </si>
  <si>
    <t>MARUTI ALTO K10 LXI 1L 5MT</t>
  </si>
  <si>
    <t>ICICI BANK LTD</t>
  </si>
  <si>
    <t>ICICI</t>
  </si>
  <si>
    <t>SOB25001685</t>
  </si>
  <si>
    <t>ENQ25013241</t>
  </si>
  <si>
    <t>F309114</t>
  </si>
  <si>
    <t>40/VSL/25001424</t>
  </si>
  <si>
    <t>AKSHAY SHIBU</t>
  </si>
  <si>
    <t>TOUR S</t>
  </si>
  <si>
    <t>MARUTI TOUR S CNG 1.2L 5MT</t>
  </si>
  <si>
    <t>SOB25002080</t>
  </si>
  <si>
    <t>ENQ25015186</t>
  </si>
  <si>
    <t>E55229</t>
  </si>
  <si>
    <t>C988619</t>
  </si>
  <si>
    <t>40/VSL/25001421</t>
  </si>
  <si>
    <t>SIRAJ  N</t>
  </si>
  <si>
    <t>SOB25002316</t>
  </si>
  <si>
    <t>ENQ25016540</t>
  </si>
  <si>
    <t>E53507</t>
  </si>
  <si>
    <t>40/VSL/25001420</t>
  </si>
  <si>
    <t>SUBHIJITH V S</t>
  </si>
  <si>
    <t>CHOLAMANDALAM INVS.&amp; FIN.CO.LTD</t>
  </si>
  <si>
    <t>CHOLA</t>
  </si>
  <si>
    <t>SOB25000379</t>
  </si>
  <si>
    <t>ENQ25002996</t>
  </si>
  <si>
    <t>K110864</t>
  </si>
  <si>
    <t>72/VSL/25000154</t>
  </si>
  <si>
    <t>AMBROSE A T</t>
  </si>
  <si>
    <t>BREZZA</t>
  </si>
  <si>
    <t>MARUTI BREZZA SMART HYBRID VXI 1.5L 6AT</t>
  </si>
  <si>
    <t>BANK OF INDIA</t>
  </si>
  <si>
    <t>BOI</t>
  </si>
  <si>
    <t>SOB25000226</t>
  </si>
  <si>
    <t>ENQ25001947</t>
  </si>
  <si>
    <t>126/VSL/25000112</t>
  </si>
  <si>
    <t>GOPINADHAN ELAYADAM</t>
  </si>
  <si>
    <t>MARUTI ALTO K10 VXI 1L 5MT</t>
  </si>
  <si>
    <t>SOB25000200</t>
  </si>
  <si>
    <t>ENQ25002042</t>
  </si>
  <si>
    <t>F156608</t>
  </si>
  <si>
    <t>118/VSL25000097</t>
  </si>
  <si>
    <t>AJEESH MATHEW GEORGE</t>
  </si>
  <si>
    <t>DZIRE</t>
  </si>
  <si>
    <t>MARUTI DZIRE ZXI 1.2L ISS AGS</t>
  </si>
  <si>
    <t>SOB25002265</t>
  </si>
  <si>
    <t>ENQ25016272</t>
  </si>
  <si>
    <t>E55156</t>
  </si>
  <si>
    <t>40/VSL/25001430</t>
  </si>
  <si>
    <t>DEEPAK K U</t>
  </si>
  <si>
    <t>SOB25002331</t>
  </si>
  <si>
    <t>ENQ25016635</t>
  </si>
  <si>
    <t>E54905</t>
  </si>
  <si>
    <t>40/VSL/25001431</t>
  </si>
  <si>
    <t>AKHIL VINOD</t>
  </si>
  <si>
    <t>Wagon R</t>
  </si>
  <si>
    <t>MARUTI WAGON R ZXI+ 1.2L ISS AGS</t>
  </si>
  <si>
    <t>UNION BANK OF INDIA</t>
  </si>
  <si>
    <t>UBI</t>
  </si>
  <si>
    <t>SOB25002219</t>
  </si>
  <si>
    <t>ENQ25015986</t>
  </si>
  <si>
    <t>E55278</t>
  </si>
  <si>
    <t>C988345</t>
  </si>
  <si>
    <t>40/VSL/25001427</t>
  </si>
  <si>
    <t>BOAZ B DANIEL</t>
  </si>
  <si>
    <t>SOB25002323</t>
  </si>
  <si>
    <t>ENQ25016633</t>
  </si>
  <si>
    <t>C39303</t>
  </si>
  <si>
    <t>40/VSL/25001426</t>
  </si>
  <si>
    <t>NUSAIBA</t>
  </si>
  <si>
    <t>ERTIGA</t>
  </si>
  <si>
    <t>MARUTI ERTIGA SMART HYBRID VXI 1.5L 6AT</t>
  </si>
  <si>
    <t>HDFC BANK LTD</t>
  </si>
  <si>
    <t>HDFC</t>
  </si>
  <si>
    <t>SOB25002273</t>
  </si>
  <si>
    <t>ENQ25016288</t>
  </si>
  <si>
    <t>E52994</t>
  </si>
  <si>
    <t>C986807</t>
  </si>
  <si>
    <t>40/VSL/25001428</t>
  </si>
  <si>
    <t>VINODKUMAR</t>
  </si>
  <si>
    <t>SOB25002088</t>
  </si>
  <si>
    <t>ENQ25015217</t>
  </si>
  <si>
    <t>E55150</t>
  </si>
  <si>
    <t>C989112</t>
  </si>
  <si>
    <t>40/VSL/25001429</t>
  </si>
  <si>
    <t>RESMIMOL</t>
  </si>
  <si>
    <t>MARUTI WAGON R LXI 1L ISS 5MT</t>
  </si>
  <si>
    <t>SOB25001842</t>
  </si>
  <si>
    <t>ENQ25014308</t>
  </si>
  <si>
    <t>E56685</t>
  </si>
  <si>
    <t>C990361</t>
  </si>
  <si>
    <t>40/VSL/25001425</t>
  </si>
  <si>
    <t>BALAKRISHNAN V N</t>
  </si>
  <si>
    <t>SOB25000223</t>
  </si>
  <si>
    <t>ENQ25001932</t>
  </si>
  <si>
    <t>F86412</t>
  </si>
  <si>
    <t>126/VSL/25000113</t>
  </si>
  <si>
    <t>PRAMOD</t>
  </si>
  <si>
    <t>EECO</t>
  </si>
  <si>
    <t>MARUTI EECO 5 STR AC CNG 1.2L 5MT</t>
  </si>
  <si>
    <t>SOB25000241</t>
  </si>
  <si>
    <t>ENQ25001995</t>
  </si>
  <si>
    <t>F74856</t>
  </si>
  <si>
    <t>255/VSL/25000100</t>
  </si>
  <si>
    <t>CHANDRASEKHAR P M</t>
  </si>
  <si>
    <t>MARUTI EECO CARGO AC CNG 1.2L 5MT</t>
  </si>
  <si>
    <t>CHOLAMANDALAM INVESTEMENT &amp; FINANCE COMPANY LTD</t>
  </si>
  <si>
    <t>SOB25002352</t>
  </si>
  <si>
    <t>ENQ25016732</t>
  </si>
  <si>
    <t>E54628</t>
  </si>
  <si>
    <t>C987895</t>
  </si>
  <si>
    <t>40/VSL/25001432</t>
  </si>
  <si>
    <t>AKSHAY P P</t>
  </si>
  <si>
    <t>SOB25002280</t>
  </si>
  <si>
    <t>ENQ25016312</t>
  </si>
  <si>
    <t>E55597</t>
  </si>
  <si>
    <t>40/VSL/25001433</t>
  </si>
  <si>
    <t>SUNIL CHANDRAN P</t>
  </si>
  <si>
    <t>TATA CAPITAL LIMITED</t>
  </si>
  <si>
    <t>TATA</t>
  </si>
  <si>
    <t>SOB25000303</t>
  </si>
  <si>
    <t>ENQ25002131</t>
  </si>
  <si>
    <t>F83679</t>
  </si>
  <si>
    <t>77/VSL/25000160</t>
  </si>
  <si>
    <t>RAJESH P S</t>
  </si>
  <si>
    <t>MAPPED</t>
  </si>
  <si>
    <t>SOB25000316</t>
  </si>
  <si>
    <t>ENQ25002621</t>
  </si>
  <si>
    <t>E46252</t>
  </si>
  <si>
    <t>88/VSL/25000178</t>
  </si>
  <si>
    <t>ELDHO ZACHARIA</t>
  </si>
  <si>
    <t>MARUTI WAGON R ZXI+ 1.2L ISS 5MT</t>
  </si>
  <si>
    <t>SOB25002356</t>
  </si>
  <si>
    <t>ENQ25016736</t>
  </si>
  <si>
    <t>C983297</t>
  </si>
  <si>
    <t>40/VSL/25001434</t>
  </si>
  <si>
    <t>BONY</t>
  </si>
  <si>
    <t>MARUTI ALTO K10 VXI 1L AGS</t>
  </si>
  <si>
    <t>SREERAM FINANCE</t>
  </si>
  <si>
    <t>SOB25002135</t>
  </si>
  <si>
    <t>ENQ25015459</t>
  </si>
  <si>
    <t>F312038</t>
  </si>
  <si>
    <t>40/VSL/25001435</t>
  </si>
  <si>
    <t>JAFAR KHAN</t>
  </si>
  <si>
    <t>SOB25002229</t>
  </si>
  <si>
    <t>ENQ25016047</t>
  </si>
  <si>
    <t>E55244</t>
  </si>
  <si>
    <t>C988964</t>
  </si>
  <si>
    <t>40/VSL/25001437</t>
  </si>
  <si>
    <t>BENZIR DUTT A S</t>
  </si>
  <si>
    <t>SOB25000232</t>
  </si>
  <si>
    <t>ENQ25002424</t>
  </si>
  <si>
    <t>E44019</t>
  </si>
  <si>
    <t>28/VSL/25000111</t>
  </si>
  <si>
    <t>RAHUL C H</t>
  </si>
  <si>
    <t>INDUSIND BANK LTD</t>
  </si>
  <si>
    <t>IBL</t>
  </si>
  <si>
    <t>SOB25002372</t>
  </si>
  <si>
    <t>ENQ25016795</t>
  </si>
  <si>
    <t>F309183</t>
  </si>
  <si>
    <t>40/VSL/25001438</t>
  </si>
  <si>
    <t>DIVYA VALSAN</t>
  </si>
  <si>
    <t>SHRIRAM FINANCE LTD</t>
  </si>
  <si>
    <t>SOB25001818</t>
  </si>
  <si>
    <t>ENQ25014169</t>
  </si>
  <si>
    <t>F310861</t>
  </si>
  <si>
    <t>40/VSL/25001439</t>
  </si>
  <si>
    <t>SABIL M S</t>
  </si>
  <si>
    <t>SOB25002358</t>
  </si>
  <si>
    <t>ENQ25016764</t>
  </si>
  <si>
    <t>K124825</t>
  </si>
  <si>
    <t>40/VSL/25001440</t>
  </si>
  <si>
    <t>JOSE T D</t>
  </si>
  <si>
    <t>SOB25002146</t>
  </si>
  <si>
    <t>ENQ25014531</t>
  </si>
  <si>
    <t>40/VSL/25001441</t>
  </si>
  <si>
    <t>REETHA MAGDALINE</t>
  </si>
  <si>
    <t>BANK OF BARODA</t>
  </si>
  <si>
    <t>BOB</t>
  </si>
  <si>
    <t>SOB25002183</t>
  </si>
  <si>
    <t>ENQ25015810</t>
  </si>
  <si>
    <t>C39385</t>
  </si>
  <si>
    <t>A019215</t>
  </si>
  <si>
    <t>40/VSL/25001442</t>
  </si>
  <si>
    <t>MATILDA KING GEORGE TANNIPULLY</t>
  </si>
  <si>
    <t>TOUR M</t>
  </si>
  <si>
    <t>MARUTI TOUR M CNG 1.5L 5MT</t>
  </si>
  <si>
    <t>SOB25002344</t>
  </si>
  <si>
    <t>ENQ25016703</t>
  </si>
  <si>
    <t>F97898</t>
  </si>
  <si>
    <t>40/VSL/25001443</t>
  </si>
  <si>
    <t>SANTHOSHKUMAR E K</t>
  </si>
  <si>
    <t>SOB25002315</t>
  </si>
  <si>
    <t>ENQ25016583</t>
  </si>
  <si>
    <t>K111826</t>
  </si>
  <si>
    <t>40/VSL/25001444</t>
  </si>
  <si>
    <t>KALLAYIL VISWANATHAN SANJITH</t>
  </si>
  <si>
    <t>MARUTI VICTORIS LXI 1.5L 5MT</t>
  </si>
  <si>
    <t>FEDERAL BANK LTD.</t>
  </si>
  <si>
    <t>FBL</t>
  </si>
  <si>
    <t>SOB25000297</t>
  </si>
  <si>
    <t>ENQ25002077</t>
  </si>
  <si>
    <t>F97512</t>
  </si>
  <si>
    <t>77/VSL/25000161</t>
  </si>
  <si>
    <t>A R MANIKANDAN</t>
  </si>
  <si>
    <t>TOUR V</t>
  </si>
  <si>
    <t>MARUTI TOUR V 5 STR AC CNG 1.2L 5MT</t>
  </si>
  <si>
    <t>SOB25000207</t>
  </si>
  <si>
    <t>ENQ25002093</t>
  </si>
  <si>
    <t>K103193</t>
  </si>
  <si>
    <t>118/VSL25000100</t>
  </si>
  <si>
    <t>SHAJU P C</t>
  </si>
  <si>
    <t>MARUTI VICTORIS ZXI+ 1.5L 6AT</t>
  </si>
  <si>
    <t>BAJAJ FINANCE LTD</t>
  </si>
  <si>
    <t>BAJAJ</t>
  </si>
  <si>
    <t>SOB25000229</t>
  </si>
  <si>
    <t>ENQ25001972</t>
  </si>
  <si>
    <t>E41298</t>
  </si>
  <si>
    <t>126/VSL/25000114</t>
  </si>
  <si>
    <t>USHAKUMARI K P</t>
  </si>
  <si>
    <t>MARUTI WAGON R ZXI 1.2L ISS AGS</t>
  </si>
  <si>
    <t>SOB25000181</t>
  </si>
  <si>
    <t>ENQ25001370</t>
  </si>
  <si>
    <t>E55208</t>
  </si>
  <si>
    <t>C988576</t>
  </si>
  <si>
    <t>27/VSL/25000072</t>
  </si>
  <si>
    <t>MANIKANDAN N A</t>
  </si>
  <si>
    <t>SOB25002341</t>
  </si>
  <si>
    <t>ENQ25016679</t>
  </si>
  <si>
    <t>F148013</t>
  </si>
  <si>
    <t>40/VSL/25001446</t>
  </si>
  <si>
    <t>RAVI NARAYAN NAIR</t>
  </si>
  <si>
    <t>Dzire</t>
  </si>
  <si>
    <t>MARUTI DZIRE ZXI+ 1.2L ISS 5MT</t>
  </si>
  <si>
    <t>SOB25002364</t>
  </si>
  <si>
    <t>ENQ25016777</t>
  </si>
  <si>
    <t>E56405</t>
  </si>
  <si>
    <t>F083513</t>
  </si>
  <si>
    <t>40/VSL/25001447</t>
  </si>
  <si>
    <t>SREELAKSHMI K C</t>
  </si>
  <si>
    <t>SOB25002359</t>
  </si>
  <si>
    <t>ENQ25016769</t>
  </si>
  <si>
    <t>F312297</t>
  </si>
  <si>
    <t>40/VSL/25001448</t>
  </si>
  <si>
    <t>M N JAYAN</t>
  </si>
  <si>
    <t>SOB25002383</t>
  </si>
  <si>
    <t>ENQ25016840</t>
  </si>
  <si>
    <t>40/VSL/25001449</t>
  </si>
  <si>
    <t>SHEEBA OOMMEN</t>
  </si>
  <si>
    <t>SWIFT</t>
  </si>
  <si>
    <t>MARUTI SWIFT VXI 1.2L ISS AGS</t>
  </si>
  <si>
    <t>SOB25002347</t>
  </si>
  <si>
    <t>ENQ25016716</t>
  </si>
  <si>
    <t>40/VSL/25001450</t>
  </si>
  <si>
    <t>SAIFULLA PUTHIYAVEETTIL KOTTUPARAMBIL</t>
  </si>
  <si>
    <t>MARUTI SWIFT VXI 1.2L ISS 5MT</t>
  </si>
  <si>
    <t>SOB25002236</t>
  </si>
  <si>
    <t>ENQ25016106</t>
  </si>
  <si>
    <t>E55239</t>
  </si>
  <si>
    <t>40/VSL/25001451</t>
  </si>
  <si>
    <t>MIDHUN SURESH</t>
  </si>
  <si>
    <t>SOB25002129</t>
  </si>
  <si>
    <t>ENQ25015423</t>
  </si>
  <si>
    <t>E58249</t>
  </si>
  <si>
    <t>40/VSL/25001452</t>
  </si>
  <si>
    <t>MUHAMMED FARIS</t>
  </si>
  <si>
    <t>SOB25002354</t>
  </si>
  <si>
    <t>ENQ25016738</t>
  </si>
  <si>
    <t>E55086</t>
  </si>
  <si>
    <t>C988969</t>
  </si>
  <si>
    <t>40/VSL/25001453</t>
  </si>
  <si>
    <t>BIBIN  BABY</t>
  </si>
  <si>
    <t>BAJAJ FINANCE LIMITED</t>
  </si>
  <si>
    <t>SOB25002249</t>
  </si>
  <si>
    <t>ENQ25016207</t>
  </si>
  <si>
    <t>C25648</t>
  </si>
  <si>
    <t>A002514</t>
  </si>
  <si>
    <t>40/VSL/25001454</t>
  </si>
  <si>
    <t>MITHUN T U</t>
  </si>
  <si>
    <t>MARUTI ERTIGA VXI CNG 1.5L 5MT</t>
  </si>
  <si>
    <t>SOB25002295</t>
  </si>
  <si>
    <t>ENQ25016422</t>
  </si>
  <si>
    <t>E58688</t>
  </si>
  <si>
    <t>40/VSL/25001455</t>
  </si>
  <si>
    <t>SHARLET SHAMY VIVERA</t>
  </si>
  <si>
    <t>SOB25002382</t>
  </si>
  <si>
    <t>ENQ25016841</t>
  </si>
  <si>
    <t>E58022</t>
  </si>
  <si>
    <t>40/VSL/25001456</t>
  </si>
  <si>
    <t>VIBIN VARGHESE</t>
  </si>
  <si>
    <t>SOB25000167</t>
  </si>
  <si>
    <t>ENQ25001814</t>
  </si>
  <si>
    <t>C38930</t>
  </si>
  <si>
    <t>118/VSL25000101</t>
  </si>
  <si>
    <t>DEEPTHY RAJAN</t>
  </si>
  <si>
    <t>MARUTI TOUR M 1.5L 5MT</t>
  </si>
  <si>
    <t>SOB25000189</t>
  </si>
  <si>
    <t>ENQ25001963</t>
  </si>
  <si>
    <t>C988431</t>
  </si>
  <si>
    <t>118/VSL25000102</t>
  </si>
  <si>
    <t>LIJU  JACOB</t>
  </si>
  <si>
    <t>CELERIO</t>
  </si>
  <si>
    <t>MARUTI CELERIO VXI 1L ISS AGS</t>
  </si>
  <si>
    <t>SOB25000230</t>
  </si>
  <si>
    <t>ENQ25002404</t>
  </si>
  <si>
    <t>E28587</t>
  </si>
  <si>
    <t>28/VSL/25000112</t>
  </si>
  <si>
    <t>ABDUL NASEER</t>
  </si>
  <si>
    <t>MARUTI WAGON R ZXI 1.2L ISS 5MT</t>
  </si>
  <si>
    <t>BAJAJ FINANCE LIMTED</t>
  </si>
  <si>
    <t>SOB25002381</t>
  </si>
  <si>
    <t>ENQ25016839</t>
  </si>
  <si>
    <t>F311138</t>
  </si>
  <si>
    <t>40/VSL/25001457</t>
  </si>
  <si>
    <t>RAHUL N R</t>
  </si>
  <si>
    <t>HDB FINANCIAL SERVICES LIMITED</t>
  </si>
  <si>
    <t>HDB</t>
  </si>
  <si>
    <t>SOB25002311</t>
  </si>
  <si>
    <t>ENQ25016524</t>
  </si>
  <si>
    <t>E51742</t>
  </si>
  <si>
    <t>40/VSL/25001458</t>
  </si>
  <si>
    <t>SIYAD T M</t>
  </si>
  <si>
    <t>SOB25002179</t>
  </si>
  <si>
    <t>ENQ25015735</t>
  </si>
  <si>
    <t>40/VSL/25001459</t>
  </si>
  <si>
    <t>AREAMANAGER CSD/ KISHORE</t>
  </si>
  <si>
    <t>MARUTI BREZZA VXI 1.5L 5MT</t>
  </si>
  <si>
    <t>SOB25000251</t>
  </si>
  <si>
    <t>ENQ25001765</t>
  </si>
  <si>
    <t>F293772</t>
  </si>
  <si>
    <t>77/VSL/25000162</t>
  </si>
  <si>
    <t>MOHAMED GAZZALI</t>
  </si>
  <si>
    <t>SOB25000346</t>
  </si>
  <si>
    <t>ENQ25002853</t>
  </si>
  <si>
    <t>K113922</t>
  </si>
  <si>
    <t>88/VSL/25000179</t>
  </si>
  <si>
    <t>ANIL  KUMAR</t>
  </si>
  <si>
    <t>SOB25000355</t>
  </si>
  <si>
    <t>ENQ25002885</t>
  </si>
  <si>
    <t>E40725</t>
  </si>
  <si>
    <t>88/VSL/25000180</t>
  </si>
  <si>
    <t>VIJAYAN T S</t>
  </si>
  <si>
    <t>SUNDARAM FINANCE LTD</t>
  </si>
  <si>
    <t>SFL</t>
  </si>
  <si>
    <t>SOB25000195</t>
  </si>
  <si>
    <t>ENQ25001738</t>
  </si>
  <si>
    <t>E55019</t>
  </si>
  <si>
    <t>F083392</t>
  </si>
  <si>
    <t>126/VSL/25000115</t>
  </si>
  <si>
    <t>DINESH R</t>
  </si>
  <si>
    <t>MARUTI WAGON R VXI 1L ISS 5MT</t>
  </si>
  <si>
    <t>SOB25000231</t>
  </si>
  <si>
    <t>ENQ25001986</t>
  </si>
  <si>
    <t>F311639</t>
  </si>
  <si>
    <t>126/VSL/25000116</t>
  </si>
  <si>
    <t>A M SHAJAHAN</t>
  </si>
  <si>
    <t>MARUTI DZIRE ZXI+ 1.2L ISS AGS</t>
  </si>
  <si>
    <t>ENQ25002417</t>
  </si>
  <si>
    <t>28/VSL/25000113</t>
  </si>
  <si>
    <t>ANEESHA</t>
  </si>
  <si>
    <t>MARUTI SWIFT ZXI+ 1.2L ISS AGS</t>
  </si>
  <si>
    <t>SOUTH INDIAN BANK LTD.</t>
  </si>
  <si>
    <t>SIB</t>
  </si>
  <si>
    <t>SOB25001861</t>
  </si>
  <si>
    <t>ENQ25014423</t>
  </si>
  <si>
    <t>E54022</t>
  </si>
  <si>
    <t>40/VSL/25001460</t>
  </si>
  <si>
    <t>RINSON FRANCIS</t>
  </si>
  <si>
    <t>SOB25001883</t>
  </si>
  <si>
    <t>ENQ25013698</t>
  </si>
  <si>
    <t>K103279</t>
  </si>
  <si>
    <t>40/VSL/25001461</t>
  </si>
  <si>
    <t>FRANCIS N J</t>
  </si>
  <si>
    <t>MARUTI VICTORIS VXI 1.5L 6AT</t>
  </si>
  <si>
    <t>SOB25002304</t>
  </si>
  <si>
    <t>ENQ25016515</t>
  </si>
  <si>
    <t>F91940</t>
  </si>
  <si>
    <t>40/VSL/25001462</t>
  </si>
  <si>
    <t>SALY SAJAN</t>
  </si>
  <si>
    <t>MARUTI EECO 5 STR AC 1.2L 5MT</t>
  </si>
  <si>
    <t>SOB25002407</t>
  </si>
  <si>
    <t>ENQ25016385</t>
  </si>
  <si>
    <t>K010264</t>
  </si>
  <si>
    <t>40/VSL/25001463</t>
  </si>
  <si>
    <t>CHITHRA  P</t>
  </si>
  <si>
    <t>MARUTI BREZZA VXI CNG 1.5L 5MT</t>
  </si>
  <si>
    <t>SOB25000318</t>
  </si>
  <si>
    <t>ENQ25002574</t>
  </si>
  <si>
    <t>F97919</t>
  </si>
  <si>
    <t>72/VSL/25000155</t>
  </si>
  <si>
    <t>MISIRI P A</t>
  </si>
  <si>
    <t>SOB25000196</t>
  </si>
  <si>
    <t>ENQ25002041</t>
  </si>
  <si>
    <t>K107840</t>
  </si>
  <si>
    <t>118/VSL25000103</t>
  </si>
  <si>
    <t>MUGIB RAHMAN VM</t>
  </si>
  <si>
    <t>BANK OF MAHARASHTRA</t>
  </si>
  <si>
    <t>BOM</t>
  </si>
  <si>
    <t>SOB25000174</t>
  </si>
  <si>
    <t>ENQ25001834</t>
  </si>
  <si>
    <t>E54131</t>
  </si>
  <si>
    <t>C978873</t>
  </si>
  <si>
    <t>118/VSL25000104</t>
  </si>
  <si>
    <t>SAJAN K M</t>
  </si>
  <si>
    <t>SOB25000197</t>
  </si>
  <si>
    <t>ENQ25002046</t>
  </si>
  <si>
    <t>C41551</t>
  </si>
  <si>
    <t>A018954</t>
  </si>
  <si>
    <t>118/VSL25000105</t>
  </si>
  <si>
    <t>PRASANTH MOHANAN</t>
  </si>
  <si>
    <t>SOB25000213</t>
  </si>
  <si>
    <t>ENQ25001784</t>
  </si>
  <si>
    <t>255/VSL/25000101</t>
  </si>
  <si>
    <t>APARNA RENJAN</t>
  </si>
  <si>
    <t>SOB25002281</t>
  </si>
  <si>
    <t>ENQ25016309</t>
  </si>
  <si>
    <t>K124375</t>
  </si>
  <si>
    <t>40/VSL/25001464</t>
  </si>
  <si>
    <t>SMIJO JOSE</t>
  </si>
  <si>
    <t>MARUTI VICTORIS VXI 1.5L 5MT</t>
  </si>
  <si>
    <t>SOB25002335</t>
  </si>
  <si>
    <t>ENQ25016637</t>
  </si>
  <si>
    <t>C45422</t>
  </si>
  <si>
    <t>A023177</t>
  </si>
  <si>
    <t>40/VSL/25001465</t>
  </si>
  <si>
    <t>SREEVIDYA S</t>
  </si>
  <si>
    <t>MAHINDRA&amp; MAHINDRA  FINANCIAL SERVICES LTD</t>
  </si>
  <si>
    <t>MAHINDRA</t>
  </si>
  <si>
    <t>SOB25002167</t>
  </si>
  <si>
    <t>ENQ25015602</t>
  </si>
  <si>
    <t>E58527</t>
  </si>
  <si>
    <t>40/VSL/25001466</t>
  </si>
  <si>
    <t>MANOJ M N</t>
  </si>
  <si>
    <t>SOB25000228</t>
  </si>
  <si>
    <t>ENQ25001968</t>
  </si>
  <si>
    <t>F279300</t>
  </si>
  <si>
    <t>126/VSL/25000117</t>
  </si>
  <si>
    <t>NOUFAL MAJEED</t>
  </si>
  <si>
    <t>SOB25002128</t>
  </si>
  <si>
    <t>ENQ25015417</t>
  </si>
  <si>
    <t>E57859</t>
  </si>
  <si>
    <t>40/VSL/25001467</t>
  </si>
  <si>
    <t>DINURAJ D R</t>
  </si>
  <si>
    <t>SOB25002391</t>
  </si>
  <si>
    <t>ENQ25016902</t>
  </si>
  <si>
    <t>E52755</t>
  </si>
  <si>
    <t>C986553</t>
  </si>
  <si>
    <t>40/VSL/25001468</t>
  </si>
  <si>
    <t>FAIZAL C M</t>
  </si>
  <si>
    <t>SOB25002287</t>
  </si>
  <si>
    <t>ENQ25016356</t>
  </si>
  <si>
    <t>E61032</t>
  </si>
  <si>
    <t>40/VSL/25001469</t>
  </si>
  <si>
    <t>RAJAN K V</t>
  </si>
  <si>
    <t>SOB25002246</t>
  </si>
  <si>
    <t>ENQ25016194</t>
  </si>
  <si>
    <t>C988791</t>
  </si>
  <si>
    <t>40/VSL/25001470</t>
  </si>
  <si>
    <t>RATHEESHKUMAR M</t>
  </si>
  <si>
    <t>MARUTI ALTO K10 VXI+ 1L AGS</t>
  </si>
  <si>
    <t>SOB25002378</t>
  </si>
  <si>
    <t>ENQ25016790</t>
  </si>
  <si>
    <t>F310705</t>
  </si>
  <si>
    <t>40/VSL/25001471</t>
  </si>
  <si>
    <t>KRISHNAPRIYA K B</t>
  </si>
  <si>
    <t>SOB25002413</t>
  </si>
  <si>
    <t>ENQ25017055</t>
  </si>
  <si>
    <t>C45325</t>
  </si>
  <si>
    <t>A027339</t>
  </si>
  <si>
    <t>40/VSL/25001472</t>
  </si>
  <si>
    <t>MELBY MICHEAL</t>
  </si>
  <si>
    <t>MARUTI ERTIGA SMART HYBRID VXI 1.5L 5MT</t>
  </si>
  <si>
    <t>SOB25000347</t>
  </si>
  <si>
    <t>ENQ25002854</t>
  </si>
  <si>
    <t>E55943</t>
  </si>
  <si>
    <t>F083444</t>
  </si>
  <si>
    <t>88/VSL/25000181</t>
  </si>
  <si>
    <t>ANS THOMAS</t>
  </si>
  <si>
    <t>SOB25000233</t>
  </si>
  <si>
    <t>ENQ25001977</t>
  </si>
  <si>
    <t>F96933</t>
  </si>
  <si>
    <t>126/VSL/25000118</t>
  </si>
  <si>
    <t>HASNA BASHEER</t>
  </si>
  <si>
    <t>SOB25000242</t>
  </si>
  <si>
    <t>ENQ25002463</t>
  </si>
  <si>
    <t>C25028</t>
  </si>
  <si>
    <t>28/VSL/25000114</t>
  </si>
  <si>
    <t>NOUFAL VELUTHAPARAMBIL</t>
  </si>
  <si>
    <t>MARUTI ERTIGA ZXI CNG 1.5L 5MT</t>
  </si>
  <si>
    <t>SOB25000204</t>
  </si>
  <si>
    <t>ENQ25002172</t>
  </si>
  <si>
    <t>F96180</t>
  </si>
  <si>
    <t>28/VSL/25000115</t>
  </si>
  <si>
    <t>SAHU</t>
  </si>
  <si>
    <t>SOB25002427</t>
  </si>
  <si>
    <t>ENQ25017107</t>
  </si>
  <si>
    <t>E58319</t>
  </si>
  <si>
    <t>C993024</t>
  </si>
  <si>
    <t>40/VSL/25001474</t>
  </si>
  <si>
    <t>TINCY BABU</t>
  </si>
  <si>
    <t>MARUTI WAGON R VXI 1L ISS AGS</t>
  </si>
  <si>
    <t>SOB25002406</t>
  </si>
  <si>
    <t>ENQ25016999</t>
  </si>
  <si>
    <t>E52934</t>
  </si>
  <si>
    <t>C986961</t>
  </si>
  <si>
    <t>40/VSL/25001475</t>
  </si>
  <si>
    <t>MONCY JOY</t>
  </si>
  <si>
    <t>SOB25002424</t>
  </si>
  <si>
    <t>ENQ25017105</t>
  </si>
  <si>
    <t>E59289</t>
  </si>
  <si>
    <t>C978429</t>
  </si>
  <si>
    <t>40/VSL/25001476</t>
  </si>
  <si>
    <t>FEBEEJA BEEVI</t>
  </si>
  <si>
    <t>SOB25002339</t>
  </si>
  <si>
    <t>ENQ25016669</t>
  </si>
  <si>
    <t>E53601</t>
  </si>
  <si>
    <t>C986974</t>
  </si>
  <si>
    <t>40/VSL/25001477</t>
  </si>
  <si>
    <t>LINU JOSEPH M J</t>
  </si>
  <si>
    <t>SOB25002431</t>
  </si>
  <si>
    <t>ENQ25016609</t>
  </si>
  <si>
    <t>K104721</t>
  </si>
  <si>
    <t>40/VSL/25001478</t>
  </si>
  <si>
    <t>SHAIJO THOMAS A J</t>
  </si>
  <si>
    <t>MARUTI VICTORIS ZXI 1.5L 5MT</t>
  </si>
  <si>
    <t>SOB25002241</t>
  </si>
  <si>
    <t>ENQ25016130</t>
  </si>
  <si>
    <t>E62523</t>
  </si>
  <si>
    <t>40/VSL/25001479</t>
  </si>
  <si>
    <t>AJMAL MOHAMMED</t>
  </si>
  <si>
    <t>SOB25000398</t>
  </si>
  <si>
    <t>ENQ25003159</t>
  </si>
  <si>
    <t>E55420</t>
  </si>
  <si>
    <t>72/VSL/25000156</t>
  </si>
  <si>
    <t>AKHIL KUMAR</t>
  </si>
  <si>
    <t>TATA CAPITAL L;IMITED</t>
  </si>
  <si>
    <t>SOB25000134</t>
  </si>
  <si>
    <t>ENQ25001553</t>
  </si>
  <si>
    <t>E53499</t>
  </si>
  <si>
    <t>C986808</t>
  </si>
  <si>
    <t>8/VSL/25000057</t>
  </si>
  <si>
    <t>ARUN  JOSE</t>
  </si>
  <si>
    <t>SOB25000348</t>
  </si>
  <si>
    <t>ENQ25002861</t>
  </si>
  <si>
    <t>88/VSL/25000182</t>
  </si>
  <si>
    <t>SIBIN JOSE</t>
  </si>
  <si>
    <t>BAJAJ FINANCE LTD.</t>
  </si>
  <si>
    <t>ENQ25001928</t>
  </si>
  <si>
    <t>C988308</t>
  </si>
  <si>
    <t>255/VSL/25000102</t>
  </si>
  <si>
    <t>ANJALI RAVEENDRAN</t>
  </si>
  <si>
    <t>SOB25000172</t>
  </si>
  <si>
    <t>ENQ25001319</t>
  </si>
  <si>
    <t>C41775</t>
  </si>
  <si>
    <t>A019294</t>
  </si>
  <si>
    <t>27/VSL/25000073</t>
  </si>
  <si>
    <t>SIJU P OOMMEN</t>
  </si>
  <si>
    <t>SOB25002348</t>
  </si>
  <si>
    <t>ENQ25016713</t>
  </si>
  <si>
    <t>40/VSL/25001480</t>
  </si>
  <si>
    <t>LIJESH P D</t>
  </si>
  <si>
    <t>SOB25001900</t>
  </si>
  <si>
    <t>ENQ25014638</t>
  </si>
  <si>
    <t>C993002</t>
  </si>
  <si>
    <t>40/VSL/25001481</t>
  </si>
  <si>
    <t>P K VISWANATHAN</t>
  </si>
  <si>
    <t>MARUTI CELERIO ZXI+ 1L ISS AGS</t>
  </si>
  <si>
    <t>SOB25002307</t>
  </si>
  <si>
    <t>ENQ25016522</t>
  </si>
  <si>
    <t>E58572</t>
  </si>
  <si>
    <t>40/VSL/25001482</t>
  </si>
  <si>
    <t>UNAIS UMMER</t>
  </si>
  <si>
    <t>SOB25002371</t>
  </si>
  <si>
    <t>ENQ25016796</t>
  </si>
  <si>
    <t>E63317</t>
  </si>
  <si>
    <t>40/VSL/25001483</t>
  </si>
  <si>
    <t>SUBAIR B M</t>
  </si>
  <si>
    <t>SOB25001962</t>
  </si>
  <si>
    <t>ENQ25014936</t>
  </si>
  <si>
    <t>E42351</t>
  </si>
  <si>
    <t>40/VSL/25001484</t>
  </si>
  <si>
    <t>LIVIA THOMAS</t>
  </si>
  <si>
    <t>WagonR</t>
  </si>
  <si>
    <t>CANARA BANK</t>
  </si>
  <si>
    <t>CANARA</t>
  </si>
  <si>
    <t>SOB25002174</t>
  </si>
  <si>
    <t>ENQ25015697</t>
  </si>
  <si>
    <t>E58082</t>
  </si>
  <si>
    <t>40/VSL/25001485</t>
  </si>
  <si>
    <t>KRISHNACHANDRAN M C</t>
  </si>
  <si>
    <t>SOB25000125</t>
  </si>
  <si>
    <t>ENQ25001504</t>
  </si>
  <si>
    <t>8/VSL/25000058</t>
  </si>
  <si>
    <t>VANI  VISWANATH</t>
  </si>
  <si>
    <t>Swift</t>
  </si>
  <si>
    <t>MARUTI SWIFT LXI 1.2L ISS 5MT</t>
  </si>
  <si>
    <t>SOB25002257</t>
  </si>
  <si>
    <t>ENQ25016252</t>
  </si>
  <si>
    <t>F91419</t>
  </si>
  <si>
    <t>40/VSL/25001486</t>
  </si>
  <si>
    <t>SHEMEER PROPRIETOR</t>
  </si>
  <si>
    <t>SOB25002433</t>
  </si>
  <si>
    <t>ENQ25017170</t>
  </si>
  <si>
    <t>E58481</t>
  </si>
  <si>
    <t>C992684</t>
  </si>
  <si>
    <t>40/VSL/25001487</t>
  </si>
  <si>
    <t>KIRAN K S</t>
  </si>
  <si>
    <t>SOB25002389</t>
  </si>
  <si>
    <t>ENQ25016903</t>
  </si>
  <si>
    <t>E57954</t>
  </si>
  <si>
    <t>40/VSL/25001488</t>
  </si>
  <si>
    <t>LEO JOSEPH</t>
  </si>
  <si>
    <t>SOB25002337</t>
  </si>
  <si>
    <t>ENQ25016603</t>
  </si>
  <si>
    <t>40/VSL/25001489</t>
  </si>
  <si>
    <t>BINOY KURIAKOSE</t>
  </si>
  <si>
    <t>MARUTI SWIFT VXI (O) 1.2L ISS 5MT</t>
  </si>
  <si>
    <t>SOB25002377</t>
  </si>
  <si>
    <t>ENQ25016712</t>
  </si>
  <si>
    <t>E54446</t>
  </si>
  <si>
    <t>F083379</t>
  </si>
  <si>
    <t>40/VSL/25001490</t>
  </si>
  <si>
    <t>UNNIKRISHNAN C R</t>
  </si>
  <si>
    <t>SOB25000359</t>
  </si>
  <si>
    <t>ENQ25002422</t>
  </si>
  <si>
    <t>E55571</t>
  </si>
  <si>
    <t>C988665</t>
  </si>
  <si>
    <t>77/VSL/25000163</t>
  </si>
  <si>
    <t>GOKUL K T</t>
  </si>
  <si>
    <t>SOB25000354</t>
  </si>
  <si>
    <t>ENQ25002876</t>
  </si>
  <si>
    <t>E55858</t>
  </si>
  <si>
    <t>88/VSL/25000183</t>
  </si>
  <si>
    <t>CYRIAC STEPHEN</t>
  </si>
  <si>
    <t>SOB25000215</t>
  </si>
  <si>
    <t>ENQ25001903</t>
  </si>
  <si>
    <t>K126431</t>
  </si>
  <si>
    <t>126/VSL/25000119</t>
  </si>
  <si>
    <t>M E OUSEPH</t>
  </si>
  <si>
    <t>MARUTI BREZZA SMART HYBRID ZXI+ 1.5L 6AT</t>
  </si>
  <si>
    <t>SOB25000240</t>
  </si>
  <si>
    <t>ENQ25002068</t>
  </si>
  <si>
    <t>K123025</t>
  </si>
  <si>
    <t>126/VSL/25000120</t>
  </si>
  <si>
    <t>JOBY SEBASTIAN</t>
  </si>
  <si>
    <t>SOB25000247</t>
  </si>
  <si>
    <t>ENQ25002038</t>
  </si>
  <si>
    <t>255/VSL/25000103</t>
  </si>
  <si>
    <t>VINU SHAJU KS</t>
  </si>
  <si>
    <t>ICICI BANK LIMITED</t>
  </si>
  <si>
    <t>SOB25002436</t>
  </si>
  <si>
    <t>ENQ25016663</t>
  </si>
  <si>
    <t>K108241</t>
  </si>
  <si>
    <t>40/VSL/25001491</t>
  </si>
  <si>
    <t>AREAMANAGER CSD</t>
  </si>
  <si>
    <t>SOB25002440</t>
  </si>
  <si>
    <t>ENQ25017315</t>
  </si>
  <si>
    <t>K125020</t>
  </si>
  <si>
    <t>40/VSL/25001492</t>
  </si>
  <si>
    <t>SOB25002360</t>
  </si>
  <si>
    <t>ENQ25016773</t>
  </si>
  <si>
    <t>40/VSL/25001493</t>
  </si>
  <si>
    <t>LILLY</t>
  </si>
  <si>
    <t>SOB25002432</t>
  </si>
  <si>
    <t>ENQ25017156</t>
  </si>
  <si>
    <t>E58870</t>
  </si>
  <si>
    <t>C993134</t>
  </si>
  <si>
    <t>40/VSL/25001494</t>
  </si>
  <si>
    <t>RAJEEV V</t>
  </si>
  <si>
    <t>SOB25002058</t>
  </si>
  <si>
    <t>ENQ25015159</t>
  </si>
  <si>
    <t>40/VSL/25001495</t>
  </si>
  <si>
    <t>SEBIN SABU</t>
  </si>
  <si>
    <t>SOB25002186</t>
  </si>
  <si>
    <t>ENQ25015734</t>
  </si>
  <si>
    <t>F97826</t>
  </si>
  <si>
    <t>40/VSL/25001496</t>
  </si>
  <si>
    <t>MANAGING DIRECTOR</t>
  </si>
  <si>
    <t>SOB25002438</t>
  </si>
  <si>
    <t>ENQ25017292</t>
  </si>
  <si>
    <t>G00693</t>
  </si>
  <si>
    <t>40/VSL/25001497</t>
  </si>
  <si>
    <t>MANOJ P C</t>
  </si>
  <si>
    <t>SOB25000388</t>
  </si>
  <si>
    <t>ENQ25002576</t>
  </si>
  <si>
    <t>K124563</t>
  </si>
  <si>
    <t>77/VSL/25000164</t>
  </si>
  <si>
    <t>SUBEESH M R</t>
  </si>
  <si>
    <t>ENQ25002368</t>
  </si>
  <si>
    <t>E62599</t>
  </si>
  <si>
    <t>77/VSL/25000165</t>
  </si>
  <si>
    <t>REYIN U V</t>
  </si>
  <si>
    <t>SOB25000102</t>
  </si>
  <si>
    <t>ENQ25001240</t>
  </si>
  <si>
    <t>C990959</t>
  </si>
  <si>
    <t>8/VSL/25000059</t>
  </si>
  <si>
    <t>JOSE M V</t>
  </si>
  <si>
    <t>SOB25000332</t>
  </si>
  <si>
    <t>ENQ25002719</t>
  </si>
  <si>
    <t>88/VSL/25000184</t>
  </si>
  <si>
    <t>ANISH DAS</t>
  </si>
  <si>
    <t>SOB25000335</t>
  </si>
  <si>
    <t>ENQ25002744</t>
  </si>
  <si>
    <t>C47917</t>
  </si>
  <si>
    <t>A026896</t>
  </si>
  <si>
    <t>88/VSL/25000185</t>
  </si>
  <si>
    <t>AJITH P R</t>
  </si>
  <si>
    <t>SOB25000210</t>
  </si>
  <si>
    <t>ENQ25002023</t>
  </si>
  <si>
    <t>K117543</t>
  </si>
  <si>
    <t>118/VSL25000106</t>
  </si>
  <si>
    <t>XAVIER</t>
  </si>
  <si>
    <t>ENQ25002083</t>
  </si>
  <si>
    <t>K127261</t>
  </si>
  <si>
    <t>118/VSL25000107</t>
  </si>
  <si>
    <t>THOMAS K VARGHESE</t>
  </si>
  <si>
    <t>SOB25001907</t>
  </si>
  <si>
    <t>ENQ25014697</t>
  </si>
  <si>
    <t>E60439</t>
  </si>
  <si>
    <t>40/VSL/25001498</t>
  </si>
  <si>
    <t>ABHAY  MANOJ</t>
  </si>
  <si>
    <t>MARUTI TOUR H3 1L ISS 5MT</t>
  </si>
  <si>
    <t>SOB25002361</t>
  </si>
  <si>
    <t>ENQ25016710</t>
  </si>
  <si>
    <t>C992886</t>
  </si>
  <si>
    <t>40/VSL/25001499</t>
  </si>
  <si>
    <t>VIVEK VENUGOPAL</t>
  </si>
  <si>
    <t>SOB25002165</t>
  </si>
  <si>
    <t>ENQ25015647</t>
  </si>
  <si>
    <t>E58672</t>
  </si>
  <si>
    <t>40/VSL/25001500</t>
  </si>
  <si>
    <t>SASI V T</t>
  </si>
  <si>
    <t>SOB25002349</t>
  </si>
  <si>
    <t>ENQ25016702</t>
  </si>
  <si>
    <t>E62975</t>
  </si>
  <si>
    <t>40/VSL/25001501</t>
  </si>
  <si>
    <t>SUNIL V A</t>
  </si>
  <si>
    <t>SOB25002119</t>
  </si>
  <si>
    <t>ENQ25015378</t>
  </si>
  <si>
    <t>C39438</t>
  </si>
  <si>
    <t>A019327</t>
  </si>
  <si>
    <t>40/VSL/25001502</t>
  </si>
  <si>
    <t>JOSE T G</t>
  </si>
  <si>
    <t>SOB25000403</t>
  </si>
  <si>
    <t>ENQ25003179</t>
  </si>
  <si>
    <t>E58883</t>
  </si>
  <si>
    <t>72/VSL/25000157</t>
  </si>
  <si>
    <t>ABDUL SANAB</t>
  </si>
  <si>
    <t>CENTRAL BANK OF INDIA</t>
  </si>
  <si>
    <t>CBI</t>
  </si>
  <si>
    <t>ENQ25002013</t>
  </si>
  <si>
    <t>E59292</t>
  </si>
  <si>
    <t>118/VSL25000108</t>
  </si>
  <si>
    <t>JOB THOMAS</t>
  </si>
  <si>
    <t>SOB25000209</t>
  </si>
  <si>
    <t>ENQ25001853</t>
  </si>
  <si>
    <t>K125992</t>
  </si>
  <si>
    <t>126/VSL/25000121</t>
  </si>
  <si>
    <t>M P ROY</t>
  </si>
  <si>
    <t>MARUTI VICTORIS ZXI(O) 1.5L 6AT</t>
  </si>
  <si>
    <t>SOB25002226</t>
  </si>
  <si>
    <t>ENQ25016041</t>
  </si>
  <si>
    <t>40/VSL/25001503</t>
  </si>
  <si>
    <t>JUSTIN K J</t>
  </si>
  <si>
    <t>SOB25002093</t>
  </si>
  <si>
    <t>ENQ25015219</t>
  </si>
  <si>
    <t>C45173</t>
  </si>
  <si>
    <t>A023054</t>
  </si>
  <si>
    <t>40/VSL/25001504</t>
  </si>
  <si>
    <t>ANVAR K A</t>
  </si>
  <si>
    <t>SOB25002415</t>
  </si>
  <si>
    <t>ENQ25017061</t>
  </si>
  <si>
    <t>K123104</t>
  </si>
  <si>
    <t>40/VSL/25001505</t>
  </si>
  <si>
    <t>ROBIN THARAKAN</t>
  </si>
  <si>
    <t>SOB25002262</t>
  </si>
  <si>
    <t>ENQ25016263</t>
  </si>
  <si>
    <t>E57493</t>
  </si>
  <si>
    <t>C991228</t>
  </si>
  <si>
    <t>40/VSL/25001506</t>
  </si>
  <si>
    <t>VARGHESE DAVIS</t>
  </si>
  <si>
    <t>MARUTI WAGON R VXI CNG 1L 5MT</t>
  </si>
  <si>
    <t>SOB25002446</t>
  </si>
  <si>
    <t>ENQ25017373</t>
  </si>
  <si>
    <t>E63170</t>
  </si>
  <si>
    <t>40/VSL/25001507</t>
  </si>
  <si>
    <t>SANTHOSH</t>
  </si>
  <si>
    <t>SOB25001863</t>
  </si>
  <si>
    <t>ENQ25014435</t>
  </si>
  <si>
    <t>E57497</t>
  </si>
  <si>
    <t>C991446</t>
  </si>
  <si>
    <t>40/VSL/25001508</t>
  </si>
  <si>
    <t>TANYA PRASAD</t>
  </si>
  <si>
    <t>SOB25000393</t>
  </si>
  <si>
    <t>ENQ25002975</t>
  </si>
  <si>
    <t>72/VSL/25000158</t>
  </si>
  <si>
    <t>PRAVEENKUMAR K P</t>
  </si>
  <si>
    <t>SOB25000387</t>
  </si>
  <si>
    <t>ENQ25002575</t>
  </si>
  <si>
    <t>K123265</t>
  </si>
  <si>
    <t>77/VSL/25000166</t>
  </si>
  <si>
    <t>MOHANAN</t>
  </si>
  <si>
    <t>SOB25000373</t>
  </si>
  <si>
    <t>ENQ25002514</t>
  </si>
  <si>
    <t>E58209</t>
  </si>
  <si>
    <t>C992343</t>
  </si>
  <si>
    <t>77/VSL/25000167</t>
  </si>
  <si>
    <t>ALEX JOSEPH</t>
  </si>
  <si>
    <t>SOB25000145</t>
  </si>
  <si>
    <t>ENQ25001632</t>
  </si>
  <si>
    <t>K123334</t>
  </si>
  <si>
    <t>8/VSL/25000060</t>
  </si>
  <si>
    <t>MAY  THOMAS</t>
  </si>
  <si>
    <t>SOB25000236</t>
  </si>
  <si>
    <t>ENQ25002008</t>
  </si>
  <si>
    <t>E41998</t>
  </si>
  <si>
    <t>126/VSL/25000122</t>
  </si>
  <si>
    <t>NANDHUGOPAL</t>
  </si>
  <si>
    <t>ENQ25001410</t>
  </si>
  <si>
    <t>E58125</t>
  </si>
  <si>
    <t>C991645</t>
  </si>
  <si>
    <t>27/VSL/25000074</t>
  </si>
  <si>
    <t>SOB25000250</t>
  </si>
  <si>
    <t>ENQ25002543</t>
  </si>
  <si>
    <t>K103709</t>
  </si>
  <si>
    <t>28/VSL/25000116</t>
  </si>
  <si>
    <t>JAYALEKSHMI K</t>
  </si>
  <si>
    <t>SOB25002330</t>
  </si>
  <si>
    <t>ENQ25016636</t>
  </si>
  <si>
    <t>40/VSL/25001509</t>
  </si>
  <si>
    <t>PRIYA  XAVIER</t>
  </si>
  <si>
    <t>SOB25002351</t>
  </si>
  <si>
    <t>ENQ25016726</t>
  </si>
  <si>
    <t>E58761</t>
  </si>
  <si>
    <t>40/VSL/25001510</t>
  </si>
  <si>
    <t>LALITHAMBIKA M S</t>
  </si>
  <si>
    <t>SOB25002455</t>
  </si>
  <si>
    <t>ENQ25017406</t>
  </si>
  <si>
    <t>E62467</t>
  </si>
  <si>
    <t>40/VSL/25001511</t>
  </si>
  <si>
    <t>ANIL KUMAR O S</t>
  </si>
  <si>
    <t>SOB25001943</t>
  </si>
  <si>
    <t>ENQ25014805</t>
  </si>
  <si>
    <t>40/VSL/25001512</t>
  </si>
  <si>
    <t>JOBISH V</t>
  </si>
  <si>
    <t>TOUR H1</t>
  </si>
  <si>
    <t>MARUTI TOUR H1 1L 5MT</t>
  </si>
  <si>
    <t>SOB25001783</t>
  </si>
  <si>
    <t>ENQ25013974</t>
  </si>
  <si>
    <t>F329914</t>
  </si>
  <si>
    <t>40/VSL/25001513</t>
  </si>
  <si>
    <t>NIVIN C BABU</t>
  </si>
  <si>
    <t>SOB25000420</t>
  </si>
  <si>
    <t>ENQ25003279</t>
  </si>
  <si>
    <t>72/VSL/25000159</t>
  </si>
  <si>
    <t>SHEEJA</t>
  </si>
  <si>
    <t>SOB25000360</t>
  </si>
  <si>
    <t>ENQ25002430</t>
  </si>
  <si>
    <t>G01568</t>
  </si>
  <si>
    <t>77/VSL/25000168</t>
  </si>
  <si>
    <t>SIDDEEK</t>
  </si>
  <si>
    <t>SOB25000350</t>
  </si>
  <si>
    <t>ENQ25002834</t>
  </si>
  <si>
    <t>C49115</t>
  </si>
  <si>
    <t>A028120</t>
  </si>
  <si>
    <t>88/VSL/25000186</t>
  </si>
  <si>
    <t>ANOOP K DIVAKARAN</t>
  </si>
  <si>
    <t>INDIAN</t>
  </si>
  <si>
    <t>SOB25000217</t>
  </si>
  <si>
    <t>ENQ25002201</t>
  </si>
  <si>
    <t>E59792</t>
  </si>
  <si>
    <t>C994168</t>
  </si>
  <si>
    <t>118/VSL25000109</t>
  </si>
  <si>
    <t>FIFIN M S</t>
  </si>
  <si>
    <t>SOB25000235</t>
  </si>
  <si>
    <t>ENQ25001999</t>
  </si>
  <si>
    <t>K123436</t>
  </si>
  <si>
    <t>126/VSL/25000123</t>
  </si>
  <si>
    <t>MADHU V R</t>
  </si>
  <si>
    <t>SOB25001597</t>
  </si>
  <si>
    <t>ENQ25012753</t>
  </si>
  <si>
    <t>E62509</t>
  </si>
  <si>
    <t>40/VSL/25001514</t>
  </si>
  <si>
    <t>RAJEEV M R</t>
  </si>
  <si>
    <t>SOB25002145</t>
  </si>
  <si>
    <t>ENQ25015430</t>
  </si>
  <si>
    <t>E58421</t>
  </si>
  <si>
    <t>C992723</t>
  </si>
  <si>
    <t>40/VSL/25001515</t>
  </si>
  <si>
    <t>P S AFRA SHAMEER</t>
  </si>
  <si>
    <t>SOB25002143</t>
  </si>
  <si>
    <t>ENQ25015514</t>
  </si>
  <si>
    <t>E62498</t>
  </si>
  <si>
    <t>40/VSL/25001516</t>
  </si>
  <si>
    <t>RATHEESH SUKUMARAN</t>
  </si>
  <si>
    <t>SOB25002421</t>
  </si>
  <si>
    <t>ENQ25017079</t>
  </si>
  <si>
    <t>E62090</t>
  </si>
  <si>
    <t>40/VSL/25001517</t>
  </si>
  <si>
    <t>ADWAITH A</t>
  </si>
  <si>
    <t>SOB25001300</t>
  </si>
  <si>
    <t>ENQ25010606</t>
  </si>
  <si>
    <t>F322482</t>
  </si>
  <si>
    <t>40/VSL/25001518</t>
  </si>
  <si>
    <t>TONY JACOB</t>
  </si>
  <si>
    <t>MARUTI TOUR S 1.2L ISS 5MT</t>
  </si>
  <si>
    <t>SOB25001853</t>
  </si>
  <si>
    <t>ENQ25014386</t>
  </si>
  <si>
    <t>C55990</t>
  </si>
  <si>
    <t>40/VSL/25001519</t>
  </si>
  <si>
    <t>LIJO K J</t>
  </si>
  <si>
    <t>MARUTI ERTIGA SMART HYBRID ZXI 1.5L 6AT</t>
  </si>
  <si>
    <t>SOB25001674</t>
  </si>
  <si>
    <t>ENQ25013262</t>
  </si>
  <si>
    <t>E67582</t>
  </si>
  <si>
    <t>40/VSL/25001520</t>
  </si>
  <si>
    <t>PHILIP DEEN PALLAN</t>
  </si>
  <si>
    <t>SOB25001299</t>
  </si>
  <si>
    <t>ENQ25010605</t>
  </si>
  <si>
    <t>F321012</t>
  </si>
  <si>
    <t>40/VSL/25001521</t>
  </si>
  <si>
    <t>SOB25001298</t>
  </si>
  <si>
    <t>ENQ25010567</t>
  </si>
  <si>
    <t>F321347</t>
  </si>
  <si>
    <t>40/VSL/25001522</t>
  </si>
  <si>
    <t>SOB25001293</t>
  </si>
  <si>
    <t>ENQ25010249</t>
  </si>
  <si>
    <t>F315800</t>
  </si>
  <si>
    <t>40/VSL/25001523</t>
  </si>
  <si>
    <t>SOB25001295</t>
  </si>
  <si>
    <t>ENQ25010251</t>
  </si>
  <si>
    <t>F320528</t>
  </si>
  <si>
    <t>40/VSL/25001524</t>
  </si>
  <si>
    <t>SOB25001297</t>
  </si>
  <si>
    <t>ENQ25010566</t>
  </si>
  <si>
    <t>F319721</t>
  </si>
  <si>
    <t>40/VSL/25001525</t>
  </si>
  <si>
    <t>SOB25001294</t>
  </si>
  <si>
    <t>ENQ25010250</t>
  </si>
  <si>
    <t>F316052</t>
  </si>
  <si>
    <t>40/VSL/25001526</t>
  </si>
  <si>
    <t>SOB25001296</t>
  </si>
  <si>
    <t>ENQ25010565</t>
  </si>
  <si>
    <t>F320769</t>
  </si>
  <si>
    <t>40/VSL/25001527</t>
  </si>
  <si>
    <t>SOB25002460</t>
  </si>
  <si>
    <t>ENQ25017434</t>
  </si>
  <si>
    <t>E62854</t>
  </si>
  <si>
    <t>40/VSL/25001528</t>
  </si>
  <si>
    <t>SHAJU V A</t>
  </si>
  <si>
    <t>SOB25000392</t>
  </si>
  <si>
    <t>ENQ25003128</t>
  </si>
  <si>
    <t>E54730</t>
  </si>
  <si>
    <t>72/VSL/25000160</t>
  </si>
  <si>
    <t>RENY JIMSON KUTTIKKADAN</t>
  </si>
  <si>
    <t>SOB25000408</t>
  </si>
  <si>
    <t>ENQ25003206</t>
  </si>
  <si>
    <t>E48101</t>
  </si>
  <si>
    <t>72/VSL/25000161</t>
  </si>
  <si>
    <t>JAISON MATTUMPURATH XAVIER</t>
  </si>
  <si>
    <t>SOB25000389</t>
  </si>
  <si>
    <t>ENQ25002593</t>
  </si>
  <si>
    <t>F13022</t>
  </si>
  <si>
    <t>77/VSL/25000169</t>
  </si>
  <si>
    <t>PRIYA C R</t>
  </si>
  <si>
    <t>MARUTI EECO 6 STR STD 1.2L 5MT</t>
  </si>
  <si>
    <t>SOB25000369</t>
  </si>
  <si>
    <t>ENQ25002953</t>
  </si>
  <si>
    <t>E41361</t>
  </si>
  <si>
    <t>88/VSL/25000187</t>
  </si>
  <si>
    <t>BEJO BENNY</t>
  </si>
  <si>
    <t>SOB25000317</t>
  </si>
  <si>
    <t>ENQ25002626</t>
  </si>
  <si>
    <t>E62205</t>
  </si>
  <si>
    <t>C996842</t>
  </si>
  <si>
    <t>88/VSL/25000188</t>
  </si>
  <si>
    <t>UNNI CHANDRAN</t>
  </si>
  <si>
    <t>SOB NUMBER</t>
  </si>
  <si>
    <t>CUSTOMER ID</t>
  </si>
  <si>
    <t>MSSF ID</t>
  </si>
  <si>
    <t>DO NUMBER</t>
  </si>
  <si>
    <t>CUSTOMER NAME</t>
  </si>
  <si>
    <t>VEHICLE</t>
  </si>
  <si>
    <t>LOAN AMOUNT</t>
  </si>
  <si>
    <t>BRANCH</t>
  </si>
  <si>
    <t>LOGIN DATE</t>
  </si>
  <si>
    <t>PAYOUT</t>
  </si>
  <si>
    <t>PAYOUT %</t>
  </si>
  <si>
    <t>GST BENEFIT</t>
  </si>
  <si>
    <t>ADDL PAYOUT</t>
  </si>
  <si>
    <t>TOTAL PAYOUT</t>
  </si>
  <si>
    <t>Inv_Number</t>
  </si>
  <si>
    <t>Inv_Date</t>
  </si>
  <si>
    <t>MAPPING STATUS</t>
  </si>
  <si>
    <t>MSSF DUMP</t>
  </si>
  <si>
    <t>JORBIN JOSEPH</t>
  </si>
  <si>
    <t>MSSF LOGIN</t>
  </si>
  <si>
    <t>MARIA SHOMA MENDEZ</t>
  </si>
  <si>
    <t>VALSA KURIAKOSE</t>
  </si>
  <si>
    <t>260264881415</t>
  </si>
  <si>
    <t>APPL16943514</t>
  </si>
  <si>
    <t>SIJU P OMMEN</t>
  </si>
  <si>
    <t>260264912901</t>
  </si>
  <si>
    <t>SUJITH P</t>
  </si>
  <si>
    <t>KGB_40535_0000059</t>
  </si>
  <si>
    <t>KLGBH26078826371</t>
  </si>
  <si>
    <t>ETTUMANOOR</t>
  </si>
  <si>
    <t>M0033645</t>
  </si>
  <si>
    <t>K P THOMAS</t>
  </si>
  <si>
    <t>RESMIMOL R</t>
  </si>
  <si>
    <t>NAME CHANGE</t>
  </si>
  <si>
    <t>KISHORE KUMAR S MENON</t>
  </si>
  <si>
    <t>LISSIE HOSPITAL</t>
  </si>
  <si>
    <t>260265068367</t>
  </si>
  <si>
    <t>BINI</t>
  </si>
  <si>
    <t>UBI1772435790558</t>
  </si>
  <si>
    <t>SUNITHA</t>
  </si>
  <si>
    <t>KGB_40670_0000109</t>
  </si>
  <si>
    <t>KLGBH26069815694</t>
  </si>
  <si>
    <t>CHERANALLUR</t>
  </si>
  <si>
    <t>KGB_40266_0000110</t>
  </si>
  <si>
    <t>KLGBH26064809418</t>
  </si>
  <si>
    <t>PUTHUR PALAKKAD</t>
  </si>
  <si>
    <t>260365211203</t>
  </si>
  <si>
    <t>GEORGY JAMES</t>
  </si>
  <si>
    <t>KGB_40634_0000112</t>
  </si>
  <si>
    <t>KLGBH26066812497</t>
  </si>
  <si>
    <t>SIRAJ N</t>
  </si>
  <si>
    <t>THRIKKAKKARA</t>
  </si>
  <si>
    <t>NIL</t>
  </si>
  <si>
    <t>UBINR22026030501592844</t>
  </si>
  <si>
    <t>BALAKRISHNAN N V</t>
  </si>
  <si>
    <t>PATTURAIKKAL</t>
  </si>
  <si>
    <t>NUSAIBA JAMALUDHEEN</t>
  </si>
  <si>
    <t>LITHIN TOGY</t>
  </si>
  <si>
    <t>R-07339491-L</t>
  </si>
  <si>
    <t>MADHU KUMAR T S</t>
  </si>
  <si>
    <t>KLGBH26065810703</t>
  </si>
  <si>
    <t>VADANAPILLY</t>
  </si>
  <si>
    <t>KLGBH26064810356</t>
  </si>
  <si>
    <t>BKIDY26064208756</t>
  </si>
  <si>
    <t>PALLIPURAM</t>
  </si>
  <si>
    <t>KLGBH26064744737</t>
  </si>
  <si>
    <t>CHOONDAL</t>
  </si>
  <si>
    <t>KGB_40537_0000124</t>
  </si>
  <si>
    <t>KLGBH26065811691</t>
  </si>
  <si>
    <t>VINOD KUMAR</t>
  </si>
  <si>
    <t>KALOOR</t>
  </si>
  <si>
    <t>R-07339635-L</t>
  </si>
  <si>
    <t>LAKOM0002101302</t>
  </si>
  <si>
    <t>UBINR220260701807595</t>
  </si>
  <si>
    <t>POOTHOTTA</t>
  </si>
  <si>
    <t>PRAMOD UNNIKRISHNAN</t>
  </si>
  <si>
    <t>R-07338854-L</t>
  </si>
  <si>
    <t>LACOC00052104460</t>
  </si>
  <si>
    <t>SANUJ JOSEPH</t>
  </si>
  <si>
    <t>260365319895</t>
  </si>
  <si>
    <t>ANIL JOSEPH</t>
  </si>
  <si>
    <t>CHARLES P R</t>
  </si>
  <si>
    <t>DIVYA L R</t>
  </si>
  <si>
    <t>260365263619</t>
  </si>
  <si>
    <t>APPL17002137</t>
  </si>
  <si>
    <t>DA1113874</t>
  </si>
  <si>
    <t>KUNNAMKULAM</t>
  </si>
  <si>
    <t>KLGBH26070816361</t>
  </si>
  <si>
    <t>MANIKANDAN A R</t>
  </si>
  <si>
    <t>KATTOOR</t>
  </si>
  <si>
    <t>ARJUN T P</t>
  </si>
  <si>
    <t>WHL000002718520</t>
  </si>
  <si>
    <t>KGB_40567_0000154</t>
  </si>
  <si>
    <t>KLGBH26069815955</t>
  </si>
  <si>
    <t>ELAMAKKARA</t>
  </si>
  <si>
    <t>IAL-0000534678-A1</t>
  </si>
  <si>
    <t>VANI VISWANATH</t>
  </si>
  <si>
    <t>AXIS</t>
  </si>
  <si>
    <t>KGB_40567_0000146</t>
  </si>
  <si>
    <t>KLGBH26071818804</t>
  </si>
  <si>
    <t>DILALMS118741362</t>
  </si>
  <si>
    <t>BARBV26071946849</t>
  </si>
  <si>
    <t>CHITHRA P</t>
  </si>
  <si>
    <t>KLGBH26071818210</t>
  </si>
  <si>
    <t>SABIL N S</t>
  </si>
  <si>
    <t>OLARIKKARA</t>
  </si>
  <si>
    <t>WHL000002734482</t>
  </si>
  <si>
    <t>WHL000002631601</t>
  </si>
  <si>
    <t>KGB_40699_0000157</t>
  </si>
  <si>
    <t>KLGBH26076823636</t>
  </si>
  <si>
    <t>VARAPUZHA</t>
  </si>
  <si>
    <t>R-07341099-L</t>
  </si>
  <si>
    <t>LACOC00052127407</t>
  </si>
  <si>
    <t>KGB_40539_0000160</t>
  </si>
  <si>
    <t>KLGBH26065811492</t>
  </si>
  <si>
    <t>260365384305</t>
  </si>
  <si>
    <t>MANUEL SIBU</t>
  </si>
  <si>
    <t>KLGBH26072820319</t>
  </si>
  <si>
    <t>KURIACHIRA</t>
  </si>
  <si>
    <t>FABEEJA BEEVI K B</t>
  </si>
  <si>
    <t>R-07343441-L</t>
  </si>
  <si>
    <t>LACOC00052142486</t>
  </si>
  <si>
    <t>WHL000002595948</t>
  </si>
  <si>
    <t>EQ1329260075</t>
  </si>
  <si>
    <t>V132900058</t>
  </si>
  <si>
    <t>WHL000002712280</t>
  </si>
  <si>
    <t>M0034300</t>
  </si>
  <si>
    <t>CNRBR52026031980624470</t>
  </si>
  <si>
    <t>KALAMASSERY</t>
  </si>
  <si>
    <t>PV04020366</t>
  </si>
  <si>
    <t>CF26740840</t>
  </si>
  <si>
    <t>DILALMS118771222</t>
  </si>
  <si>
    <t>BARBW26077954999</t>
  </si>
  <si>
    <t>260365370411</t>
  </si>
  <si>
    <t>APPL17015847</t>
  </si>
  <si>
    <t>VISHNU K B</t>
  </si>
  <si>
    <t>DILALMS118771756</t>
  </si>
  <si>
    <t>BARBX26077763758</t>
  </si>
  <si>
    <t>A M ROAD</t>
  </si>
  <si>
    <t>260365484305</t>
  </si>
  <si>
    <t>KIRAN</t>
  </si>
  <si>
    <t>1002026031700089</t>
  </si>
  <si>
    <t>BEENA VISWANATHAN</t>
  </si>
  <si>
    <t>EQ1264260848</t>
  </si>
  <si>
    <t>V126400202</t>
  </si>
  <si>
    <t>1002026031900328</t>
  </si>
  <si>
    <t>391750998296</t>
  </si>
  <si>
    <t>SANCTIONED</t>
  </si>
  <si>
    <t>R-700215730-L</t>
  </si>
  <si>
    <t>LACOC00052138680</t>
  </si>
  <si>
    <t>GOKUL THILAKAN K T</t>
  </si>
  <si>
    <t>KGB_40551_0000172</t>
  </si>
  <si>
    <t>KLGBH26076824283</t>
  </si>
  <si>
    <t>TRIPUNITHURA</t>
  </si>
  <si>
    <t>DILALMS118773348</t>
  </si>
  <si>
    <t>BARBT26075276726</t>
  </si>
  <si>
    <t>VYTTILA</t>
  </si>
  <si>
    <t>DA1117395</t>
  </si>
  <si>
    <t>RATHEESH KUMAR M</t>
  </si>
  <si>
    <t>PV04011915</t>
  </si>
  <si>
    <t>CF26753016</t>
  </si>
  <si>
    <t>DILALMS118861691</t>
  </si>
  <si>
    <t>BARBX26077935241</t>
  </si>
  <si>
    <t>ANIL KUMAR V</t>
  </si>
  <si>
    <t>VAZHAKKALA</t>
  </si>
  <si>
    <t>FBL04260000077666</t>
  </si>
  <si>
    <t>FBBT260789429532</t>
  </si>
  <si>
    <t>KGB_40537_0000185</t>
  </si>
  <si>
    <t>KLGBH26078827501</t>
  </si>
  <si>
    <t>SUBAIR B H</t>
  </si>
  <si>
    <t>ABHAY MANOJ</t>
  </si>
  <si>
    <t>260365323993</t>
  </si>
  <si>
    <t>APPL17007301</t>
  </si>
  <si>
    <t>FDRLR52026031900534263</t>
  </si>
  <si>
    <t>WHL000002711558</t>
  </si>
  <si>
    <t>CRANGANORE</t>
  </si>
  <si>
    <t>SHEMEER S</t>
  </si>
  <si>
    <t>KGB_40282_0000186</t>
  </si>
  <si>
    <t>KLGBH26086837527</t>
  </si>
  <si>
    <t>THRIPRAYAR</t>
  </si>
  <si>
    <t>KGB_40670_0000187</t>
  </si>
  <si>
    <t>KLGBH26077825464</t>
  </si>
  <si>
    <t>ANEES T A</t>
  </si>
  <si>
    <t>M0034531</t>
  </si>
  <si>
    <t>CNRBR52026032781538467</t>
  </si>
  <si>
    <t>GEORGE KURIAKOSE</t>
  </si>
  <si>
    <t>ARAKKUNNAM</t>
  </si>
  <si>
    <t>DILALMS118821603</t>
  </si>
  <si>
    <t>BARBR52026032300952403</t>
  </si>
  <si>
    <t>ERNAKULAM</t>
  </si>
  <si>
    <t>UBI1773734556954</t>
  </si>
  <si>
    <t>UBINR22026032301108023</t>
  </si>
  <si>
    <t>KUMARAPURAM</t>
  </si>
  <si>
    <t>260365329613</t>
  </si>
  <si>
    <t>APPL17009188</t>
  </si>
  <si>
    <t>SANTHOSH BALAN</t>
  </si>
  <si>
    <t>KLGBR52026031700823709</t>
  </si>
  <si>
    <t>POOVATHUR</t>
  </si>
  <si>
    <t>R-07344344-L</t>
  </si>
  <si>
    <t>LACOC00052161567</t>
  </si>
  <si>
    <t>CBINH26082513025</t>
  </si>
  <si>
    <t>PV03986941</t>
  </si>
  <si>
    <t>CF26833231</t>
  </si>
  <si>
    <t>EQ00552622558</t>
  </si>
  <si>
    <t>V005500933</t>
  </si>
  <si>
    <t>EQ0135269526</t>
  </si>
  <si>
    <t>V013500338</t>
  </si>
  <si>
    <t>DA1116347</t>
  </si>
  <si>
    <t>LACOC00052161997</t>
  </si>
  <si>
    <t>DILALMS118861790</t>
  </si>
  <si>
    <t>BARBP26084564779</t>
  </si>
  <si>
    <t>PRIYA XAVIER</t>
  </si>
  <si>
    <t>R-07344958-L</t>
  </si>
  <si>
    <t>LACOC00052172842</t>
  </si>
  <si>
    <t>NANDHU GOPAL</t>
  </si>
  <si>
    <t>R-07346497-L</t>
  </si>
  <si>
    <t>LATHR00052172256</t>
  </si>
  <si>
    <t>260365703593</t>
  </si>
  <si>
    <t>SHIYAS C K</t>
  </si>
  <si>
    <t>260365701549</t>
  </si>
  <si>
    <t>MOLLY JOHNSON</t>
  </si>
  <si>
    <t>SBIN426085646448</t>
  </si>
  <si>
    <t>CHERUR</t>
  </si>
  <si>
    <t>BARBH26085948787</t>
  </si>
  <si>
    <t>EQ00552622668</t>
  </si>
  <si>
    <t>V005500934</t>
  </si>
  <si>
    <t>RAJESH PURUSHOTHAMA PAI</t>
  </si>
  <si>
    <t>SIRIL V M</t>
  </si>
  <si>
    <t>R-07343530-L</t>
  </si>
  <si>
    <t>LATHR00052176910</t>
  </si>
  <si>
    <t>AMBILI K N</t>
  </si>
  <si>
    <t>KGB_40540_0000210</t>
  </si>
  <si>
    <t>G VIJAY ANTONY</t>
  </si>
  <si>
    <t>WHL000002764012</t>
  </si>
  <si>
    <t>PV04075645</t>
  </si>
  <si>
    <t>ASHOKAN K K</t>
  </si>
  <si>
    <t>SIBLN52026032597335702</t>
  </si>
  <si>
    <t>SMITHA SEBASTIAN</t>
  </si>
  <si>
    <t>IRINJALAKUDA</t>
  </si>
  <si>
    <t>R-07328886-L</t>
  </si>
  <si>
    <t>LACOC00052165198</t>
  </si>
  <si>
    <t>MINI ANILKUMAR/ADWAITH</t>
  </si>
  <si>
    <t>FBL04260000077534</t>
  </si>
  <si>
    <t>FBBT260870088239</t>
  </si>
  <si>
    <t>EQ01962621008</t>
  </si>
  <si>
    <t>V019601507</t>
  </si>
  <si>
    <t>EQ1264260924</t>
  </si>
  <si>
    <t>V126400239</t>
  </si>
  <si>
    <t>VISWANATH N B</t>
  </si>
  <si>
    <t>APPL16971003</t>
  </si>
  <si>
    <t>RIJIN A A</t>
  </si>
  <si>
    <t>KLGBH26086838133</t>
  </si>
  <si>
    <t>PERUVA</t>
  </si>
  <si>
    <t>PV04080552</t>
  </si>
  <si>
    <t>ATHIRA REJI</t>
  </si>
  <si>
    <t>SL NO</t>
  </si>
  <si>
    <t>OUTLET LOCATION</t>
  </si>
  <si>
    <t>STATUS</t>
  </si>
  <si>
    <t>Rajan K V</t>
  </si>
  <si>
    <t>Mercilin Shipin Tp</t>
  </si>
  <si>
    <t>UCO</t>
  </si>
  <si>
    <t>Joe Baby</t>
  </si>
  <si>
    <t>PENDING</t>
  </si>
  <si>
    <t>Jaimi Lopez</t>
  </si>
  <si>
    <t>Chithra P</t>
  </si>
  <si>
    <t>Manu T M</t>
  </si>
  <si>
    <t>FNC</t>
  </si>
  <si>
    <t>Anne Grace David</t>
  </si>
  <si>
    <t>CANCELLED</t>
  </si>
  <si>
    <t>Satheesan V A</t>
  </si>
  <si>
    <t>Cijo K Babu</t>
  </si>
  <si>
    <t>Sreejith K A</t>
  </si>
  <si>
    <t>Anil  Kumar</t>
  </si>
  <si>
    <t>Ans Thomas</t>
  </si>
  <si>
    <t>Alex Joseph</t>
  </si>
  <si>
    <t>Sudheesh K V</t>
  </si>
  <si>
    <t>Aneesh Babu M S</t>
  </si>
  <si>
    <t>Joshi Mon Abraham</t>
  </si>
  <si>
    <t>Mugibrehman V M</t>
  </si>
  <si>
    <t>Prasanth Mohanan</t>
  </si>
  <si>
    <t>Eldho K Paul</t>
  </si>
  <si>
    <t>Jerish V Jose</t>
  </si>
  <si>
    <t>Sanuj Joseph</t>
  </si>
  <si>
    <t>Vishnu P S</t>
  </si>
  <si>
    <t>Renju P Menon</t>
  </si>
  <si>
    <t>Abhinav J</t>
  </si>
  <si>
    <t>Aidrin Vivera</t>
  </si>
  <si>
    <t>Parvathy Jaiprakash</t>
  </si>
  <si>
    <t>Sanjeev Stanly</t>
  </si>
  <si>
    <t>Manjusha K</t>
  </si>
  <si>
    <t>Shibu A R</t>
  </si>
  <si>
    <t>Abdul Rafeek   P A</t>
  </si>
  <si>
    <t>Thuthuppilly Aleyar Haseena</t>
  </si>
  <si>
    <t>Philip Sebastian</t>
  </si>
  <si>
    <t>Sibin Jose</t>
  </si>
  <si>
    <t>Anoob P A</t>
  </si>
  <si>
    <t>Anoop K Divakaran</t>
  </si>
  <si>
    <t>Faseela A Y</t>
  </si>
  <si>
    <t>R  Jerome</t>
  </si>
  <si>
    <t>Nishad A K</t>
  </si>
  <si>
    <t>Genald Giltan</t>
  </si>
  <si>
    <t>CANCEL</t>
  </si>
  <si>
    <t>Vineeth Kumar Kumargirija</t>
  </si>
  <si>
    <t>Manikandan N A</t>
  </si>
  <si>
    <t>Sangeetha K</t>
  </si>
  <si>
    <t>Ribin R B</t>
  </si>
  <si>
    <t>Akshay P</t>
  </si>
  <si>
    <t>Dhaneesh</t>
  </si>
  <si>
    <t>Aneesh T R</t>
  </si>
  <si>
    <t>Sathyan</t>
  </si>
  <si>
    <t>Shahzad V S</t>
  </si>
  <si>
    <t>Vivek K B</t>
  </si>
  <si>
    <t>Abdul Naseer</t>
  </si>
  <si>
    <t>V J Johnson</t>
  </si>
  <si>
    <t>Janish P Mathew</t>
  </si>
  <si>
    <t>Dani C A</t>
  </si>
  <si>
    <t>Sijo Paulose</t>
  </si>
  <si>
    <t>Saly Sajan</t>
  </si>
  <si>
    <t>Rohildas P V</t>
  </si>
  <si>
    <t>Muhammed Hashim Kk</t>
  </si>
  <si>
    <t>Unais Ummer</t>
  </si>
  <si>
    <t>Sudhi</t>
  </si>
  <si>
    <t>Varghese Kutty Pp</t>
  </si>
  <si>
    <t>Sreejith M C</t>
  </si>
  <si>
    <t>Proprietor Thekkoottparakasan Lasitha</t>
  </si>
  <si>
    <t>Kadar Sherief</t>
  </si>
  <si>
    <t>Pramod</t>
  </si>
  <si>
    <t>Babykutty A U</t>
  </si>
  <si>
    <t>Chrismon Raju</t>
  </si>
  <si>
    <t>Kiran T G</t>
  </si>
  <si>
    <t>Sabeena</t>
  </si>
  <si>
    <t>Shyja Nazer</t>
  </si>
  <si>
    <t>Devassykutty</t>
  </si>
  <si>
    <t>Arun  Jose</t>
  </si>
  <si>
    <t>Bhanuprakash D Prabhu</t>
  </si>
  <si>
    <t>Ajeesh Mathew George</t>
  </si>
  <si>
    <t>Pramod K</t>
  </si>
  <si>
    <t>Siyad T M</t>
  </si>
  <si>
    <t>Abdul Sathar</t>
  </si>
  <si>
    <t>Abhilash K S</t>
  </si>
  <si>
    <t>Jithin Joseph</t>
  </si>
  <si>
    <t>Teqtiveventures Privatelimited</t>
  </si>
  <si>
    <t>Subhijith V S</t>
  </si>
  <si>
    <t>Ajmal Ali K A</t>
  </si>
  <si>
    <t>Reny Jimson Kuttikkadan</t>
  </si>
  <si>
    <t>Praveenkumar K P</t>
  </si>
  <si>
    <t>Viswanathan M</t>
  </si>
  <si>
    <t>Proprietor Muhammed Fazilma</t>
  </si>
  <si>
    <t>Gopinadhan Elayadam</t>
  </si>
  <si>
    <t>Jiji Biju</t>
  </si>
  <si>
    <t>Cyriac Stephen</t>
  </si>
  <si>
    <t>Aneesha</t>
  </si>
  <si>
    <t>Murukan P P</t>
  </si>
  <si>
    <t>Priyanka C Nair</t>
  </si>
  <si>
    <t>Praveen B Thilak</t>
  </si>
  <si>
    <t>Muhammed Siyad</t>
  </si>
  <si>
    <t>Mahesh Kumar P S</t>
  </si>
  <si>
    <t>Sanuj  Joseph</t>
  </si>
  <si>
    <t>Shiji  Dhanesh</t>
  </si>
  <si>
    <t>Directorgeneralofprison Andcorrectionalservices</t>
  </si>
  <si>
    <t>Meenakshi Viswanathan</t>
  </si>
  <si>
    <t>Nusaiba</t>
  </si>
  <si>
    <t>Suresh  G</t>
  </si>
  <si>
    <t>BPCL</t>
  </si>
  <si>
    <t>Shanavas V I</t>
  </si>
  <si>
    <t>Joy Joseph</t>
  </si>
  <si>
    <t>Sinas M N</t>
  </si>
  <si>
    <t>Rahul N R</t>
  </si>
  <si>
    <t>Rakesh P K</t>
  </si>
  <si>
    <t>Prasanth T N</t>
  </si>
  <si>
    <t>Vijayan T S</t>
  </si>
  <si>
    <t>Anila Mary Simon</t>
  </si>
  <si>
    <t>K S Asokan</t>
  </si>
  <si>
    <t>Jyothi A G</t>
  </si>
  <si>
    <t>Rahul C H</t>
  </si>
  <si>
    <t>Manuel Sibu Aj</t>
  </si>
  <si>
    <t>Albin  Reji</t>
  </si>
  <si>
    <t>Chandrasekhar P M</t>
  </si>
  <si>
    <t>Manoj A S</t>
  </si>
  <si>
    <t>Sadanandan P V</t>
  </si>
  <si>
    <t>Priya Xavier</t>
  </si>
  <si>
    <t>Akhil Vinod</t>
  </si>
  <si>
    <t>Anil Kumar V</t>
  </si>
  <si>
    <t>Al Ameen S</t>
  </si>
  <si>
    <t>Chairman Km Noordeen</t>
  </si>
  <si>
    <t>Sreevidya S</t>
  </si>
  <si>
    <t>Mudzeer C M</t>
  </si>
  <si>
    <t>Binoy Kuriakose</t>
  </si>
  <si>
    <t>Director</t>
  </si>
  <si>
    <t>Linu Joseph Mj</t>
  </si>
  <si>
    <t>Antony Mt</t>
  </si>
  <si>
    <t>Ravi Narayan Nair</t>
  </si>
  <si>
    <t>Babu I V</t>
  </si>
  <si>
    <t>Shaju K J</t>
  </si>
  <si>
    <t>Naseema C K</t>
  </si>
  <si>
    <t>Poujo  Poulose</t>
  </si>
  <si>
    <t>Manoj P C</t>
  </si>
  <si>
    <t>Reji K R</t>
  </si>
  <si>
    <t>REJI</t>
  </si>
  <si>
    <t>Thomas K Varghese</t>
  </si>
  <si>
    <t>Ajith  Abraham</t>
  </si>
  <si>
    <t>Maria Thomas</t>
  </si>
  <si>
    <t>John  Thomas</t>
  </si>
  <si>
    <t>Ajmal Mujeeb</t>
  </si>
  <si>
    <t>Asharaf C M</t>
  </si>
  <si>
    <t>Simon V C</t>
  </si>
  <si>
    <t>Shaju P C</t>
  </si>
  <si>
    <t>Noufal Majeed</t>
  </si>
  <si>
    <t>Ushakumari K P</t>
  </si>
  <si>
    <t>Suresh Babu K S</t>
  </si>
  <si>
    <t>Kishore P K</t>
  </si>
  <si>
    <t xml:space="preserve">Siby George </t>
  </si>
  <si>
    <t>Akhil K P</t>
  </si>
  <si>
    <t>Abhijith T S</t>
  </si>
  <si>
    <t>Aswathy Unnikrishnan</t>
  </si>
  <si>
    <t>Harikrishnan M S</t>
  </si>
  <si>
    <t>Xavier T J</t>
  </si>
  <si>
    <t>Santhoshkumar E K</t>
  </si>
  <si>
    <t>Saiju P B</t>
  </si>
  <si>
    <t>Robin Thomas</t>
  </si>
  <si>
    <t>Saifulla Puthiyaveettil Kottuparambil</t>
  </si>
  <si>
    <t>Lijesh P D</t>
  </si>
  <si>
    <t>Sunil V A</t>
  </si>
  <si>
    <t>Divin Das</t>
  </si>
  <si>
    <t>Lalithambika M S</t>
  </si>
  <si>
    <t>Akshay P P</t>
  </si>
  <si>
    <t>John Joseph</t>
  </si>
  <si>
    <t>Bibin  Baby</t>
  </si>
  <si>
    <t>Shihabudheen P A</t>
  </si>
  <si>
    <t>Bony</t>
  </si>
  <si>
    <t>SREERAM</t>
  </si>
  <si>
    <t>Nambrath  Anand</t>
  </si>
  <si>
    <t>Kasimkutty A S</t>
  </si>
  <si>
    <t>Akhil Kumar</t>
  </si>
  <si>
    <t>Hiran Lal Kr</t>
  </si>
  <si>
    <t>MUDRA</t>
  </si>
  <si>
    <t>Aanjana M Baby</t>
  </si>
  <si>
    <t>M R Renjith</t>
  </si>
  <si>
    <t>Sharan Fraizlin</t>
  </si>
  <si>
    <t>Hariesh V C</t>
  </si>
  <si>
    <t>Jose T D</t>
  </si>
  <si>
    <t>KPLM CASE</t>
  </si>
  <si>
    <t>M N Jayan</t>
  </si>
  <si>
    <t>Lilly</t>
  </si>
  <si>
    <t>Vivek Venugopal</t>
  </si>
  <si>
    <t>Vinoth N</t>
  </si>
  <si>
    <t>Vasantha P</t>
  </si>
  <si>
    <t>Sreelakshmi K C</t>
  </si>
  <si>
    <t>Devika Proprietor</t>
  </si>
  <si>
    <t>Nita Sunny</t>
  </si>
  <si>
    <t>Mufeedh Ahamed M M</t>
  </si>
  <si>
    <t>Suja  Sabu</t>
  </si>
  <si>
    <t>Amal Varghese</t>
  </si>
  <si>
    <t>Sojan K D</t>
  </si>
  <si>
    <t>Subair B M</t>
  </si>
  <si>
    <t>Divya Valsan</t>
  </si>
  <si>
    <t>Binu   Em</t>
  </si>
  <si>
    <t>Jen Jacob Jooban</t>
  </si>
  <si>
    <t>Akhil Parameswaran</t>
  </si>
  <si>
    <t>Xavier</t>
  </si>
  <si>
    <t>A M Shajahan</t>
  </si>
  <si>
    <t>Abdul Sanab</t>
  </si>
  <si>
    <t>Sumesh M Nair</t>
  </si>
  <si>
    <t>Akhil M A</t>
  </si>
  <si>
    <t>Ambili</t>
  </si>
  <si>
    <t>Mohanan</t>
  </si>
  <si>
    <t>Subeesh M R</t>
  </si>
  <si>
    <t>Yadukrishnan T U</t>
  </si>
  <si>
    <t>Sheeja P F</t>
  </si>
  <si>
    <t>Chacko C Sebastian</t>
  </si>
  <si>
    <t>Ajitkumar Govindji</t>
  </si>
  <si>
    <t>Vipal Manohar</t>
  </si>
  <si>
    <t>Ashokan K K</t>
  </si>
  <si>
    <t>Parameswaran V T</t>
  </si>
  <si>
    <t>Nimisha I M</t>
  </si>
  <si>
    <t>Remya Raghu</t>
  </si>
  <si>
    <t>Haneesh C M</t>
  </si>
  <si>
    <t>Unnikrishnan C R</t>
  </si>
  <si>
    <t>Krishnapriya K B</t>
  </si>
  <si>
    <t>Salij M S</t>
  </si>
  <si>
    <t>Aswana Gopal</t>
  </si>
  <si>
    <t>Vibin Varghese</t>
  </si>
  <si>
    <t>Sheeba Oommen</t>
  </si>
  <si>
    <t>Santhosh A R</t>
  </si>
  <si>
    <t>Abdulla Hussain</t>
  </si>
  <si>
    <t>Smitha  Sebastian</t>
  </si>
  <si>
    <t>Arjun T P</t>
  </si>
  <si>
    <t>Bolly Daison</t>
  </si>
  <si>
    <t>Lenin K N</t>
  </si>
  <si>
    <t>V K Venugopalan</t>
  </si>
  <si>
    <t>Leo Joseph</t>
  </si>
  <si>
    <t>INDUSIND</t>
  </si>
  <si>
    <t>G Vijay Antony</t>
  </si>
  <si>
    <t>Faizal C M</t>
  </si>
  <si>
    <t>Nishanth T K</t>
  </si>
  <si>
    <t>Vishnu T V</t>
  </si>
  <si>
    <t>Hasna Basheer</t>
  </si>
  <si>
    <t>Meetu K Davis</t>
  </si>
  <si>
    <t>Aboobeckar</t>
  </si>
  <si>
    <t>Samshitha E K</t>
  </si>
  <si>
    <t>Aboobacker M A</t>
  </si>
  <si>
    <t>Noufal Veluthaparambil</t>
  </si>
  <si>
    <t>M V Davis</t>
  </si>
  <si>
    <t>Sudheesh</t>
  </si>
  <si>
    <t>Babu P C</t>
  </si>
  <si>
    <t>Reji P K</t>
  </si>
  <si>
    <t>Vinu Shaju Ks</t>
  </si>
  <si>
    <t>Indira Sajeevan</t>
  </si>
  <si>
    <t>Vishnu G R</t>
  </si>
  <si>
    <t>Cliffin C Climson</t>
  </si>
  <si>
    <t>Anirudhan V S</t>
  </si>
  <si>
    <t>Vishnu U</t>
  </si>
  <si>
    <t>Shaijo Thomas Mj</t>
  </si>
  <si>
    <t>Sarun Kumar Ks</t>
  </si>
  <si>
    <t>Manu Murali</t>
  </si>
  <si>
    <t>Raji P A</t>
  </si>
  <si>
    <t>Rohith Mohan</t>
  </si>
  <si>
    <t>Murali P M</t>
  </si>
  <si>
    <t>Pankajakshan Meera</t>
  </si>
  <si>
    <t>Sona Sunny Chakkalakkal</t>
  </si>
  <si>
    <t>Priya C R</t>
  </si>
  <si>
    <t>Jacob</t>
  </si>
  <si>
    <t>Noufiya M I</t>
  </si>
  <si>
    <t>Chethan Babu</t>
  </si>
  <si>
    <t>Nibu Paul</t>
  </si>
  <si>
    <t>Sudheesh M S</t>
  </si>
  <si>
    <t>Shalex Sebastian</t>
  </si>
  <si>
    <t>Habeebu Rahiman M A</t>
  </si>
  <si>
    <t>Anitha C P</t>
  </si>
  <si>
    <t>Moncy Joy</t>
  </si>
  <si>
    <t>Jaison Mattumpurath Xavier</t>
  </si>
  <si>
    <t>Unnikrishnan</t>
  </si>
  <si>
    <t>Parvathy P</t>
  </si>
  <si>
    <t>Syam P T</t>
  </si>
  <si>
    <t>Resmi Raveendran</t>
  </si>
  <si>
    <t>Jeevan Raj</t>
  </si>
  <si>
    <t>Madhu V R</t>
  </si>
  <si>
    <t>Nandhugopal</t>
  </si>
  <si>
    <t>George Jestin T R</t>
  </si>
  <si>
    <t>Aboobakkar Sideeq Pm</t>
  </si>
  <si>
    <t>Jithu S</t>
  </si>
  <si>
    <t>Beegum Thasleena Kp</t>
  </si>
  <si>
    <t>Rakesh Ravi</t>
  </si>
  <si>
    <t>Abdul Jaleel. K I</t>
  </si>
  <si>
    <t>Biju George</t>
  </si>
  <si>
    <t>Dileepkumar V C</t>
  </si>
  <si>
    <t>A Sujith</t>
  </si>
  <si>
    <t>Suneesh V R</t>
  </si>
  <si>
    <t>Bibin Paulose</t>
  </si>
  <si>
    <t>Rahul T S</t>
  </si>
  <si>
    <t>Jeena Mathew</t>
  </si>
  <si>
    <t>Nixon P J</t>
  </si>
  <si>
    <t>Sruthy K S</t>
  </si>
  <si>
    <t>Jisha Jose</t>
  </si>
  <si>
    <t>Robin Tharakan</t>
  </si>
  <si>
    <t>Designated Partner</t>
  </si>
  <si>
    <t>Soumish Kuttikkaden</t>
  </si>
  <si>
    <t>Abhijith A Menon</t>
  </si>
  <si>
    <t>K C Kesavan</t>
  </si>
  <si>
    <t>Kollamparambil John George</t>
  </si>
  <si>
    <t>Adwaith A</t>
  </si>
  <si>
    <t>Dinil Kumar K D</t>
  </si>
  <si>
    <t>Jijo Eh</t>
  </si>
  <si>
    <t>Ageesh M A</t>
  </si>
  <si>
    <t>Niyas R A</t>
  </si>
  <si>
    <t>Binu C J</t>
  </si>
  <si>
    <t>Proprietor</t>
  </si>
  <si>
    <t>Akhil Td</t>
  </si>
  <si>
    <t>Rexon Roy</t>
  </si>
  <si>
    <t>Febeeja Beevi</t>
  </si>
  <si>
    <t>Shajahan P A</t>
  </si>
  <si>
    <t>G Vinayarajan</t>
  </si>
  <si>
    <t>Tincy Babu</t>
  </si>
  <si>
    <t>Suresh K</t>
  </si>
  <si>
    <t>Jayakumar T G</t>
  </si>
  <si>
    <t>Manoj Pc</t>
  </si>
  <si>
    <t>Shaijo Thomas A J</t>
  </si>
  <si>
    <t>Rajeev V</t>
  </si>
  <si>
    <t>Kiran K S</t>
  </si>
  <si>
    <t>Subash Chandra Bose</t>
  </si>
  <si>
    <t>Sojan K T</t>
  </si>
  <si>
    <t>Areamanager Canteen Stores Department</t>
  </si>
  <si>
    <t>Abin Paul</t>
  </si>
  <si>
    <t>Tulip Abdul Latheef</t>
  </si>
  <si>
    <t>Jithin Sankar K S</t>
  </si>
  <si>
    <t>K U Jose</t>
  </si>
  <si>
    <t>Akhil Raj</t>
  </si>
  <si>
    <t>Sunilkumar</t>
  </si>
  <si>
    <t>Shifla K S</t>
  </si>
  <si>
    <t>Ajithan K R</t>
  </si>
  <si>
    <t>Mohammed Sakker P S</t>
  </si>
  <si>
    <t>Remya M N</t>
  </si>
  <si>
    <t>Vijayalakshmi M S</t>
  </si>
  <si>
    <t>Jijo K A</t>
  </si>
  <si>
    <t>Herman Nevis</t>
  </si>
  <si>
    <t>Secretary</t>
  </si>
  <si>
    <t>Robin K Jacob</t>
  </si>
  <si>
    <t>Aldha Susan George</t>
  </si>
  <si>
    <t>Bindu K P</t>
  </si>
  <si>
    <t>Angiras P R</t>
  </si>
  <si>
    <t>Muhammed Labeeb T P</t>
  </si>
  <si>
    <t>Ansar K E</t>
  </si>
  <si>
    <t>K Pm Haneef</t>
  </si>
  <si>
    <t>Lijo T G</t>
  </si>
  <si>
    <t>Sreeraj N V</t>
  </si>
  <si>
    <t>Joby Sebastian</t>
  </si>
  <si>
    <t>Faseela M K</t>
  </si>
  <si>
    <t>Ajesh T N</t>
  </si>
  <si>
    <t>Bejo Benny</t>
  </si>
  <si>
    <t>Soumya Sojo</t>
  </si>
  <si>
    <t>Joseph P D</t>
  </si>
  <si>
    <t>Jaison A V</t>
  </si>
  <si>
    <t>Nasila P K</t>
  </si>
  <si>
    <t>Ratheesh E G</t>
  </si>
  <si>
    <t>Fijo T L</t>
  </si>
  <si>
    <t>Ayoob R V</t>
  </si>
  <si>
    <t>Siril V M</t>
  </si>
  <si>
    <t>Jayalekshmi K</t>
  </si>
  <si>
    <t>Vinod Andi</t>
  </si>
  <si>
    <t>May  Thomas</t>
  </si>
  <si>
    <t>Proprietor Sanuja A V</t>
  </si>
  <si>
    <t>Antony Joseph</t>
  </si>
  <si>
    <t>Kadeparambil Mighael Augustine</t>
  </si>
  <si>
    <t>Santhosh</t>
  </si>
  <si>
    <t>Pranav A M</t>
  </si>
  <si>
    <t>Paul T Mathew</t>
  </si>
  <si>
    <t>Sijo Kurian</t>
  </si>
  <si>
    <t>Diwakar Keshav Kamath</t>
  </si>
  <si>
    <t>P G Cherian</t>
  </si>
  <si>
    <t>Aneesh P G</t>
  </si>
  <si>
    <t>Faizal Razi Ah</t>
  </si>
  <si>
    <t>Liji P Nair</t>
  </si>
  <si>
    <t>Anil Kumar O S</t>
  </si>
  <si>
    <t>Akhil K N</t>
  </si>
  <si>
    <t>Sherly Aniyan</t>
  </si>
  <si>
    <t>K G Johnson</t>
  </si>
  <si>
    <t>Shaju V A</t>
  </si>
  <si>
    <t>Vimal Kumar R</t>
  </si>
  <si>
    <t>Yasir Arafath Ms</t>
  </si>
  <si>
    <t>Sheeja</t>
  </si>
  <si>
    <t>Adhithya C T</t>
  </si>
  <si>
    <t>Ashik Antony</t>
  </si>
  <si>
    <t>Arya Vijayan</t>
  </si>
  <si>
    <t>Jithin Raj</t>
  </si>
  <si>
    <t>Arathy Vidhyadharan</t>
  </si>
  <si>
    <t>P S Narayanan</t>
  </si>
  <si>
    <t>Smitha E C</t>
  </si>
  <si>
    <t>T A Saseedharan</t>
  </si>
  <si>
    <t>Anvar</t>
  </si>
  <si>
    <t>Sharfas P A</t>
  </si>
  <si>
    <t>Sarafudheen</t>
  </si>
  <si>
    <t>Jancy  Martin</t>
  </si>
  <si>
    <t>Rajesh Purushothama Pai</t>
  </si>
  <si>
    <t>Elvis Dominic Dcruz</t>
  </si>
  <si>
    <t>Paul K Varkey</t>
  </si>
  <si>
    <t>Fifin M S</t>
  </si>
  <si>
    <t>Gregary V Veepanath</t>
  </si>
  <si>
    <t>Ashna Mathai</t>
  </si>
  <si>
    <t>SALES OUTLET</t>
  </si>
  <si>
    <t>SORCE</t>
  </si>
  <si>
    <t>Ismail K A</t>
  </si>
  <si>
    <t>NEJIL KA</t>
  </si>
  <si>
    <t>George Kuriakose</t>
  </si>
  <si>
    <t>Manoj A A</t>
  </si>
  <si>
    <t>Jobish V</t>
  </si>
  <si>
    <t>P S Afra Shameer</t>
  </si>
  <si>
    <t>AMALRAJ ANTHONY</t>
  </si>
  <si>
    <t>CHANCHAL KG</t>
  </si>
  <si>
    <t>Githin C P</t>
  </si>
  <si>
    <t>SURYAKANTH</t>
  </si>
  <si>
    <t>MOHAMMED USMAN</t>
  </si>
  <si>
    <t>Vishnu K B</t>
  </si>
  <si>
    <t>ADWAIDH ML</t>
  </si>
  <si>
    <t>Tony Jacob</t>
  </si>
  <si>
    <t>SRIRAM</t>
  </si>
  <si>
    <t>Shamsudheen C K</t>
  </si>
  <si>
    <t>ARAVIND</t>
  </si>
  <si>
    <t>Anilkumar O S</t>
  </si>
  <si>
    <t>Unni Chandran</t>
  </si>
  <si>
    <t>JITHINCHANDRAN KC</t>
  </si>
  <si>
    <t>Shima V S</t>
  </si>
  <si>
    <t>Rajeev M R</t>
  </si>
  <si>
    <t>ANUKUTTAN KR</t>
  </si>
  <si>
    <t>Abdul Rahim Pm</t>
  </si>
  <si>
    <t>ABIN KURIAN NEXA</t>
  </si>
  <si>
    <t>Lijo K J</t>
  </si>
  <si>
    <t>JEMON</t>
  </si>
  <si>
    <t>Nidhin T S</t>
  </si>
  <si>
    <t>N P Padmakumar</t>
  </si>
  <si>
    <t>Georgy James</t>
  </si>
  <si>
    <t>MOHAMMED RIYAS</t>
  </si>
  <si>
    <t>Rijin A A</t>
  </si>
  <si>
    <t>AMITH YACOB</t>
  </si>
  <si>
    <t>ANANDAKRISHNAN PA</t>
  </si>
  <si>
    <t>Sujith Sukumaran</t>
  </si>
  <si>
    <t>NIKESHKRISHNA PS</t>
  </si>
  <si>
    <t>Viswanath N B</t>
  </si>
  <si>
    <t>JEOMON</t>
  </si>
  <si>
    <t>Varghese K J</t>
  </si>
  <si>
    <t>NIDHIN CD</t>
  </si>
  <si>
    <t>NIDHIN KU</t>
  </si>
  <si>
    <t>Maneesha K A</t>
  </si>
  <si>
    <t>Sarin Stanly</t>
  </si>
  <si>
    <t>Tony George Cj</t>
  </si>
  <si>
    <t>Shiyas C K</t>
  </si>
  <si>
    <t>Shanish V S</t>
  </si>
  <si>
    <t>Athira Reji</t>
  </si>
  <si>
    <t>Vijith P V</t>
  </si>
  <si>
    <t>SAJIN TS</t>
  </si>
  <si>
    <t>Naufal</t>
  </si>
  <si>
    <t>SALDATH</t>
  </si>
  <si>
    <t>Anil Kumar Pillai</t>
  </si>
  <si>
    <t>Nivin C Babu</t>
  </si>
  <si>
    <t>SANJAY MG</t>
  </si>
  <si>
    <t>Philip Deen Pallan</t>
  </si>
  <si>
    <t>Sarath Sankar</t>
  </si>
  <si>
    <t>FINANCE COMPANY</t>
  </si>
  <si>
    <t>SHORT CODE</t>
  </si>
  <si>
    <t>MODEL</t>
  </si>
  <si>
    <t>AXIS BANK</t>
  </si>
  <si>
    <t>Loc_Code</t>
  </si>
  <si>
    <t>Location</t>
  </si>
  <si>
    <t>ERP LOGIN</t>
  </si>
  <si>
    <t>Mul Dealer
 Code</t>
  </si>
  <si>
    <t>TR_ID</t>
  </si>
  <si>
    <t>Active DMS IDs</t>
  </si>
  <si>
    <t>Password</t>
  </si>
  <si>
    <t>Cordinators</t>
  </si>
  <si>
    <t>Login %</t>
  </si>
  <si>
    <t>MSSF Pend.</t>
  </si>
  <si>
    <t>EDL</t>
  </si>
  <si>
    <t>C05011-EDL</t>
  </si>
  <si>
    <t>rkpr</t>
  </si>
  <si>
    <t>Malayalam2</t>
  </si>
  <si>
    <t>CVK</t>
  </si>
  <si>
    <t>C05011-CVK</t>
  </si>
  <si>
    <t>0J02</t>
  </si>
  <si>
    <t>sai.cvk.sales1</t>
  </si>
  <si>
    <t>Sai@12345</t>
  </si>
  <si>
    <t>Salman</t>
  </si>
  <si>
    <t>KDU</t>
  </si>
  <si>
    <t>KODUNGALUR</t>
  </si>
  <si>
    <t>C05012-KDU</t>
  </si>
  <si>
    <t>8K01</t>
  </si>
  <si>
    <t>kdu.acc</t>
  </si>
  <si>
    <t>Sivaprasad</t>
  </si>
  <si>
    <t>PRM</t>
  </si>
  <si>
    <t>C05013-PRM</t>
  </si>
  <si>
    <t>8W01</t>
  </si>
  <si>
    <t>prm.sales</t>
  </si>
  <si>
    <t>Sinto</t>
  </si>
  <si>
    <t>KIG</t>
  </si>
  <si>
    <t>C05015-KIG</t>
  </si>
  <si>
    <t>RP01</t>
  </si>
  <si>
    <t>sai.kig.sales1</t>
  </si>
  <si>
    <t>S-PRESSO</t>
  </si>
  <si>
    <t>Amal</t>
  </si>
  <si>
    <t>KTH</t>
  </si>
  <si>
    <t>KOOTHATUKULAM</t>
  </si>
  <si>
    <t>C05016-KTH</t>
  </si>
  <si>
    <t>VM01</t>
  </si>
  <si>
    <t>sales.kth</t>
  </si>
  <si>
    <t>Kth@12345</t>
  </si>
  <si>
    <t>Wilson</t>
  </si>
  <si>
    <t>LSP</t>
  </si>
  <si>
    <t>C05017-LSP</t>
  </si>
  <si>
    <t>SJ01</t>
  </si>
  <si>
    <t>lsp.sal</t>
  </si>
  <si>
    <t>DHANALAKSHMI BANK</t>
  </si>
  <si>
    <t>DLB</t>
  </si>
  <si>
    <t>ANM</t>
  </si>
  <si>
    <t>ANGAMALLY</t>
  </si>
  <si>
    <t>C05608-SAL</t>
  </si>
  <si>
    <t>JW02</t>
  </si>
  <si>
    <t>anm.sale</t>
  </si>
  <si>
    <t>Anm@12345</t>
  </si>
  <si>
    <t>ESAF SMALL FINANCE BANK</t>
  </si>
  <si>
    <t>ESAF</t>
  </si>
  <si>
    <t>PIR</t>
  </si>
  <si>
    <t>C05011-PIR</t>
  </si>
  <si>
    <t>BQW1</t>
  </si>
  <si>
    <t>sai.pir.sales1</t>
  </si>
  <si>
    <t>Pir@12345</t>
  </si>
  <si>
    <t>CUK</t>
  </si>
  <si>
    <t>FORT KOCHI</t>
  </si>
  <si>
    <t>C05416-CUK</t>
  </si>
  <si>
    <t>BRS1</t>
  </si>
  <si>
    <t>cuk.sale</t>
  </si>
  <si>
    <t>CCN</t>
  </si>
  <si>
    <t>C23708</t>
  </si>
  <si>
    <t>27NA</t>
  </si>
  <si>
    <t>sai.nexa.opr4</t>
  </si>
  <si>
    <t>EKJ</t>
  </si>
  <si>
    <t>NEXA KODUNGALUR</t>
  </si>
  <si>
    <t>C05538</t>
  </si>
  <si>
    <t>8KNA</t>
  </si>
  <si>
    <t>KPG</t>
  </si>
  <si>
    <t>NEXA KAIPAMANGALAM</t>
  </si>
  <si>
    <t>C05424-STD</t>
  </si>
  <si>
    <t>RPNA</t>
  </si>
  <si>
    <t>INDIAN BANK</t>
  </si>
  <si>
    <t>TOUR H2</t>
  </si>
  <si>
    <t>CNG</t>
  </si>
  <si>
    <t>ARENA CHENGANNUR</t>
  </si>
  <si>
    <t>C23552</t>
  </si>
  <si>
    <t>UL03</t>
  </si>
  <si>
    <t>KZN</t>
  </si>
  <si>
    <t>KOZHENCHERY</t>
  </si>
  <si>
    <t>C05018-KZN</t>
  </si>
  <si>
    <t>AS02</t>
  </si>
  <si>
    <t>kzn.sal</t>
  </si>
  <si>
    <t>KTY</t>
  </si>
  <si>
    <t>KOTTAYAM</t>
  </si>
  <si>
    <t>C24499</t>
  </si>
  <si>
    <t>B8NB</t>
  </si>
  <si>
    <t>KYL</t>
  </si>
  <si>
    <t>KAYAMKULAM</t>
  </si>
  <si>
    <t>C23500</t>
  </si>
  <si>
    <t>8LNA</t>
  </si>
  <si>
    <t>KERALA STATE FINANCIAL ENTERPRISE</t>
  </si>
  <si>
    <t>KSFE</t>
  </si>
  <si>
    <t>KARUNAGAPPALLY</t>
  </si>
  <si>
    <t>AQNA</t>
  </si>
  <si>
    <t>KOTAK MAHINDRA</t>
  </si>
  <si>
    <t>LEASE PLAN INDIA PRIVATE  LIMITED</t>
  </si>
  <si>
    <t>LEASE PI</t>
  </si>
  <si>
    <t>SRM/Outlet</t>
  </si>
  <si>
    <t>msil_south1</t>
  </si>
  <si>
    <t>MAHINDRA&amp; MAHINDRA  FINANCIAL</t>
  </si>
  <si>
    <t>South-India@312</t>
  </si>
  <si>
    <t>PUNJAB NATIONAL BANK</t>
  </si>
  <si>
    <t>PNB</t>
  </si>
  <si>
    <t>TOYOTA FINANCE</t>
  </si>
  <si>
    <t>TOYOTA</t>
  </si>
  <si>
    <t>YES BANK LIMITED</t>
  </si>
  <si>
    <t>Kerala All Channel IH Fin. Performance Feb 25</t>
  </si>
  <si>
    <t>TATA CAPITAL</t>
  </si>
  <si>
    <t>Channel</t>
  </si>
  <si>
    <t>KARNATAKA BANK</t>
  </si>
  <si>
    <t>KARNATAKA</t>
  </si>
  <si>
    <t>Arena Cochin</t>
  </si>
  <si>
    <t>MANAPPURAM</t>
  </si>
  <si>
    <t>Arena Chengannur</t>
  </si>
  <si>
    <t>UCO Bank</t>
  </si>
  <si>
    <t>Nexa Cochin</t>
  </si>
  <si>
    <t>Nexa Kayamkulam</t>
  </si>
  <si>
    <t>Nexa Kottayam</t>
  </si>
  <si>
    <t>Studio Kodungallore</t>
  </si>
  <si>
    <t>Studio Kaipamangalam</t>
  </si>
  <si>
    <t>Studio Karunagapally</t>
  </si>
  <si>
    <t>ARENA + NEXA FINANCE COMPANY WISE PERFORMANCE FEB 26</t>
  </si>
  <si>
    <t>ARENA + NEXA MODEL WISE PERFORMANCE FEB 26</t>
  </si>
  <si>
    <t>BALENO</t>
  </si>
  <si>
    <t>FRONX</t>
  </si>
  <si>
    <t>GRAND VITARA</t>
  </si>
  <si>
    <t>IGNIS</t>
  </si>
  <si>
    <t>INVICTO</t>
  </si>
  <si>
    <t>JIMNY</t>
  </si>
  <si>
    <t>XL6</t>
  </si>
  <si>
    <t>CIAZ</t>
  </si>
  <si>
    <t>e VITARA</t>
  </si>
  <si>
    <t>EXECUTIVE</t>
  </si>
  <si>
    <t>ARENA-NEXA</t>
  </si>
  <si>
    <t>ARUN RAJ</t>
  </si>
  <si>
    <t>OTHERS</t>
  </si>
  <si>
    <t>OTHER</t>
  </si>
  <si>
    <t>CHENGANNUR</t>
  </si>
  <si>
    <t>DUMMY</t>
  </si>
  <si>
    <t>REBILL</t>
  </si>
  <si>
    <t>STRETCHED</t>
  </si>
  <si>
    <t>VINEETH P V</t>
  </si>
  <si>
    <t>LIJIN</t>
  </si>
  <si>
    <t>VISHNU SOMAN</t>
  </si>
  <si>
    <t>Dms Invoice Number</t>
  </si>
  <si>
    <t>Dms Invoice Date</t>
  </si>
  <si>
    <t>DMS Invoice Time</t>
  </si>
  <si>
    <t>Api Creation Date</t>
  </si>
  <si>
    <t>Api Creation Time</t>
  </si>
  <si>
    <t>Dms Inv Reference Num</t>
  </si>
  <si>
    <t>Dms Trans Ref Date</t>
  </si>
  <si>
    <t>Dms Cust Id</t>
  </si>
  <si>
    <t>Cust Name</t>
  </si>
  <si>
    <t>Dms Location</t>
  </si>
  <si>
    <t>Erp Loc</t>
  </si>
  <si>
    <t>ERP Location Name</t>
  </si>
  <si>
    <t>Dms Trans Type</t>
  </si>
  <si>
    <t>Vin</t>
  </si>
  <si>
    <t>Chassis Num</t>
  </si>
  <si>
    <t>Engine Num</t>
  </si>
  <si>
    <t>Variant Cd</t>
  </si>
  <si>
    <t>Ecolor Cd</t>
  </si>
  <si>
    <t>Executive</t>
  </si>
  <si>
    <t>Total Amt</t>
  </si>
  <si>
    <t>Service Veh Number</t>
  </si>
  <si>
    <t>Erp Trans Type</t>
  </si>
  <si>
    <t>ERP Invoice No</t>
  </si>
  <si>
    <t>ERP Invoice Date</t>
  </si>
  <si>
    <t>ERP Account Number</t>
  </si>
  <si>
    <t>ERP Cust  Name</t>
  </si>
  <si>
    <t>Diffence Amt</t>
  </si>
  <si>
    <t>Service Gate Pass Id</t>
  </si>
  <si>
    <t>ServiceDate Of Delivery</t>
  </si>
  <si>
    <t>Sale GatepassId</t>
  </si>
  <si>
    <t>Sale Date Of Delivery</t>
  </si>
  <si>
    <t>True Value  Sale GatepassId</t>
  </si>
  <si>
    <t>True Value  Date Of Delivery</t>
  </si>
  <si>
    <t>Job Slip Print</t>
  </si>
  <si>
    <t>Dms Reversal No</t>
  </si>
  <si>
    <t>Dms Reversal Date</t>
  </si>
  <si>
    <t>Inv Status</t>
  </si>
  <si>
    <t>Erp Reversal No</t>
  </si>
  <si>
    <t>Erp Reversal Date</t>
  </si>
  <si>
    <t>ERP Executive Name</t>
  </si>
  <si>
    <t>ERP Team Header</t>
  </si>
  <si>
    <t>ERP Location</t>
  </si>
  <si>
    <t>40/VSL/25001287</t>
  </si>
  <si>
    <t>SOB25002066</t>
  </si>
  <si>
    <t>ABHILASH N G</t>
  </si>
  <si>
    <t>11CO.501</t>
  </si>
  <si>
    <t>501-Edapally</t>
  </si>
  <si>
    <t>VS</t>
  </si>
  <si>
    <t>MA3BNC62STAC08903</t>
  </si>
  <si>
    <t>C08903</t>
  </si>
  <si>
    <t>ERRCIT1</t>
  </si>
  <si>
    <t>ZHJ</t>
  </si>
  <si>
    <t>977148 - SREENATH R PRABHU</t>
  </si>
  <si>
    <t>MSIL Sale-11CO.501</t>
  </si>
  <si>
    <t>RESIN PETER (C26297),</t>
  </si>
  <si>
    <t>JOEMON GEORGE A S (NEXA)</t>
  </si>
  <si>
    <r>
      <rPr>
        <sz val="12"/>
        <color rgb="FF000000"/>
        <rFont val="Calibri"/>
        <charset val="0"/>
      </rPr>
      <t>11CO.502</t>
    </r>
    <r>
      <rPr>
        <sz val="12"/>
        <color rgb="FF000080"/>
        <rFont val="Calibri"/>
        <charset val="0"/>
      </rPr>
      <t xml:space="preserve"> </t>
    </r>
  </si>
  <si>
    <t>RANJITH.T .</t>
  </si>
  <si>
    <t>MA3JMTB1STBE54170</t>
  </si>
  <si>
    <t>WARCKT1</t>
  </si>
  <si>
    <t>26U</t>
  </si>
  <si>
    <t>891256 - VISHNUDAS PD</t>
  </si>
  <si>
    <t>NA</t>
  </si>
  <si>
    <r>
      <rPr>
        <sz val="12"/>
        <color rgb="FF000000"/>
        <rFont val="Calibri"/>
        <charset val="0"/>
      </rPr>
      <t>11CO.506</t>
    </r>
    <r>
      <rPr>
        <sz val="12"/>
        <color rgb="FF000080"/>
        <rFont val="Calibri"/>
        <charset val="0"/>
      </rPr>
      <t xml:space="preserve"> </t>
    </r>
  </si>
  <si>
    <t>ANSAMMA .</t>
  </si>
  <si>
    <t>MA3JMTB1STBE53480</t>
  </si>
  <si>
    <t>VISHNUDAS P D (C23106),</t>
  </si>
  <si>
    <t>RAJEEV (THCR)</t>
  </si>
  <si>
    <t>MA3JMTB1STBE53336</t>
  </si>
  <si>
    <t>1403234 - SANJAY MG</t>
  </si>
  <si>
    <t>263/VSL/25001092</t>
  </si>
  <si>
    <t>SOB25001791</t>
  </si>
  <si>
    <t>SOFIA SCARIYA</t>
  </si>
  <si>
    <t>11CO.534</t>
  </si>
  <si>
    <t>534-KOTTAYAM</t>
  </si>
  <si>
    <t>MBHPA2ASKTA118092</t>
  </si>
  <si>
    <t>M303312</t>
  </si>
  <si>
    <t>VEAEAZ2</t>
  </si>
  <si>
    <t>E86</t>
  </si>
  <si>
    <t>1130777 - NANDHU S BABU</t>
  </si>
  <si>
    <t>MSIL Nexa-11CO.534</t>
  </si>
  <si>
    <t>NANDHU S BABU (C24627),</t>
  </si>
  <si>
    <t>JAGAN THOMAS (NEXA-KTM)</t>
  </si>
  <si>
    <r>
      <rPr>
        <sz val="12"/>
        <color rgb="FF000000"/>
        <rFont val="Calibri"/>
        <charset val="0"/>
      </rPr>
      <t>11CO.534</t>
    </r>
    <r>
      <rPr>
        <sz val="12"/>
        <color rgb="FF000080"/>
        <rFont val="Calibri"/>
        <charset val="0"/>
      </rPr>
      <t xml:space="preserve"> </t>
    </r>
  </si>
  <si>
    <t>22/VSL/25001469</t>
  </si>
  <si>
    <t>SOB25001997</t>
  </si>
  <si>
    <t>EMIL PHILIP</t>
  </si>
  <si>
    <t>11CO.502</t>
  </si>
  <si>
    <t>502-Pathadipalam</t>
  </si>
  <si>
    <t>MA3CNC62STB446195</t>
  </si>
  <si>
    <t>A016377</t>
  </si>
  <si>
    <t>XLRCGZ1</t>
  </si>
  <si>
    <t>WB3</t>
  </si>
  <si>
    <t>497499 - HUDSON FRANKLIN</t>
  </si>
  <si>
    <t>MSIL Sale-11CO.502</t>
  </si>
  <si>
    <t>HUDSON FRANKLIN (C24282),</t>
  </si>
  <si>
    <t>SANDEEP P (NEXA 502)</t>
  </si>
  <si>
    <t>LIBIN ANTO .</t>
  </si>
  <si>
    <t>MA3JMTB1STBE54492</t>
  </si>
  <si>
    <t>1350727 - SUDHEESH KS</t>
  </si>
  <si>
    <t>BHAGIESH P (CHKD)</t>
  </si>
  <si>
    <t>SHIBIN.K.B .</t>
  </si>
  <si>
    <t>MA3JMTB1STBE54416</t>
  </si>
  <si>
    <t>865026 - BINEESH P ANTO</t>
  </si>
  <si>
    <t>BINEESH P ANTO (C22936),</t>
  </si>
  <si>
    <t>JAMSHEER.P.A .</t>
  </si>
  <si>
    <t>MA3JMTB1STBE54510</t>
  </si>
  <si>
    <t>SANJAY.M.G(C26392),</t>
  </si>
  <si>
    <t>SIVAPRAKASH K.S.(TCR)</t>
  </si>
  <si>
    <t>MA3JMTB1STBE54635</t>
  </si>
  <si>
    <t>1318914 - SALAS JUDE</t>
  </si>
  <si>
    <t>SALAS JUDE (C25782),</t>
  </si>
  <si>
    <t>NOUFAL T.A</t>
  </si>
  <si>
    <r>
      <rPr>
        <sz val="12"/>
        <color rgb="FF000000"/>
        <rFont val="Calibri"/>
        <charset val="0"/>
      </rPr>
      <t>11CO.501</t>
    </r>
    <r>
      <rPr>
        <sz val="12"/>
        <color rgb="FF000080"/>
        <rFont val="Calibri"/>
        <charset val="0"/>
      </rPr>
      <t xml:space="preserve"> </t>
    </r>
  </si>
  <si>
    <t>MA3JMTB1STBE53597</t>
  </si>
  <si>
    <t>780573 - MANU JOY</t>
  </si>
  <si>
    <t>MANU JOY (C22591),</t>
  </si>
  <si>
    <t>263/VSL/25001093</t>
  </si>
  <si>
    <t>SOB25001798</t>
  </si>
  <si>
    <t>SUDHI SURENDRAN</t>
  </si>
  <si>
    <t>MBHHWB13STBC37999</t>
  </si>
  <si>
    <t>BZR4LZ1</t>
  </si>
  <si>
    <t>993880 - GOPAN TR</t>
  </si>
  <si>
    <t>GOPAN T R (C25941),</t>
  </si>
  <si>
    <t>RAJESH K G (NEXA KTM)</t>
  </si>
  <si>
    <t>MA3JMTB1STBE53434</t>
  </si>
  <si>
    <t>MA3JMTB1STBE53507</t>
  </si>
  <si>
    <t>JAYAKRISHNAN K V (C25293),</t>
  </si>
  <si>
    <t>LINISH.T.K</t>
  </si>
  <si>
    <r>
      <rPr>
        <sz val="12"/>
        <color rgb="FF000000"/>
        <rFont val="Calibri"/>
        <charset val="0"/>
      </rPr>
      <t>11CO.503</t>
    </r>
    <r>
      <rPr>
        <sz val="12"/>
        <color rgb="FF000080"/>
        <rFont val="Calibri"/>
        <charset val="0"/>
      </rPr>
      <t xml:space="preserve"> </t>
    </r>
  </si>
  <si>
    <t>11CO.503</t>
  </si>
  <si>
    <t>503-KODUNGALLUR-ARENA</t>
  </si>
  <si>
    <t>MA3RYHL1STB760858</t>
  </si>
  <si>
    <t>VZA4FV1</t>
  </si>
  <si>
    <t>1403231 - KRISHNARAJ MR</t>
  </si>
  <si>
    <t>MSIL Sale-11CO.503</t>
  </si>
  <si>
    <t>KRISHNARAJ M R(C26582),</t>
  </si>
  <si>
    <t>BINOY(KDLR)</t>
  </si>
  <si>
    <t>22/VSL/25001470</t>
  </si>
  <si>
    <t>JOBY E J</t>
  </si>
  <si>
    <t>MA3JJC74WSL282685</t>
  </si>
  <si>
    <t>JMA4EZ2</t>
  </si>
  <si>
    <t>780130 - ARUN VISWANATH</t>
  </si>
  <si>
    <t>JERRIN ROY (C22200),</t>
  </si>
  <si>
    <t>PRANOOB V (TPRA)</t>
  </si>
  <si>
    <r>
      <rPr>
        <sz val="12"/>
        <color rgb="FF000000"/>
        <rFont val="Calibri"/>
        <charset val="0"/>
      </rPr>
      <t>11CO.505</t>
    </r>
    <r>
      <rPr>
        <sz val="12"/>
        <color rgb="FF000080"/>
        <rFont val="Calibri"/>
        <charset val="0"/>
      </rPr>
      <t xml:space="preserve"> </t>
    </r>
  </si>
  <si>
    <t>22/VSL/25001471</t>
  </si>
  <si>
    <t>SOB25001632</t>
  </si>
  <si>
    <t>SUNITHA RANJITH .</t>
  </si>
  <si>
    <t>MA3NFG81STB487362</t>
  </si>
  <si>
    <t>IGA4FZ2</t>
  </si>
  <si>
    <t>WBH</t>
  </si>
  <si>
    <t>1292822 - GAYATHRI SANAL</t>
  </si>
  <si>
    <t>22/VSL/25001472</t>
  </si>
  <si>
    <t>SOB25002363</t>
  </si>
  <si>
    <t>KUNHIRAMAN K</t>
  </si>
  <si>
    <t>MBHHWB13STBC36808</t>
  </si>
  <si>
    <t>933200 - SINIYYA P K</t>
  </si>
  <si>
    <t>SINIYYA P K (C25932),</t>
  </si>
  <si>
    <t>ARUN  G (NEXA 502)</t>
  </si>
  <si>
    <t>22/VSL/25001473</t>
  </si>
  <si>
    <t>SOB25002293</t>
  </si>
  <si>
    <t>DIRECTOR .</t>
  </si>
  <si>
    <t>MA3CNC72STB445995</t>
  </si>
  <si>
    <t>XLA4GZ2</t>
  </si>
  <si>
    <t>1265144 - ANSILA P H</t>
  </si>
  <si>
    <t>ANSILA P H(C25638),</t>
  </si>
  <si>
    <t>245/VSL/25000851</t>
  </si>
  <si>
    <t>SOB25001414</t>
  </si>
  <si>
    <t>JALSON P GEORGE</t>
  </si>
  <si>
    <t>11CO.532</t>
  </si>
  <si>
    <t>532-CHENGANNUR</t>
  </si>
  <si>
    <t>MA3RYHK1STC775147</t>
  </si>
  <si>
    <t>VZR4GV1</t>
  </si>
  <si>
    <t>Z7Q</t>
  </si>
  <si>
    <t>1193431 - KRIPA VU</t>
  </si>
  <si>
    <t>MSIL Sale-11CO.532</t>
  </si>
  <si>
    <t>KRIPA (C25103),</t>
  </si>
  <si>
    <r>
      <rPr>
        <sz val="12"/>
        <color rgb="FF000000"/>
        <rFont val="Calibri"/>
        <charset val="0"/>
      </rPr>
      <t>11CO.535</t>
    </r>
    <r>
      <rPr>
        <sz val="12"/>
        <color rgb="FF000080"/>
        <rFont val="Calibri"/>
        <charset val="0"/>
      </rPr>
      <t xml:space="preserve"> </t>
    </r>
  </si>
  <si>
    <t>11CO.517</t>
  </si>
  <si>
    <t>517-PIRAVOM</t>
  </si>
  <si>
    <t>MA3ZFDFSKSH257240</t>
  </si>
  <si>
    <t>DEA4AZ1</t>
  </si>
  <si>
    <t>ZYC</t>
  </si>
  <si>
    <t>1350721 - MIRAJ K KAREEM</t>
  </si>
  <si>
    <t>MSIL Sale-11CO.517</t>
  </si>
  <si>
    <t>MIRAJ K KAREEM (C26100),</t>
  </si>
  <si>
    <t>JUSTIN UTHUP JOHN (PRVM)</t>
  </si>
  <si>
    <r>
      <rPr>
        <sz val="12"/>
        <color rgb="FF000000"/>
        <rFont val="Calibri"/>
        <charset val="0"/>
      </rPr>
      <t>11CO.517</t>
    </r>
    <r>
      <rPr>
        <sz val="12"/>
        <color rgb="FF000080"/>
        <rFont val="Calibri"/>
        <charset val="0"/>
      </rPr>
      <t xml:space="preserve"> </t>
    </r>
  </si>
  <si>
    <t>22/VSL/25001474</t>
  </si>
  <si>
    <t>SOB25002034</t>
  </si>
  <si>
    <t>SANAL SATHEESAN</t>
  </si>
  <si>
    <t>MBHKWD13STB798518</t>
  </si>
  <si>
    <t>FRR4IVA</t>
  </si>
  <si>
    <t>263/VSL/25001094</t>
  </si>
  <si>
    <t>SOB25001629</t>
  </si>
  <si>
    <t>SUMESH SUDHAKARAN NAIR</t>
  </si>
  <si>
    <t>MA3CNC72STB446244</t>
  </si>
  <si>
    <t>XLR4GZ2</t>
  </si>
  <si>
    <t>1200197 - RENJITH MOHAN</t>
  </si>
  <si>
    <t>RENJITH MOHAN (C25055),</t>
  </si>
  <si>
    <t>AMAL LAL (NEXA-KTM)</t>
  </si>
  <si>
    <t>22/VSL/25001475</t>
  </si>
  <si>
    <t>SOB25001810</t>
  </si>
  <si>
    <t>MUHAMMED SUHAIL R H</t>
  </si>
  <si>
    <t>MA3NFG81STB487322</t>
  </si>
  <si>
    <t>IGR4FZ1</t>
  </si>
  <si>
    <t>1136569 - ANZIL M N</t>
  </si>
  <si>
    <t>ANZIL A M (C26299),</t>
  </si>
  <si>
    <t>BIBU PETER (502-NEXA)</t>
  </si>
  <si>
    <t>273/VSL/25000082</t>
  </si>
  <si>
    <t>SOB25000164</t>
  </si>
  <si>
    <t>M S THOMAS</t>
  </si>
  <si>
    <t>11CO.535</t>
  </si>
  <si>
    <t>535-KOZHENCHERRY</t>
  </si>
  <si>
    <t>MA3JMTC1STBE46735</t>
  </si>
  <si>
    <t>WAA4KZ1</t>
  </si>
  <si>
    <t>909144 - RAHUL RAVI</t>
  </si>
  <si>
    <t>MSIL Sale-11CO.535</t>
  </si>
  <si>
    <t>245/VSL/25000852</t>
  </si>
  <si>
    <t>SOB25001086</t>
  </si>
  <si>
    <t>SUDHEESH M G</t>
  </si>
  <si>
    <t>MA3JMTB1STBE54698</t>
  </si>
  <si>
    <t>WAR4KV1</t>
  </si>
  <si>
    <t>1320422 - NIKHIL ASHOKAN</t>
  </si>
  <si>
    <t>MA3JMTB1STBE55229</t>
  </si>
  <si>
    <t>MOHAMMED RIYAS (C25510),</t>
  </si>
  <si>
    <t>SHEMEER.AK</t>
  </si>
  <si>
    <t>MA3JMTB1STBE54680</t>
  </si>
  <si>
    <t>391742 - VINAY T V</t>
  </si>
  <si>
    <t>VISHNU T M (C26466),</t>
  </si>
  <si>
    <r>
      <rPr>
        <sz val="12"/>
        <color rgb="FF000000"/>
        <rFont val="Calibri"/>
        <charset val="0"/>
      </rPr>
      <t>11CO.515</t>
    </r>
    <r>
      <rPr>
        <sz val="12"/>
        <color rgb="FF000080"/>
        <rFont val="Calibri"/>
        <charset val="0"/>
      </rPr>
      <t xml:space="preserve"> </t>
    </r>
  </si>
  <si>
    <t>MA3SFM61STB474586</t>
  </si>
  <si>
    <t>ATR4HL1</t>
  </si>
  <si>
    <t>ZTN</t>
  </si>
  <si>
    <t>1303497 - CHANCHALJOSE ANOTONY</t>
  </si>
  <si>
    <t>ELSON JACOB(C23950),</t>
  </si>
  <si>
    <t>ANAND (KLY)</t>
  </si>
  <si>
    <r>
      <rPr>
        <sz val="12"/>
        <color rgb="FF000000"/>
        <rFont val="Calibri"/>
        <charset val="0"/>
      </rPr>
      <t>11CO.533</t>
    </r>
    <r>
      <rPr>
        <sz val="12"/>
        <color rgb="FF000080"/>
        <rFont val="Calibri"/>
        <charset val="0"/>
      </rPr>
      <t xml:space="preserve"> </t>
    </r>
  </si>
  <si>
    <t>282/VSL/25000256</t>
  </si>
  <si>
    <t>SOB25000489</t>
  </si>
  <si>
    <t>ANAND V R</t>
  </si>
  <si>
    <t>11CO.536</t>
  </si>
  <si>
    <t>536-KODUNGALLUR-NEXA</t>
  </si>
  <si>
    <t>MBHHWB13STBC36731</t>
  </si>
  <si>
    <t>BZA4LZ1</t>
  </si>
  <si>
    <t>WBF</t>
  </si>
  <si>
    <t>1331340 - SALDATH M S</t>
  </si>
  <si>
    <t>MSIL Nexa - 11CO.536</t>
  </si>
  <si>
    <r>
      <rPr>
        <sz val="12"/>
        <color rgb="FF000000"/>
        <rFont val="Calibri"/>
        <charset val="0"/>
      </rPr>
      <t>11CO.536</t>
    </r>
    <r>
      <rPr>
        <sz val="12"/>
        <color rgb="FF000080"/>
        <rFont val="Calibri"/>
        <charset val="0"/>
      </rPr>
      <t xml:space="preserve"> </t>
    </r>
  </si>
  <si>
    <t>11CO.504</t>
  </si>
  <si>
    <t>504-Perumbavoor</t>
  </si>
  <si>
    <t>MA3SFM61STB465599</t>
  </si>
  <si>
    <t>ATR4HV1</t>
  </si>
  <si>
    <t>WAA</t>
  </si>
  <si>
    <t>1039767 - NYGIL GEORGE</t>
  </si>
  <si>
    <t>MSIL Sale-11CO.504</t>
  </si>
  <si>
    <t>NIGIL GEORGE(C23881),</t>
  </si>
  <si>
    <t>SIJO VARGHESE GEORGE (PBVR)</t>
  </si>
  <si>
    <r>
      <rPr>
        <sz val="12"/>
        <color rgb="FF000000"/>
        <rFont val="Calibri"/>
        <charset val="0"/>
      </rPr>
      <t>11CO.504</t>
    </r>
    <r>
      <rPr>
        <sz val="12"/>
        <color rgb="FF000080"/>
        <rFont val="Calibri"/>
        <charset val="0"/>
      </rPr>
      <t xml:space="preserve"> </t>
    </r>
  </si>
  <si>
    <t>245/VSL/25000853</t>
  </si>
  <si>
    <t>SOB25001451</t>
  </si>
  <si>
    <t>NAVEEN S</t>
  </si>
  <si>
    <t>MA3JMTB1STBE53245</t>
  </si>
  <si>
    <t>WAR4KL1</t>
  </si>
  <si>
    <t>1015707 - SHINOJ GEO JAMES</t>
  </si>
  <si>
    <t>RAHUL(C25145),</t>
  </si>
  <si>
    <t>245/VSL/25000854</t>
  </si>
  <si>
    <t>SOB25001310</t>
  </si>
  <si>
    <t>SOPHIA MARY</t>
  </si>
  <si>
    <t>MA3RYHL1STB762274</t>
  </si>
  <si>
    <t>VZR4FZ1</t>
  </si>
  <si>
    <t>977309 - SREEJITH S</t>
  </si>
  <si>
    <r>
      <rPr>
        <sz val="12"/>
        <color rgb="FF000000"/>
        <rFont val="Calibri"/>
        <charset val="0"/>
      </rPr>
      <t>11CO.538</t>
    </r>
    <r>
      <rPr>
        <sz val="12"/>
        <color rgb="FF000080"/>
        <rFont val="Calibri"/>
        <charset val="0"/>
      </rPr>
      <t xml:space="preserve"> </t>
    </r>
  </si>
  <si>
    <t>MA3ZFDFSKTB410269</t>
  </si>
  <si>
    <t>DERCAT1</t>
  </si>
  <si>
    <t>ALBIN MARTIN (C26561),</t>
  </si>
  <si>
    <t>RATHEESH.K.R</t>
  </si>
  <si>
    <r>
      <rPr>
        <sz val="12"/>
        <color rgb="FF000000"/>
        <rFont val="Calibri"/>
        <charset val="0"/>
      </rPr>
      <t>11CO.529</t>
    </r>
    <r>
      <rPr>
        <sz val="12"/>
        <color rgb="FF000080"/>
        <rFont val="Calibri"/>
        <charset val="0"/>
      </rPr>
      <t xml:space="preserve"> </t>
    </r>
  </si>
  <si>
    <t>239/VSL/25000850</t>
  </si>
  <si>
    <t>SOB25001470</t>
  </si>
  <si>
    <t>BEN MATHEW THOMAS</t>
  </si>
  <si>
    <t>11CO.531</t>
  </si>
  <si>
    <t>531-KAYAMKULAM</t>
  </si>
  <si>
    <t>MBHHWB13STCC38684</t>
  </si>
  <si>
    <t>1425339 - KARTHIK S</t>
  </si>
  <si>
    <t>MSIL Nexa-11CO.531</t>
  </si>
  <si>
    <r>
      <rPr>
        <sz val="12"/>
        <color rgb="FF000000"/>
        <rFont val="Calibri"/>
        <charset val="0"/>
      </rPr>
      <t>11CO.531</t>
    </r>
    <r>
      <rPr>
        <sz val="12"/>
        <color rgb="FF000080"/>
        <rFont val="Calibri"/>
        <charset val="0"/>
      </rPr>
      <t xml:space="preserve"> </t>
    </r>
  </si>
  <si>
    <t>BALAKRISHNAN.V.N .</t>
  </si>
  <si>
    <t>MA3JMTB1STCE56685</t>
  </si>
  <si>
    <t>239/VSL/25000851</t>
  </si>
  <si>
    <t>SOB25001423</t>
  </si>
  <si>
    <t>JIJI DANIEL</t>
  </si>
  <si>
    <t>MBHKWD43STB808025</t>
  </si>
  <si>
    <t>FRR4JZ1</t>
  </si>
  <si>
    <t>1331220 - HARISANKAR K</t>
  </si>
  <si>
    <t>239/VSL/25000852</t>
  </si>
  <si>
    <t>SOB25001390</t>
  </si>
  <si>
    <t>KHADEEJA BEEVI</t>
  </si>
  <si>
    <t>MBHHWB13STCC39045</t>
  </si>
  <si>
    <t>BZA4LZ2</t>
  </si>
  <si>
    <t>WBG</t>
  </si>
  <si>
    <t>1329238 - LIJO MONACHEN</t>
  </si>
  <si>
    <t>NUSAIBA .</t>
  </si>
  <si>
    <t>MA3BNC72STBC39303</t>
  </si>
  <si>
    <t>ERA4IV1</t>
  </si>
  <si>
    <t>ZYY</t>
  </si>
  <si>
    <t>RAGIL N R(C26613),</t>
  </si>
  <si>
    <t>VIBIN I B(KPLM)</t>
  </si>
  <si>
    <r>
      <rPr>
        <sz val="12"/>
        <color rgb="FF000000"/>
        <rFont val="Calibri"/>
        <charset val="0"/>
      </rPr>
      <t>11CO.507</t>
    </r>
    <r>
      <rPr>
        <sz val="12"/>
        <color rgb="FF000080"/>
        <rFont val="Calibri"/>
        <charset val="0"/>
      </rPr>
      <t xml:space="preserve"> </t>
    </r>
  </si>
  <si>
    <t>22/VSL/25001476</t>
  </si>
  <si>
    <t>SOB25002291</t>
  </si>
  <si>
    <t>AJEESH KUMAR N</t>
  </si>
  <si>
    <t>MA3CNC72STB444706</t>
  </si>
  <si>
    <t>A008781</t>
  </si>
  <si>
    <t>XLR4GZ1</t>
  </si>
  <si>
    <t>751708 - AJAY MOHAN K</t>
  </si>
  <si>
    <t>SARATH MOHAN (GM01205),</t>
  </si>
  <si>
    <t>263/VSL/25001095</t>
  </si>
  <si>
    <t>SOB25001722</t>
  </si>
  <si>
    <t>GREESHMA M</t>
  </si>
  <si>
    <t>MBHHWB13STBC37984</t>
  </si>
  <si>
    <t>1150822 - SURYANARAYANAN P S</t>
  </si>
  <si>
    <t>C24718 SURYANARAYANAN P S,</t>
  </si>
  <si>
    <t>SHAMEER MUHAMMED RAFI (NEXA KTM)</t>
  </si>
  <si>
    <t>239/VSL/25000853</t>
  </si>
  <si>
    <t>SOB25001263</t>
  </si>
  <si>
    <t>REENI CHINNU THOMAS</t>
  </si>
  <si>
    <t>MBHKWD43STB806973</t>
  </si>
  <si>
    <t>FRA4JZ1</t>
  </si>
  <si>
    <t>1200203 - AKSHAI RAJENDRAN</t>
  </si>
  <si>
    <t>239/VSL/25000854</t>
  </si>
  <si>
    <t>SOB25001347</t>
  </si>
  <si>
    <t>AJITHAKUMARI J</t>
  </si>
  <si>
    <t>MBHHWB13STCC38943</t>
  </si>
  <si>
    <t>1381323 - SHILPA SUJATHAN</t>
  </si>
  <si>
    <t>263/VSL/25001096</t>
  </si>
  <si>
    <t>SOB25001659</t>
  </si>
  <si>
    <t>RAHUL SYAM KUMAR</t>
  </si>
  <si>
    <t>MBHHWB13STBC37384</t>
  </si>
  <si>
    <t>1425183 - SUBIN J S</t>
  </si>
  <si>
    <t>SUBIN J S (C26706),</t>
  </si>
  <si>
    <t>MA3JMTB1STCE55278</t>
  </si>
  <si>
    <t>227254 - RATHEESH K B</t>
  </si>
  <si>
    <t>RATHEESH K B,</t>
  </si>
  <si>
    <t>263/VSL/25001097</t>
  </si>
  <si>
    <t>SOB25001872</t>
  </si>
  <si>
    <t>SEBIN MATHEW</t>
  </si>
  <si>
    <t>MA3CNC72STB444031</t>
  </si>
  <si>
    <t>A005815</t>
  </si>
  <si>
    <t>1425184 - SARAN RAJ</t>
  </si>
  <si>
    <t>SARAN RAJ (C26638),</t>
  </si>
  <si>
    <t>AJMAL M B (NEXA-KTM)</t>
  </si>
  <si>
    <t>VINODKUMAR .</t>
  </si>
  <si>
    <t>MA3JMTB1STBE52994</t>
  </si>
  <si>
    <t>SREENATH R PRABHU (C23391),</t>
  </si>
  <si>
    <t>263/VSL/25001098</t>
  </si>
  <si>
    <t>SOB25001782</t>
  </si>
  <si>
    <t>GOPIKA DAS</t>
  </si>
  <si>
    <t>MA3NFG81STB487428</t>
  </si>
  <si>
    <t>IGA4FV1</t>
  </si>
  <si>
    <t>ZNZ</t>
  </si>
  <si>
    <t>1300994 - SHERIN THOMAS</t>
  </si>
  <si>
    <t>SHERIN THOMAS (C25916),</t>
  </si>
  <si>
    <t>RESMIMOL .</t>
  </si>
  <si>
    <t>MA3JMTB1STBE55150</t>
  </si>
  <si>
    <t>PRAMOD .</t>
  </si>
  <si>
    <t>MA3JDT08WTBF86412</t>
  </si>
  <si>
    <t>VRRCIAS</t>
  </si>
  <si>
    <t>245/VSL/25000855</t>
  </si>
  <si>
    <t>SOB25001338</t>
  </si>
  <si>
    <t>ACHU SANIL</t>
  </si>
  <si>
    <t>MA3BNC62STBC38003</t>
  </si>
  <si>
    <t>A015107</t>
  </si>
  <si>
    <t>357154 - JEEVAN S NAIR</t>
  </si>
  <si>
    <r>
      <rPr>
        <sz val="12"/>
        <color rgb="FF000000"/>
        <rFont val="Calibri"/>
        <charset val="0"/>
      </rPr>
      <t>11CO.532</t>
    </r>
    <r>
      <rPr>
        <sz val="12"/>
        <color rgb="FF000080"/>
        <rFont val="Calibri"/>
        <charset val="0"/>
      </rPr>
      <t xml:space="preserve"> </t>
    </r>
  </si>
  <si>
    <t>293/VSL/25000205</t>
  </si>
  <si>
    <t>UJITHA V U MULANGIL HOUSE</t>
  </si>
  <si>
    <t>11CO.537</t>
  </si>
  <si>
    <t>537-KAIPAMANGALAM-NEXA</t>
  </si>
  <si>
    <t>MA3JJC74WTB304164</t>
  </si>
  <si>
    <t>1300792 - SARATHKUMAR E P</t>
  </si>
  <si>
    <t>MSIL Nexa - 11CO.537</t>
  </si>
  <si>
    <t>SARATH KUMAR E P (C25952),</t>
  </si>
  <si>
    <t>BINOY MOHANDAS (NEXA STUDIO)</t>
  </si>
  <si>
    <r>
      <rPr>
        <sz val="12"/>
        <color rgb="FF000000"/>
        <rFont val="Calibri"/>
        <charset val="0"/>
      </rPr>
      <t>11CO.537</t>
    </r>
    <r>
      <rPr>
        <sz val="12"/>
        <color rgb="FF000080"/>
        <rFont val="Calibri"/>
        <charset val="0"/>
      </rPr>
      <t xml:space="preserve"> </t>
    </r>
  </si>
  <si>
    <t>MA3JMTB1STBE55156</t>
  </si>
  <si>
    <t>VINAY T V (C20769),</t>
  </si>
  <si>
    <t>MA3JMTC1STBE54905</t>
  </si>
  <si>
    <t>WAA4KZ2</t>
  </si>
  <si>
    <t>NIKESH KRISHNA P S (C25381),</t>
  </si>
  <si>
    <t>22/VSL/25001477</t>
  </si>
  <si>
    <t>SOB25002426</t>
  </si>
  <si>
    <t>RAJESH K G</t>
  </si>
  <si>
    <t>MA3NFG81STB487032</t>
  </si>
  <si>
    <t>IGR4FL1</t>
  </si>
  <si>
    <t>282/VSL/25000257</t>
  </si>
  <si>
    <t>SOB25000385</t>
  </si>
  <si>
    <t>JOSE O F</t>
  </si>
  <si>
    <t>MA3CNC72STB444325</t>
  </si>
  <si>
    <t>XLA4GZ1</t>
  </si>
  <si>
    <t>MIDHUL V M (C24983),</t>
  </si>
  <si>
    <r>
      <rPr>
        <sz val="12"/>
        <color rgb="FF000000"/>
        <rFont val="Calibri"/>
        <charset val="0"/>
      </rPr>
      <t>11CO.513</t>
    </r>
    <r>
      <rPr>
        <sz val="12"/>
        <color rgb="FF000080"/>
        <rFont val="Calibri"/>
        <charset val="0"/>
      </rPr>
      <t xml:space="preserve"> </t>
    </r>
  </si>
  <si>
    <t>239/VSL/25000855</t>
  </si>
  <si>
    <t>SOB25001136</t>
  </si>
  <si>
    <t>PRAKASH P S</t>
  </si>
  <si>
    <t>MBHKWD43STB806554</t>
  </si>
  <si>
    <t>FRR4JZ2</t>
  </si>
  <si>
    <t>11CO.507</t>
  </si>
  <si>
    <t>507-KAIPAMANGALAM-ARENA</t>
  </si>
  <si>
    <t>MA3JDT08WTAF83679</t>
  </si>
  <si>
    <t>1403520 - NIDHIN CD</t>
  </si>
  <si>
    <t>MSIL Sale-11CO.507</t>
  </si>
  <si>
    <t>ANADAKRISHANAN P A (C25203),</t>
  </si>
  <si>
    <t>SMITHIN (KPLM)</t>
  </si>
  <si>
    <t>263/VSL/25001099</t>
  </si>
  <si>
    <t>MOHAMMED SALI</t>
  </si>
  <si>
    <t>MBHHWB13STBC30708</t>
  </si>
  <si>
    <t>BZA4LV1</t>
  </si>
  <si>
    <t>1349883 - ADITHYAN KRISHNAPRAKASH</t>
  </si>
  <si>
    <t>ADITHYAN KRISHNAPRAKASH (C26009),</t>
  </si>
  <si>
    <t>263/VSL/25001100</t>
  </si>
  <si>
    <t>SOB25001723</t>
  </si>
  <si>
    <t>GOKUL K M</t>
  </si>
  <si>
    <t>MA3NFG81STB487412</t>
  </si>
  <si>
    <t>IGR4FV1</t>
  </si>
  <si>
    <t>1286217 - ABHIJITH PS</t>
  </si>
  <si>
    <t>ASWIN SHAJI (C26611),</t>
  </si>
  <si>
    <t>245/VSL/25000856</t>
  </si>
  <si>
    <t>SOB25001438</t>
  </si>
  <si>
    <t>GOPAKUMAR R .</t>
  </si>
  <si>
    <t>MA3YPMCSKSL129212</t>
  </si>
  <si>
    <t>NE98615</t>
  </si>
  <si>
    <t>ECAHBZ2</t>
  </si>
  <si>
    <t>WCK</t>
  </si>
  <si>
    <t>263/VSL/25001101</t>
  </si>
  <si>
    <t>SOB25001777</t>
  </si>
  <si>
    <t>SAJI THOMAS</t>
  </si>
  <si>
    <t>MBHKWD13STC809855</t>
  </si>
  <si>
    <t>WBE</t>
  </si>
  <si>
    <t>1425340 - ASWIN SHAJI</t>
  </si>
  <si>
    <t>ANANTHAKRISHNAN(C26605),</t>
  </si>
  <si>
    <t>PRAVEEN V P (NEXA-KTM)</t>
  </si>
  <si>
    <t>245/VSL/25000857</t>
  </si>
  <si>
    <t>SOB25001464</t>
  </si>
  <si>
    <t>SHIJO JOHN</t>
  </si>
  <si>
    <t>MA3JMTB1STBE54799</t>
  </si>
  <si>
    <t>WAA4KV1</t>
  </si>
  <si>
    <t>263/VSL/25001102</t>
  </si>
  <si>
    <t>SOB25001605</t>
  </si>
  <si>
    <t>RAJESH K K</t>
  </si>
  <si>
    <t>MA3NFG81STC487473</t>
  </si>
  <si>
    <t>AJITH.C.M,</t>
  </si>
  <si>
    <t>22/VSL/25001478</t>
  </si>
  <si>
    <t>SHANIBA N A</t>
  </si>
  <si>
    <t>MA3NFG81STB487343</t>
  </si>
  <si>
    <t>1047905 - SALEEL P A</t>
  </si>
  <si>
    <t>CHANDRASEKHAR P M.</t>
  </si>
  <si>
    <t>11CO.533</t>
  </si>
  <si>
    <t>533-KOLENCHERY</t>
  </si>
  <si>
    <t>MA3JDT08BTAF74856</t>
  </si>
  <si>
    <t>VRXCIA2</t>
  </si>
  <si>
    <t>634907 - SOORAJ KS</t>
  </si>
  <si>
    <t>MSIL Sale-11CO.533</t>
  </si>
  <si>
    <t>SOORAJ K S (C24979),</t>
  </si>
  <si>
    <t>263/VSL/25001103</t>
  </si>
  <si>
    <t>SOB25001873</t>
  </si>
  <si>
    <t>DIMPLE KURIAN</t>
  </si>
  <si>
    <t>MA3NFG81STB485803</t>
  </si>
  <si>
    <t>1124353 - RAHUL RAMACHANDRAN</t>
  </si>
  <si>
    <t>KURIAN JOHN(C26237),</t>
  </si>
  <si>
    <t>282/VSL/25000258</t>
  </si>
  <si>
    <t>SOB25000532</t>
  </si>
  <si>
    <t>ABDUL RAFEEK P A</t>
  </si>
  <si>
    <t>MBHHWB13STBC22655</t>
  </si>
  <si>
    <t>BZR4LL1</t>
  </si>
  <si>
    <t>11CO.518</t>
  </si>
  <si>
    <t>518-KOOTHATTUKULAM</t>
  </si>
  <si>
    <t>MA3JMTC1STBE46252</t>
  </si>
  <si>
    <t>WAR4KZ2</t>
  </si>
  <si>
    <t>FSB</t>
  </si>
  <si>
    <t>391734 - SAJIN T S</t>
  </si>
  <si>
    <t>MSIL Sale-11CO.518</t>
  </si>
  <si>
    <t>SAJIN T.S.(C20798),</t>
  </si>
  <si>
    <t>ARUN BABU(KTLM)</t>
  </si>
  <si>
    <r>
      <rPr>
        <sz val="12"/>
        <color rgb="FF000000"/>
        <rFont val="Calibri"/>
        <charset val="0"/>
      </rPr>
      <t>11CO.518</t>
    </r>
    <r>
      <rPr>
        <sz val="12"/>
        <color rgb="FF000080"/>
        <rFont val="Calibri"/>
        <charset val="0"/>
      </rPr>
      <t xml:space="preserve"> </t>
    </r>
  </si>
  <si>
    <t>MA3JMTB1STBE54628</t>
  </si>
  <si>
    <t>1174381 - SUJEESH PG</t>
  </si>
  <si>
    <t>JITHIN K ANAND(C26246),</t>
  </si>
  <si>
    <t>KASI VISWANATH K M</t>
  </si>
  <si>
    <t>263/VSL/25001104</t>
  </si>
  <si>
    <t>SOB25001681</t>
  </si>
  <si>
    <t>SANEER A N</t>
  </si>
  <si>
    <t>MBHHWB13STBC37566</t>
  </si>
  <si>
    <t>1110785 - SREEHARI SANTHOSH</t>
  </si>
  <si>
    <t>239/VSL/25000856</t>
  </si>
  <si>
    <t>SOB25001488</t>
  </si>
  <si>
    <t>SUMESH S</t>
  </si>
  <si>
    <t>MBHHWB13STBC29783</t>
  </si>
  <si>
    <t>BZR4LV1</t>
  </si>
  <si>
    <t>SUNIL CHANDRAN.P .</t>
  </si>
  <si>
    <t>MA3JMTB1STCE55597</t>
  </si>
  <si>
    <t>BONY .</t>
  </si>
  <si>
    <t>MA3SFM61STB472765</t>
  </si>
  <si>
    <t>ATA4HV1</t>
  </si>
  <si>
    <t>WAJ</t>
  </si>
  <si>
    <t>MA3ZFDFSKTC413173</t>
  </si>
  <si>
    <t>483700 - LANEESH A S</t>
  </si>
  <si>
    <t>LANEESH A S(C21174), Mr.</t>
  </si>
  <si>
    <t>118/VSL25000098</t>
  </si>
  <si>
    <t>MUGIB RAHMAN V M</t>
  </si>
  <si>
    <t>MA3YPLCSKTB161258</t>
  </si>
  <si>
    <t>K106321</t>
  </si>
  <si>
    <t>ECR4AL1</t>
  </si>
  <si>
    <t>858757 - LIPIN P PAUL</t>
  </si>
  <si>
    <t>LIPIN P PAUL (C22876),</t>
  </si>
  <si>
    <t>282/VSL/25000259</t>
  </si>
  <si>
    <t>SOB25000438</t>
  </si>
  <si>
    <t>HARISANKAR VV .</t>
  </si>
  <si>
    <t>MA3NFG81STB487371</t>
  </si>
  <si>
    <t>1306074 - ANVAR SADATH AA</t>
  </si>
  <si>
    <t>ANVAR SADATH A A (C25984),</t>
  </si>
  <si>
    <t>263/VSL/25001105</t>
  </si>
  <si>
    <t>SOB25001890</t>
  </si>
  <si>
    <t>JISHNU  M K</t>
  </si>
  <si>
    <t>MBHHWB13STBC38036</t>
  </si>
  <si>
    <t>1405133 - ANAZ ZIAD</t>
  </si>
  <si>
    <t>263/VSL/25001106</t>
  </si>
  <si>
    <t>SOB25001616</t>
  </si>
  <si>
    <t>HARIKRISHNAN P R</t>
  </si>
  <si>
    <t>MBHHWB13STAB97499</t>
  </si>
  <si>
    <t>ABHIJITH P S (C25357),</t>
  </si>
  <si>
    <t>40/VSL/25001436</t>
  </si>
  <si>
    <t>MA3JMTB1STBE53601</t>
  </si>
  <si>
    <t>DINU S (C24913),</t>
  </si>
  <si>
    <t>REGIM GEORGE</t>
  </si>
  <si>
    <r>
      <rPr>
        <sz val="12"/>
        <color rgb="FF000000"/>
        <rFont val="Calibri"/>
        <charset val="0"/>
      </rPr>
      <t>11CO.526</t>
    </r>
    <r>
      <rPr>
        <sz val="12"/>
        <color rgb="FF000080"/>
        <rFont val="Calibri"/>
        <charset val="0"/>
      </rPr>
      <t xml:space="preserve"> </t>
    </r>
  </si>
  <si>
    <t>245/VSL/25000858</t>
  </si>
  <si>
    <t>SOB25001467</t>
  </si>
  <si>
    <t>THE PRESIDENT</t>
  </si>
  <si>
    <t>MA3JDT08WTCF98869</t>
  </si>
  <si>
    <t>VRRPIHF</t>
  </si>
  <si>
    <t>1320306 - JITHA VS</t>
  </si>
  <si>
    <t>263/VSL/25001107</t>
  </si>
  <si>
    <t>SOB25001785</t>
  </si>
  <si>
    <t>SARATH K SHAJI</t>
  </si>
  <si>
    <t>MA3NFG81STB487289</t>
  </si>
  <si>
    <t>1380785 - AKASH BAIJU</t>
  </si>
  <si>
    <t>ARJUN RAJEEV(C26471),</t>
  </si>
  <si>
    <t>SHIBU(NEXA KTM)</t>
  </si>
  <si>
    <t>22/VSL/25001479</t>
  </si>
  <si>
    <t>SOB25002106</t>
  </si>
  <si>
    <t>SHAIJO  C S</t>
  </si>
  <si>
    <t>MA3CNC72STB445137</t>
  </si>
  <si>
    <t>JINTO THOMAS (C26210),</t>
  </si>
  <si>
    <t>22/VSL/25001480</t>
  </si>
  <si>
    <t>SOB25002329</t>
  </si>
  <si>
    <t>SHIBY BINOY</t>
  </si>
  <si>
    <t>MBHHWB13STBC33776</t>
  </si>
  <si>
    <t>1271670 - ABHILASH A M</t>
  </si>
  <si>
    <t>ABHILASH A M (C25650),</t>
  </si>
  <si>
    <t>NAKUL P (NEXA)</t>
  </si>
  <si>
    <t>22/VSL/25001481</t>
  </si>
  <si>
    <t>SOB25002184</t>
  </si>
  <si>
    <t>ASHWIN JOHN M A</t>
  </si>
  <si>
    <t>MBHKWD13STB788862</t>
  </si>
  <si>
    <t>1255195 - MANIL C MOHAN</t>
  </si>
  <si>
    <t>MANIL C MOHAN (C25577),</t>
  </si>
  <si>
    <t>22/VSL/25001482</t>
  </si>
  <si>
    <t>SOB25002392</t>
  </si>
  <si>
    <t>K RADHAKRISHNAN</t>
  </si>
  <si>
    <t>MA3NFG81STB487073</t>
  </si>
  <si>
    <t>624068 - ARVIND SANTHOSH</t>
  </si>
  <si>
    <t>ARVIND SANTHOSH (C23669),</t>
  </si>
  <si>
    <t>MA3JMTB1STBE55244</t>
  </si>
  <si>
    <t>22/VSL/25001483</t>
  </si>
  <si>
    <t>RIJO DAVIS GEORGE</t>
  </si>
  <si>
    <t>MA3NFG81STB487334</t>
  </si>
  <si>
    <t>22/VSL/25001484</t>
  </si>
  <si>
    <t>SOB25002149</t>
  </si>
  <si>
    <t>ANITHADEVI T S</t>
  </si>
  <si>
    <t>MBHHWB13STBC34699</t>
  </si>
  <si>
    <t>1087044 - MOHAMMED RIFIN PA</t>
  </si>
  <si>
    <t>MOHAMMED RIFIN P A (C24217),</t>
  </si>
  <si>
    <t>DIVYA VALSAN .</t>
  </si>
  <si>
    <t>MA3ZFDFSKTB410146</t>
  </si>
  <si>
    <t>SABIL.M.S .</t>
  </si>
  <si>
    <t>MA3ZFDFSKTB412106</t>
  </si>
  <si>
    <t>SUJEESH P G (C24887),</t>
  </si>
  <si>
    <t>JOSE.T.D .</t>
  </si>
  <si>
    <t>MA3RYHL1STC777144</t>
  </si>
  <si>
    <t>SUDHEESH.K.S(C26156),</t>
  </si>
  <si>
    <t>MA3SFM61STB470701</t>
  </si>
  <si>
    <t>1421289 - MUHAMMED ABOOBACKER</t>
  </si>
  <si>
    <t>MUHAMMED ABOOBACKER(C26570),</t>
  </si>
  <si>
    <t>JAYESH (ALUVA)</t>
  </si>
  <si>
    <r>
      <rPr>
        <sz val="12"/>
        <color rgb="FF000000"/>
        <rFont val="Calibri"/>
        <charset val="0"/>
      </rPr>
      <t>11CO.530</t>
    </r>
    <r>
      <rPr>
        <sz val="12"/>
        <color rgb="FF000080"/>
        <rFont val="Calibri"/>
        <charset val="0"/>
      </rPr>
      <t xml:space="preserve"> </t>
    </r>
  </si>
  <si>
    <t>245/VSL/25000859</t>
  </si>
  <si>
    <t>22/VSL/25001485</t>
  </si>
  <si>
    <t>SOB25002419</t>
  </si>
  <si>
    <t>JITHIN SUBRAHMANIAN</t>
  </si>
  <si>
    <t>MA3NFG81STB486832</t>
  </si>
  <si>
    <t>1347392 - MOHAMMED USMAN F</t>
  </si>
  <si>
    <t>MUHAMMED USMAN F(C26206),</t>
  </si>
  <si>
    <t>GEORGE KUTTAN JOY ((NEXA 502))</t>
  </si>
  <si>
    <t>A R MANIKANDAN .</t>
  </si>
  <si>
    <t>MA3JDT08WTBF97512</t>
  </si>
  <si>
    <t>VRTCIAS</t>
  </si>
  <si>
    <t>1363570 - JITHIN K ANAND</t>
  </si>
  <si>
    <t>263/VSL/25001108</t>
  </si>
  <si>
    <t>263/VSL/25001109</t>
  </si>
  <si>
    <t>SOB25001832</t>
  </si>
  <si>
    <t>P G CHERIAN</t>
  </si>
  <si>
    <t>MBHKWD43STB805082</t>
  </si>
  <si>
    <t>1124351 - SUJITHMON M SURESH</t>
  </si>
  <si>
    <t>SUJITHMON M SURESH(C24576),</t>
  </si>
  <si>
    <t>MATILDA KING GEORGE TANNIPULLY.</t>
  </si>
  <si>
    <t>MA3BNC62STCC39385</t>
  </si>
  <si>
    <t>293/VSL/25000206</t>
  </si>
  <si>
    <t>SUFAIRA SHAMSUDEEN</t>
  </si>
  <si>
    <t>MBHKWD13STB807758</t>
  </si>
  <si>
    <t>FRRCIV1</t>
  </si>
  <si>
    <t>1408870 - ABHILASH T S</t>
  </si>
  <si>
    <t>MA3JDT08WTBF97898</t>
  </si>
  <si>
    <t>625118 - PRAMOD K</t>
  </si>
  <si>
    <t>RISHAD K.S</t>
  </si>
  <si>
    <t>282/VSL/25000260</t>
  </si>
  <si>
    <t>SOB25000500</t>
  </si>
  <si>
    <t>ARSHAD P A</t>
  </si>
  <si>
    <t>MBHHWB13STBC31009</t>
  </si>
  <si>
    <t>TEQTIVE VENTURES PRIVATE LIMIT ..</t>
  </si>
  <si>
    <t>MA3YPLCSKTB165583</t>
  </si>
  <si>
    <t>263/VSL/25001110</t>
  </si>
  <si>
    <t>SOB25001622</t>
  </si>
  <si>
    <t>ANANTHA KRISHNAN R</t>
  </si>
  <si>
    <t>MA3NFG81STC487518</t>
  </si>
  <si>
    <t>AKASH BAIJU (C26447),</t>
  </si>
  <si>
    <t>22/VSL/25001486</t>
  </si>
  <si>
    <t>SOB25002401</t>
  </si>
  <si>
    <t>DESIGNATED PARTNER</t>
  </si>
  <si>
    <t>MBHKWD43STB799546</t>
  </si>
  <si>
    <t>FRA4JZ2</t>
  </si>
  <si>
    <t>730416 - VISHNU P V</t>
  </si>
  <si>
    <t>VISHNU P V (NEXA),</t>
  </si>
  <si>
    <t>22/VSL/25001487</t>
  </si>
  <si>
    <t>MUKUNDHAN M</t>
  </si>
  <si>
    <t>MA3NFG81STB486307</t>
  </si>
  <si>
    <t>IGR4FZ2</t>
  </si>
  <si>
    <t>1097924 - NISSAR M A</t>
  </si>
  <si>
    <t>NISSAR M A (C24350),</t>
  </si>
  <si>
    <t>RAHUL P R (NEXA 502)</t>
  </si>
  <si>
    <t>282/VSL/25000261</t>
  </si>
  <si>
    <t>SOB25000517</t>
  </si>
  <si>
    <t>ANFAS P A</t>
  </si>
  <si>
    <t>MBHHWB13STBC17985</t>
  </si>
  <si>
    <t>BZR4LZ2</t>
  </si>
  <si>
    <t>1399808 - A R SUJITH</t>
  </si>
  <si>
    <t>22/VSL/25001488</t>
  </si>
  <si>
    <t>SOB25002156</t>
  </si>
  <si>
    <t>SHAHANAS FAZAL</t>
  </si>
  <si>
    <t>MBHHWB13STBC19368</t>
  </si>
  <si>
    <t>11CO.513</t>
  </si>
  <si>
    <t>513-CHAVAKKAD</t>
  </si>
  <si>
    <t>MA3JMTC1STBE44019</t>
  </si>
  <si>
    <t>302556 - RISHAD K S</t>
  </si>
  <si>
    <t>MSIL Sale-11CO.513</t>
  </si>
  <si>
    <t>22/VSL/25001489</t>
  </si>
  <si>
    <t>SOB25002023</t>
  </si>
  <si>
    <t>JOLY P F</t>
  </si>
  <si>
    <t>MBHKWD13STC810473</t>
  </si>
  <si>
    <t>FRA4IVA</t>
  </si>
  <si>
    <t>1286152 - ANSAR V I</t>
  </si>
  <si>
    <t>ANSAR .V.I (C25783),</t>
  </si>
  <si>
    <t>NISHAD K S (NEXA.502)</t>
  </si>
  <si>
    <t>40/VSL/25001445</t>
  </si>
  <si>
    <t>MA3ZFDFSKTB411950</t>
  </si>
  <si>
    <t>SAJITH V S (C25610),</t>
  </si>
  <si>
    <t>RAVI NARAYAN NAIR.</t>
  </si>
  <si>
    <t>MA3ZFDFSKSH248442</t>
  </si>
  <si>
    <t>DER4AZ2</t>
  </si>
  <si>
    <t>703214 - JERRIN ROY</t>
  </si>
  <si>
    <t>MA3JMTB1STCE56405</t>
  </si>
  <si>
    <t>M N JAYAN .</t>
  </si>
  <si>
    <t>MA3ZFDFSKTC412967</t>
  </si>
  <si>
    <t>SHEEBA. OOMMEN</t>
  </si>
  <si>
    <t>MBHZCDESKTB539279</t>
  </si>
  <si>
    <t>SIA4AV1</t>
  </si>
  <si>
    <t>1403358 - BEN KOTTUPALLY</t>
  </si>
  <si>
    <t>MBHZCDESKTB537738</t>
  </si>
  <si>
    <t>SIR4AV1</t>
  </si>
  <si>
    <t>245/VSL/25000860</t>
  </si>
  <si>
    <t>22/VSL/25001490</t>
  </si>
  <si>
    <t>SURESH SIVAN PILLAI</t>
  </si>
  <si>
    <t>MBJTYKL1SSD319003</t>
  </si>
  <si>
    <t>GVA4HZB</t>
  </si>
  <si>
    <t>1097923 - AMAL P U</t>
  </si>
  <si>
    <t>MA3JMTB1STBE55239</t>
  </si>
  <si>
    <t>MUHAMMED FARIS .</t>
  </si>
  <si>
    <t>MA3JMTB1STCE58249</t>
  </si>
  <si>
    <t>MA3JMTB1STBE55086</t>
  </si>
  <si>
    <t>Z2S</t>
  </si>
  <si>
    <t>239/VSL/25000857</t>
  </si>
  <si>
    <t>SOB25001478</t>
  </si>
  <si>
    <t>PREETHA L C</t>
  </si>
  <si>
    <t>MBHHWB13STCC38871</t>
  </si>
  <si>
    <t>1232911 - VISHNU KUMAR VA</t>
  </si>
  <si>
    <t>MA3BNC62STBC25648</t>
  </si>
  <si>
    <t>ERRCIV1</t>
  </si>
  <si>
    <t>239/VSL/25000858</t>
  </si>
  <si>
    <t>SOB25001476</t>
  </si>
  <si>
    <t>ANAND REMESH</t>
  </si>
  <si>
    <t>MBHHWB13STBC37693</t>
  </si>
  <si>
    <t>1200204 - RESHMI S</t>
  </si>
  <si>
    <t>263/VSL/25001111</t>
  </si>
  <si>
    <t>SOB25001654</t>
  </si>
  <si>
    <t>HASHIM MUHAMMED</t>
  </si>
  <si>
    <t>MA3NFG81STB487384</t>
  </si>
  <si>
    <t>263/VSL/25001112</t>
  </si>
  <si>
    <t>SOB25001895</t>
  </si>
  <si>
    <t>ATHISH PANICKER</t>
  </si>
  <si>
    <t>MA3NFG81STB487411</t>
  </si>
  <si>
    <t>1410033 - ASWIN K REJI</t>
  </si>
  <si>
    <t>ASWIN K REJI(C26401),</t>
  </si>
  <si>
    <t>118/VSL25000099</t>
  </si>
  <si>
    <t>MA3YPLCSKTA158633</t>
  </si>
  <si>
    <t>ECA4AZ2</t>
  </si>
  <si>
    <t>1403232 - ALFIYA ASHRAF</t>
  </si>
  <si>
    <t>118/VCN/25000005</t>
  </si>
  <si>
    <t>ALFIYA ASHRAF (C26586),</t>
  </si>
  <si>
    <t>MA3JMTB1STCE58688</t>
  </si>
  <si>
    <t>22/VSL/25001491</t>
  </si>
  <si>
    <t>SOB25001656</t>
  </si>
  <si>
    <t>MBHHWB13STCC42941</t>
  </si>
  <si>
    <t>11CO.526</t>
  </si>
  <si>
    <t>526-Fort Kochi</t>
  </si>
  <si>
    <t>MA3JMTB1STBE55208</t>
  </si>
  <si>
    <t>1071769 - CHANCHAL KG</t>
  </si>
  <si>
    <t>22/VSL/25001492</t>
  </si>
  <si>
    <t>SOB25002475</t>
  </si>
  <si>
    <t>MA3NFG81STB486577</t>
  </si>
  <si>
    <t>IGA4FZ1</t>
  </si>
  <si>
    <t>22/VSL/25001493</t>
  </si>
  <si>
    <t>SOB25002468</t>
  </si>
  <si>
    <t>MBHKWD13STC810323</t>
  </si>
  <si>
    <t>FRA4IV1</t>
  </si>
  <si>
    <t>239/VSL/25000859</t>
  </si>
  <si>
    <t>SOB25001502</t>
  </si>
  <si>
    <t>THE AREA MANAGER CANTEEN STORES DEPARTMENT</t>
  </si>
  <si>
    <t>MBHKWD13STB798082</t>
  </si>
  <si>
    <t>1397299 - ATHULYA R</t>
  </si>
  <si>
    <t>22/VSL/25001494</t>
  </si>
  <si>
    <t>SOB25002428</t>
  </si>
  <si>
    <t>MBHHWB13STCC42351</t>
  </si>
  <si>
    <t>MA3JMTC1STBE41298</t>
  </si>
  <si>
    <t>1385767 - JINTO THOMAS</t>
  </si>
  <si>
    <t>MA3JMTB1STCE58022</t>
  </si>
  <si>
    <t>245/VSL/25000861</t>
  </si>
  <si>
    <t>SOB25001471</t>
  </si>
  <si>
    <t>ASISH GEORGE THOMAS</t>
  </si>
  <si>
    <t>MA3YPLCSKTA147125</t>
  </si>
  <si>
    <t>K088475</t>
  </si>
  <si>
    <t>ECA4AV1</t>
  </si>
  <si>
    <t>WCH</t>
  </si>
  <si>
    <t>239/VSL/25000860</t>
  </si>
  <si>
    <t>SOB25001419</t>
  </si>
  <si>
    <t>REGHUNATH P</t>
  </si>
  <si>
    <t>MBHPA2ASKTB132578</t>
  </si>
  <si>
    <t>B404228</t>
  </si>
  <si>
    <t>299/VSL/25000146</t>
  </si>
  <si>
    <t>SOB25000285</t>
  </si>
  <si>
    <t>BINDHU K</t>
  </si>
  <si>
    <t>KGY</t>
  </si>
  <si>
    <t>11CO.538</t>
  </si>
  <si>
    <t>538-KARUNAGAPALLY-NEXA</t>
  </si>
  <si>
    <t>MBHPA2ASKTA118402</t>
  </si>
  <si>
    <t>M303516</t>
  </si>
  <si>
    <t>1329214 - RAHUL R</t>
  </si>
  <si>
    <t>MSIL Nexa - 11CO.538</t>
  </si>
  <si>
    <t>MA3ZFDFSKTB411649</t>
  </si>
  <si>
    <t>22/VSL/25001495</t>
  </si>
  <si>
    <t>SOB25002320</t>
  </si>
  <si>
    <t>AZAD A B</t>
  </si>
  <si>
    <t>MBHPA2ASKTB125725</t>
  </si>
  <si>
    <t>A407052</t>
  </si>
  <si>
    <t>VEAEAZ1</t>
  </si>
  <si>
    <t>MA3JMTC1STAE28587</t>
  </si>
  <si>
    <t>WAR4KZ1</t>
  </si>
  <si>
    <t>22/VSL/25001496</t>
  </si>
  <si>
    <t>SOB25002473</t>
  </si>
  <si>
    <t>STENCYMOL ROBINSON</t>
  </si>
  <si>
    <t>MBHHWB13STBC35867</t>
  </si>
  <si>
    <t>ARUN VISWANATH (C24789),</t>
  </si>
  <si>
    <t>22/VSL/25001497</t>
  </si>
  <si>
    <t>SOB25002463</t>
  </si>
  <si>
    <t>M A CHANDRASEKHARAN</t>
  </si>
  <si>
    <t>MBJTYKL1STB364920</t>
  </si>
  <si>
    <t>GVR4HV1</t>
  </si>
  <si>
    <t>ZAM</t>
  </si>
  <si>
    <t>1081169 - MIDHUN P M</t>
  </si>
  <si>
    <t>MIDHUN P M (C26432),</t>
  </si>
  <si>
    <t>22/VSL/25001498</t>
  </si>
  <si>
    <t>SOB25002182</t>
  </si>
  <si>
    <t>SRAVEN JOSE</t>
  </si>
  <si>
    <t>MBHHWB13STBC33339</t>
  </si>
  <si>
    <t>22/VSL/25001499</t>
  </si>
  <si>
    <t>SOB25002452</t>
  </si>
  <si>
    <t>MARTIN LIJU D'SILVA</t>
  </si>
  <si>
    <t>MA3NFG81STB486209</t>
  </si>
  <si>
    <t>1087033 - ELDHO SONNY</t>
  </si>
  <si>
    <t>ELDHO SONNY (C24161),</t>
  </si>
  <si>
    <t>ANIL KUMAR .</t>
  </si>
  <si>
    <t>MA3YPLCSKTB167199</t>
  </si>
  <si>
    <t>514410 - SATHEESH A V</t>
  </si>
  <si>
    <t>SATHEESH A.V. (C20658),</t>
  </si>
  <si>
    <t>MA3JMTC1STBE40725</t>
  </si>
  <si>
    <t>263/VSL/25001113</t>
  </si>
  <si>
    <t>SOB25001718</t>
  </si>
  <si>
    <t>TOMIN JOSEPH</t>
  </si>
  <si>
    <t>MBHHWB13STCC41069</t>
  </si>
  <si>
    <t>MA3BNC72STBC38930</t>
  </si>
  <si>
    <t>ERR4IT1</t>
  </si>
  <si>
    <t>486721 - AJITH C M</t>
  </si>
  <si>
    <t>22/VSL/25001500</t>
  </si>
  <si>
    <t>SOB25001977</t>
  </si>
  <si>
    <t>NAVYA K N</t>
  </si>
  <si>
    <t>MBHHWB13STCC43029</t>
  </si>
  <si>
    <t>263/VSL/25001114</t>
  </si>
  <si>
    <t>SOB25001635</t>
  </si>
  <si>
    <t>JITHIN JOHNY</t>
  </si>
  <si>
    <t>MBHHWB13STBC30361</t>
  </si>
  <si>
    <t>1240174 - ROSHMI P T</t>
  </si>
  <si>
    <t>ROMINS GEORGE (C25808),</t>
  </si>
  <si>
    <t>LIJU.. JACOB</t>
  </si>
  <si>
    <t>MA3TFC62STB372646</t>
  </si>
  <si>
    <t>CLA4DV1</t>
  </si>
  <si>
    <t>245/VSL/25000862</t>
  </si>
  <si>
    <t>SOB25001425</t>
  </si>
  <si>
    <t>SIJU MATHEW</t>
  </si>
  <si>
    <t>MA3RYHL1STA739334</t>
  </si>
  <si>
    <t>E5R</t>
  </si>
  <si>
    <t>1151702 - AKHIL P KUMAR</t>
  </si>
  <si>
    <t>SIYAD T M.</t>
  </si>
  <si>
    <t>MA3JMTC1STBE51742</t>
  </si>
  <si>
    <t>1261038 - MOHAMMED RIYAS</t>
  </si>
  <si>
    <t>MA3ZFDFSKTB396569</t>
  </si>
  <si>
    <t>572251 - VISHNU K R</t>
  </si>
  <si>
    <t>MA3RYHK1STB757971</t>
  </si>
  <si>
    <t>572239 - ABHILASH P C</t>
  </si>
  <si>
    <t>MA3JMTB1STBE54022</t>
  </si>
  <si>
    <t>263/VSL/25001115</t>
  </si>
  <si>
    <t>SOB25001912</t>
  </si>
  <si>
    <t>MBHHWB13STBC23486</t>
  </si>
  <si>
    <t>MA3YPLCSKTA158777</t>
  </si>
  <si>
    <t>CHANCHAL JOS ANTONY (C25630),</t>
  </si>
  <si>
    <t>MA3JMTB1STBE55019</t>
  </si>
  <si>
    <t>245/VSL/25000863</t>
  </si>
  <si>
    <t>SOB25001228</t>
  </si>
  <si>
    <t>JEEJA BHAI</t>
  </si>
  <si>
    <t>MA3ZFDFSKTB407643</t>
  </si>
  <si>
    <t>F307038</t>
  </si>
  <si>
    <t>805892 - ANOOP KUMAR K</t>
  </si>
  <si>
    <t>239/VSL/25000861</t>
  </si>
  <si>
    <t>SOB25001505</t>
  </si>
  <si>
    <t>MBJTYKL1STB364127</t>
  </si>
  <si>
    <t>1347509 - JIJIMOL JACOB</t>
  </si>
  <si>
    <t>22/VSL/25001501</t>
  </si>
  <si>
    <t>SOB25002061</t>
  </si>
  <si>
    <t>BINOY BOSE</t>
  </si>
  <si>
    <t>MBHKWD13STC808876</t>
  </si>
  <si>
    <t>MA3ZFDFSKTB412411</t>
  </si>
  <si>
    <t>DEA4AZ2</t>
  </si>
  <si>
    <t>1311011 - VISHNU RAJU</t>
  </si>
  <si>
    <t>VISHNU RAJU (C25990),</t>
  </si>
  <si>
    <t>239/VSL/25000862</t>
  </si>
  <si>
    <t>SOB25001243</t>
  </si>
  <si>
    <t>ARUN KUMAR S</t>
  </si>
  <si>
    <t>MBHKWD43STB808248</t>
  </si>
  <si>
    <t>1347538 - DEVIKA A</t>
  </si>
  <si>
    <t>245/VSL/25000864</t>
  </si>
  <si>
    <t>SOB25001351</t>
  </si>
  <si>
    <t>UNNIKRISHNAN C G</t>
  </si>
  <si>
    <t>MA3ZFDFSKTA384368</t>
  </si>
  <si>
    <t>F283110</t>
  </si>
  <si>
    <t>DER4AT1</t>
  </si>
  <si>
    <t>1193426 - SHIMA KS</t>
  </si>
  <si>
    <t>SHIMA (C25038),</t>
  </si>
  <si>
    <t>RANSHAD MON R (CGNR)</t>
  </si>
  <si>
    <t>245/VSL/25000865</t>
  </si>
  <si>
    <t>SOB25001166</t>
  </si>
  <si>
    <t>SAJI PUTHENVETTIL KOSHY</t>
  </si>
  <si>
    <t>MA3YPLCSKTA142330</t>
  </si>
  <si>
    <t>K083315</t>
  </si>
  <si>
    <t>1320308 - SAJEEV S GOPI</t>
  </si>
  <si>
    <t>263/VSL/25001116</t>
  </si>
  <si>
    <t>SOB25001800</t>
  </si>
  <si>
    <t>MERIN ROSE ZACHARIAS</t>
  </si>
  <si>
    <t>MA3NFG81STC487609</t>
  </si>
  <si>
    <t>1405134 - DEVIKA BABU</t>
  </si>
  <si>
    <t>MOBIN JOHN CHERIAN (C26698),</t>
  </si>
  <si>
    <t>ANEESHA .</t>
  </si>
  <si>
    <t>MBHZCDESKTB537926</t>
  </si>
  <si>
    <t>SIA4AZ2</t>
  </si>
  <si>
    <t>1420151 - NABEEL PA</t>
  </si>
  <si>
    <t>NABEEL P A (C26239),</t>
  </si>
  <si>
    <t>245/VSL/25000866</t>
  </si>
  <si>
    <t>SOB25001472</t>
  </si>
  <si>
    <t>RAM MOHAN</t>
  </si>
  <si>
    <t>MA3YPLCSKTB173246</t>
  </si>
  <si>
    <t>K121986</t>
  </si>
  <si>
    <t>ECR4AV1</t>
  </si>
  <si>
    <t>273/VSL/25000083</t>
  </si>
  <si>
    <t>SOB25000159</t>
  </si>
  <si>
    <t>AARON MATHEW ROY</t>
  </si>
  <si>
    <t>MA3JMTC1STBE39632</t>
  </si>
  <si>
    <t>FSC</t>
  </si>
  <si>
    <t>1213057 - ANSON MATHEW</t>
  </si>
  <si>
    <t>ANSON(C25108),</t>
  </si>
  <si>
    <t>239/VSL/25000863</t>
  </si>
  <si>
    <t>ARJUN RAJ</t>
  </si>
  <si>
    <t>MA3NFG81STB486478</t>
  </si>
  <si>
    <t>1287657 - REEBA GEORGE</t>
  </si>
  <si>
    <t>245/VSL/25000867</t>
  </si>
  <si>
    <t>SOB25001460</t>
  </si>
  <si>
    <t>SURAJ M</t>
  </si>
  <si>
    <t>MBHZCDESKTC543369</t>
  </si>
  <si>
    <t>SIR4AL1</t>
  </si>
  <si>
    <t>1414044 - ANADHU R KRISHNAN</t>
  </si>
  <si>
    <t>239/VSL/25000864</t>
  </si>
  <si>
    <t>SOB25001313</t>
  </si>
  <si>
    <t>ROY MATHEW</t>
  </si>
  <si>
    <t>MBHHWB13STCC43729</t>
  </si>
  <si>
    <t>MA3JDT08WTBF91940</t>
  </si>
  <si>
    <t>VRRPIAF</t>
  </si>
  <si>
    <t>MA3JDT08WTBF97919</t>
  </si>
  <si>
    <t>1420148 - NIDHIN KU</t>
  </si>
  <si>
    <t>CHITHRA P.</t>
  </si>
  <si>
    <t>MA3RYHK1SSG646337</t>
  </si>
  <si>
    <t>VZRCFV1</t>
  </si>
  <si>
    <t>ABHILASH P.C (C21931),</t>
  </si>
  <si>
    <t>ABHILASH K P (C21618)</t>
  </si>
  <si>
    <t>181/VSL/25000080</t>
  </si>
  <si>
    <t>SOB25000126</t>
  </si>
  <si>
    <t>VIPIN JOHNSON.</t>
  </si>
  <si>
    <t>CON</t>
  </si>
  <si>
    <t>11CO.530</t>
  </si>
  <si>
    <t>530-Aluva LCV</t>
  </si>
  <si>
    <t>MA3EDC03TTB390592</t>
  </si>
  <si>
    <t>CARCFS2</t>
  </si>
  <si>
    <t>857010 - SARAN S KUMAR</t>
  </si>
  <si>
    <t>MSIL Sale-11CO.530</t>
  </si>
  <si>
    <t>SARAN S KUMAR (LCV-C22892),</t>
  </si>
  <si>
    <t>DEEPAK K M (LCV)</t>
  </si>
  <si>
    <t>MA3YPLCSKTC175019</t>
  </si>
  <si>
    <t>MBHZCDESKTB538886</t>
  </si>
  <si>
    <t>1017928 - AMAL KSAJU</t>
  </si>
  <si>
    <t>AMAL K SAJU (C26180),</t>
  </si>
  <si>
    <t>MA3YPLCSKTB162530</t>
  </si>
  <si>
    <t>MA3JMTB1STBE54131</t>
  </si>
  <si>
    <t>22/VSL/25001502</t>
  </si>
  <si>
    <t>SOB25001971</t>
  </si>
  <si>
    <t>SRINIVAS T S</t>
  </si>
  <si>
    <t>MBHHWB13STCC44017</t>
  </si>
  <si>
    <t>22/VSL/25001503</t>
  </si>
  <si>
    <t>SOB25002357</t>
  </si>
  <si>
    <t>JIJO.A.O .</t>
  </si>
  <si>
    <t>MBHHWB13STCC44214</t>
  </si>
  <si>
    <t>MA3BNC62STBC41551</t>
  </si>
  <si>
    <t>22/VSL/25001504</t>
  </si>
  <si>
    <t>SOB25001830</t>
  </si>
  <si>
    <t>ALIAS PATHROSE</t>
  </si>
  <si>
    <t>MBHKWD13STC809188</t>
  </si>
  <si>
    <t>AJAY MOHAN (C23272),</t>
  </si>
  <si>
    <t>22/VSL/25001505</t>
  </si>
  <si>
    <t>SOB25002477</t>
  </si>
  <si>
    <t>RAJAN R</t>
  </si>
  <si>
    <t>MA3NFG81STB485594</t>
  </si>
  <si>
    <t>22/VCN/25000154</t>
  </si>
  <si>
    <t>263/VSL/25001117</t>
  </si>
  <si>
    <t>SOB25001894</t>
  </si>
  <si>
    <t>RAHUL M</t>
  </si>
  <si>
    <t>MA3NFG81STC487708</t>
  </si>
  <si>
    <t>1294331 - RENJITH V</t>
  </si>
  <si>
    <t>SREEHARI  SANTHOSH (C24491),</t>
  </si>
  <si>
    <t>22/VSL/25001506</t>
  </si>
  <si>
    <t>FATHIMA NESRI</t>
  </si>
  <si>
    <t>MBHHWB13STCC42856</t>
  </si>
  <si>
    <t>22/VSL/25001507</t>
  </si>
  <si>
    <t>SOB25001760</t>
  </si>
  <si>
    <t>NEETHU P G</t>
  </si>
  <si>
    <t>MBHKWD43STC809280</t>
  </si>
  <si>
    <t>263/VSL/25001118</t>
  </si>
  <si>
    <t>SOB25001867</t>
  </si>
  <si>
    <t>ELIZABETH JOHN</t>
  </si>
  <si>
    <t>MA3NFG81STA484909</t>
  </si>
  <si>
    <t>22/VSL/25001508</t>
  </si>
  <si>
    <t>SOB25002049</t>
  </si>
  <si>
    <t>NITHIN P T</t>
  </si>
  <si>
    <t>MBHHWB13STBC36802</t>
  </si>
  <si>
    <t>22/VSL/25001509</t>
  </si>
  <si>
    <t>SOB25002333</t>
  </si>
  <si>
    <t>MUSTHAFA HASAN</t>
  </si>
  <si>
    <t>MBHHWB13STBC24302</t>
  </si>
  <si>
    <t>22/VSL/25001510</t>
  </si>
  <si>
    <t>SOB25002478</t>
  </si>
  <si>
    <t>SUJEENDRADATH P S</t>
  </si>
  <si>
    <t>MA3JJC74WTA296979</t>
  </si>
  <si>
    <t>JMR4EZ2</t>
  </si>
  <si>
    <t>282/VSL/25000262</t>
  </si>
  <si>
    <t>SOB25000358</t>
  </si>
  <si>
    <t>MOHAMMED RAFI .</t>
  </si>
  <si>
    <t>MBHKWD13STC813828</t>
  </si>
  <si>
    <t>NEJIL K A(C26308),</t>
  </si>
  <si>
    <t>SACHIN KRISHNA SAJEEV (KDLR)</t>
  </si>
  <si>
    <t>22/VSL/25001511</t>
  </si>
  <si>
    <t>SOB25002158</t>
  </si>
  <si>
    <t>VIJY K V</t>
  </si>
  <si>
    <t>MBJTYKL1STC366274</t>
  </si>
  <si>
    <t>GVA4HV1</t>
  </si>
  <si>
    <t>AKSHAY RANJAN (C26436),</t>
  </si>
  <si>
    <t>MA3BNC62STCC45422</t>
  </si>
  <si>
    <t>341211 - MANOJ C S</t>
  </si>
  <si>
    <t>MANOJ C S (C20619), Mr.</t>
  </si>
  <si>
    <t>282/VSL/25000263</t>
  </si>
  <si>
    <t>SOB25000497</t>
  </si>
  <si>
    <t>AKSHAYSARAN PS .</t>
  </si>
  <si>
    <t>MBHHWB13STCC43723</t>
  </si>
  <si>
    <t>245/VSL/25000868</t>
  </si>
  <si>
    <t>SOB25001421</t>
  </si>
  <si>
    <t>AYONA MATHEW</t>
  </si>
  <si>
    <t>MA3JMTB1STCE60319</t>
  </si>
  <si>
    <t>C994745</t>
  </si>
  <si>
    <t>991643 - ABHISHEK KRISHNA</t>
  </si>
  <si>
    <t>22/VSL/25001512</t>
  </si>
  <si>
    <t>MA3JMTB1STCE58527</t>
  </si>
  <si>
    <t>22/VSL/25001513</t>
  </si>
  <si>
    <t>SOB25002211</t>
  </si>
  <si>
    <t>SIRAJ K K</t>
  </si>
  <si>
    <t>MBHHWB13STCC38694</t>
  </si>
  <si>
    <t>282/VSL/25000264</t>
  </si>
  <si>
    <t>SOB25000401</t>
  </si>
  <si>
    <t>MOHAMMED BASHEER L A</t>
  </si>
  <si>
    <t>MBHKWD13STC809171</t>
  </si>
  <si>
    <t>NIDHIN K U(C26559),</t>
  </si>
  <si>
    <t>263/VSL/25001119</t>
  </si>
  <si>
    <t>SOB25001540</t>
  </si>
  <si>
    <t>DIVYA .</t>
  </si>
  <si>
    <t>MBHKWD13STC816472</t>
  </si>
  <si>
    <t>239/VSL/25000865</t>
  </si>
  <si>
    <t>SOB25001144</t>
  </si>
  <si>
    <t>AMAL VIJAY</t>
  </si>
  <si>
    <t>MA3NFG81STC487840</t>
  </si>
  <si>
    <t>1371250 - SELIN RAJ</t>
  </si>
  <si>
    <t>245/VSL/25000869</t>
  </si>
  <si>
    <t>SOB25001455</t>
  </si>
  <si>
    <t>SARATHKUMAR T O</t>
  </si>
  <si>
    <t>MA3JDT08WSEE86362</t>
  </si>
  <si>
    <t>VRTPIHS</t>
  </si>
  <si>
    <t>263/VSL/25001120</t>
  </si>
  <si>
    <t>SOB25001844</t>
  </si>
  <si>
    <t>VARGHESE C J</t>
  </si>
  <si>
    <t>MBHKWD13STC814826</t>
  </si>
  <si>
    <t>1135131 - JOEL GEORGE KURIAKOSE</t>
  </si>
  <si>
    <t>JOEL GEORGE KURIAKOSE (C24632),</t>
  </si>
  <si>
    <t>245/VSL/25000870</t>
  </si>
  <si>
    <t>SOB25001491</t>
  </si>
  <si>
    <t>ANOOP MATHEW ABRAHAM</t>
  </si>
  <si>
    <t>MA3JMTB1STCE60294</t>
  </si>
  <si>
    <t>C994738</t>
  </si>
  <si>
    <t>22/VSL/25001514</t>
  </si>
  <si>
    <t>SOB25002206</t>
  </si>
  <si>
    <t>ANAND RAJAN NALINAKUMARI</t>
  </si>
  <si>
    <t>MBJTYKL1STC366305</t>
  </si>
  <si>
    <t>GVR4HZ1</t>
  </si>
  <si>
    <t>GAYATHRI SANAL (C26543),</t>
  </si>
  <si>
    <t>MA3ZFDFSKTA384061</t>
  </si>
  <si>
    <t>BIJO JOY (C23459),</t>
  </si>
  <si>
    <t>MA3JMTB1STCE55943</t>
  </si>
  <si>
    <t>466248 - IBIN JOSE</t>
  </si>
  <si>
    <t>IBIN JOSE, Mr.</t>
  </si>
  <si>
    <t>22/VSL/25001515</t>
  </si>
  <si>
    <t>SOB25002166</t>
  </si>
  <si>
    <t>JAYAN P K</t>
  </si>
  <si>
    <t>MBHHWB13STCC44686</t>
  </si>
  <si>
    <t>263/VSL/25001121</t>
  </si>
  <si>
    <t>SOB25001703</t>
  </si>
  <si>
    <t>GAYATHRI K R</t>
  </si>
  <si>
    <t>MBHHWB13STCC42558</t>
  </si>
  <si>
    <t>22/VSL/25001516</t>
  </si>
  <si>
    <t>SOB25002087</t>
  </si>
  <si>
    <t>SUNITHA C</t>
  </si>
  <si>
    <t>MBHHWB13STCC41796</t>
  </si>
  <si>
    <t>ABHIRAMI T J (C26723),</t>
  </si>
  <si>
    <t>22/VSL/25001517</t>
  </si>
  <si>
    <t>SREEJESH J</t>
  </si>
  <si>
    <t>MBHHWB13STCC42328</t>
  </si>
  <si>
    <t>22/VSL/25001518</t>
  </si>
  <si>
    <t>SOB25002027</t>
  </si>
  <si>
    <t>RAKESH KRISHNAKUMAR</t>
  </si>
  <si>
    <t>MBHHWB13STCC43782</t>
  </si>
  <si>
    <t>263/VSL/25001122</t>
  </si>
  <si>
    <t>MANIKUTTAN V O</t>
  </si>
  <si>
    <t>MBHHWB13STCC41844</t>
  </si>
  <si>
    <t>22/VSL/25001519</t>
  </si>
  <si>
    <t>SOB25002063</t>
  </si>
  <si>
    <t>ANJANA K G</t>
  </si>
  <si>
    <t>MA3NFG81STC487698</t>
  </si>
  <si>
    <t>22/VSL/25001520</t>
  </si>
  <si>
    <t>SOB25002403</t>
  </si>
  <si>
    <t>ARUN KUMAR</t>
  </si>
  <si>
    <t>MBHHWB13STCC44197</t>
  </si>
  <si>
    <t>22/VSL/25001521</t>
  </si>
  <si>
    <t>JOHN LIBIN</t>
  </si>
  <si>
    <t>MBHHWB13STCC39106</t>
  </si>
  <si>
    <t>1255226 - JOSEPH GEORGE</t>
  </si>
  <si>
    <t>JOSEPH GEORGE (C25579),</t>
  </si>
  <si>
    <t>239/VSL/25000866</t>
  </si>
  <si>
    <t>SOB25001308</t>
  </si>
  <si>
    <t>SAJITH CHANDRAN</t>
  </si>
  <si>
    <t>MA3CNC72SSK431477</t>
  </si>
  <si>
    <t>22/VSL/25001522</t>
  </si>
  <si>
    <t>SOB25002416</t>
  </si>
  <si>
    <t>MA3NFG81STB487005</t>
  </si>
  <si>
    <t>22/VSL/25001523</t>
  </si>
  <si>
    <t>SOB25001948</t>
  </si>
  <si>
    <t>BIJU E M</t>
  </si>
  <si>
    <t>MBHHWB13STCC44226</t>
  </si>
  <si>
    <t>MA3JMTB1STCE57859</t>
  </si>
  <si>
    <t>22/VSL/25001524</t>
  </si>
  <si>
    <t>SOB25002177</t>
  </si>
  <si>
    <t>RAGHU.V. .</t>
  </si>
  <si>
    <t>MBHHWB13STCC43983</t>
  </si>
  <si>
    <t>299/VSL/25000147</t>
  </si>
  <si>
    <t>MBHHWB13STBC30254</t>
  </si>
  <si>
    <t>263/VSL/25001123</t>
  </si>
  <si>
    <t>SOB25001914</t>
  </si>
  <si>
    <t>SONY JOSEPH</t>
  </si>
  <si>
    <t>MBJTYKL1STC366169</t>
  </si>
  <si>
    <t>MA3JMTB1STBE52755</t>
  </si>
  <si>
    <t>RAJAN.K.V .</t>
  </si>
  <si>
    <t>MA3JMTC1STCE61032</t>
  </si>
  <si>
    <t>PRAMOD K ( C21230),</t>
  </si>
  <si>
    <t>245/VSL/25000871</t>
  </si>
  <si>
    <t>SOB25001495</t>
  </si>
  <si>
    <t>MATHEW K M</t>
  </si>
  <si>
    <t>MA3BNC72STCC46514</t>
  </si>
  <si>
    <t>A025514</t>
  </si>
  <si>
    <t>ERR4IV1</t>
  </si>
  <si>
    <t>SUNITHA(C25111),</t>
  </si>
  <si>
    <t>22/VSL/25001525</t>
  </si>
  <si>
    <t>SOB25002112</t>
  </si>
  <si>
    <t>JAYASREE J</t>
  </si>
  <si>
    <t>MA3NFG81STB486721</t>
  </si>
  <si>
    <t>22/VSL/25001526</t>
  </si>
  <si>
    <t>NASEEMA NISAR</t>
  </si>
  <si>
    <t>MBHHWB13STCC42533</t>
  </si>
  <si>
    <t>RATHEESH KUMAR.M .</t>
  </si>
  <si>
    <t>MA3SFM61STC476037</t>
  </si>
  <si>
    <t>ATA4HV2</t>
  </si>
  <si>
    <t>245/VSL/25000872</t>
  </si>
  <si>
    <t>SOB25001496</t>
  </si>
  <si>
    <t>JOSMIN JOSEPH</t>
  </si>
  <si>
    <t>MBHZCDESKTB531117</t>
  </si>
  <si>
    <t>282/VSL/25000265</t>
  </si>
  <si>
    <t>SOB25000437</t>
  </si>
  <si>
    <t>SHYLAJA V K .</t>
  </si>
  <si>
    <t>MBHHWB13STCC44260</t>
  </si>
  <si>
    <t>263/VSL/25001124</t>
  </si>
  <si>
    <t>SOB25001911</t>
  </si>
  <si>
    <t>K J BABU</t>
  </si>
  <si>
    <t>MA3JJC74WTB304273</t>
  </si>
  <si>
    <t>1349850 - GEETHU R MENON</t>
  </si>
  <si>
    <t>MA3BNC72STCC45325</t>
  </si>
  <si>
    <t>239/VSL/25000867</t>
  </si>
  <si>
    <t>SOB25001515</t>
  </si>
  <si>
    <t>RENJU KUMARY J</t>
  </si>
  <si>
    <t>MBHHWB13STBC25003</t>
  </si>
  <si>
    <t>MA3JDT08BTBF96933</t>
  </si>
  <si>
    <t>181/VSL/25000081</t>
  </si>
  <si>
    <t>SOB25000138</t>
  </si>
  <si>
    <t>SARATH N S</t>
  </si>
  <si>
    <t>MA3EDC03TTB390765</t>
  </si>
  <si>
    <t>181/VSL/25000082</t>
  </si>
  <si>
    <t>SOB25000139</t>
  </si>
  <si>
    <t>SARATH JOSHY .</t>
  </si>
  <si>
    <t>MA3EDC03TTB390679</t>
  </si>
  <si>
    <t>1268655 - MUHAMMED FAYAS KA</t>
  </si>
  <si>
    <t>MUHAMMED FAYAS K A (C25649),</t>
  </si>
  <si>
    <t>263/VSL/25001125</t>
  </si>
  <si>
    <t>SOB25001556</t>
  </si>
  <si>
    <t>SREEJITH P S</t>
  </si>
  <si>
    <t>MBHKWD13STC817940</t>
  </si>
  <si>
    <t>239/VSL/25000868</t>
  </si>
  <si>
    <t>SOB25001232</t>
  </si>
  <si>
    <t>JAYA S</t>
  </si>
  <si>
    <t>MBHKWD13STC818760</t>
  </si>
  <si>
    <t>ASHISH (C25105),</t>
  </si>
  <si>
    <t>SUNIL (KYLM-ARENA)</t>
  </si>
  <si>
    <t>239/VSL/25000869</t>
  </si>
  <si>
    <t>SOB25001230</t>
  </si>
  <si>
    <t>FATHIMA SHAJAHAN</t>
  </si>
  <si>
    <t>MBHHWB13STCC47915</t>
  </si>
  <si>
    <t>1000738 - VISHNU NAIR</t>
  </si>
  <si>
    <t>263/VSL/25001126</t>
  </si>
  <si>
    <t>SOB25001891</t>
  </si>
  <si>
    <t>JESSY THOMAS</t>
  </si>
  <si>
    <t>MA3NFG81STB487405</t>
  </si>
  <si>
    <t>239/VSL/25000870</t>
  </si>
  <si>
    <t>SOB25001260</t>
  </si>
  <si>
    <t>VIJESH VENUGOPAL</t>
  </si>
  <si>
    <t>MBHHWB13STCC47296</t>
  </si>
  <si>
    <t>181/VSL/25000083</t>
  </si>
  <si>
    <t>SOB25000133</t>
  </si>
  <si>
    <t>YOUNAS V M</t>
  </si>
  <si>
    <t>MA3EDC03TTB390584</t>
  </si>
  <si>
    <t>181/VCN/25000004</t>
  </si>
  <si>
    <t>263/VSL/25001127</t>
  </si>
  <si>
    <t>SOB25001559</t>
  </si>
  <si>
    <t>ANOOP VIJAYAN</t>
  </si>
  <si>
    <t>MBHKWD13STC817806</t>
  </si>
  <si>
    <t>MA3BNC62STBC25028</t>
  </si>
  <si>
    <t>ERRCIZ1</t>
  </si>
  <si>
    <t>263/VSL/25001128</t>
  </si>
  <si>
    <t>SOB25001534</t>
  </si>
  <si>
    <t>JAIMON JOSEPH</t>
  </si>
  <si>
    <t>MBHKWD13STC816727</t>
  </si>
  <si>
    <t>AKHIL SHAJI(C26397),</t>
  </si>
  <si>
    <t>239/VSL/25000871</t>
  </si>
  <si>
    <t>SOB25001516</t>
  </si>
  <si>
    <t>MBHHWB13STCC38463</t>
  </si>
  <si>
    <t>SAHU .</t>
  </si>
  <si>
    <t>MA3JDT08WTBF96180</t>
  </si>
  <si>
    <t>1174363 - JITHINCHANDRAN KC</t>
  </si>
  <si>
    <t>ABHIJITH K P (C26532),</t>
  </si>
  <si>
    <t>263/VSL/25001129</t>
  </si>
  <si>
    <t>VISHNU GOPI</t>
  </si>
  <si>
    <t>MBHHWB13STCC47302</t>
  </si>
  <si>
    <t>263/VSL/25001130</t>
  </si>
  <si>
    <t>SOB25001669</t>
  </si>
  <si>
    <t>SREEJITH SABU</t>
  </si>
  <si>
    <t>MBHHWB13STCC46425</t>
  </si>
  <si>
    <t>263/VSL/25001131</t>
  </si>
  <si>
    <t>SOB25001786</t>
  </si>
  <si>
    <t>LIJO JOSEPH</t>
  </si>
  <si>
    <t>MBHHWB13STCC45599</t>
  </si>
  <si>
    <t>181/VSL/25000084</t>
  </si>
  <si>
    <t>40/VSL/25001473</t>
  </si>
  <si>
    <t>MA3JMTB1STBE54446</t>
  </si>
  <si>
    <t>282/VSL/25000266</t>
  </si>
  <si>
    <t>SOB25000549</t>
  </si>
  <si>
    <t>ANEESH T V</t>
  </si>
  <si>
    <t>MBHHWB13STAC13269</t>
  </si>
  <si>
    <t>1381373 - AKHIL P A</t>
  </si>
  <si>
    <t>DIVYARAJ C B (C26761),</t>
  </si>
  <si>
    <t>263/VSL/25001132</t>
  </si>
  <si>
    <t>SOB25001736</t>
  </si>
  <si>
    <t>SAJAI P SIMON</t>
  </si>
  <si>
    <t>MBHHWB13STCC46077</t>
  </si>
  <si>
    <t>22/VSL/25001527</t>
  </si>
  <si>
    <t>SOB25002411</t>
  </si>
  <si>
    <t>SREEJITH K G</t>
  </si>
  <si>
    <t>MA3JJC74WTB305758</t>
  </si>
  <si>
    <t>22/VSL/25001528</t>
  </si>
  <si>
    <t>SOB25002420</t>
  </si>
  <si>
    <t>ANTARA SARKAR .</t>
  </si>
  <si>
    <t>MBHHWB13STBC35696</t>
  </si>
  <si>
    <t>MA3SFM61STB474501</t>
  </si>
  <si>
    <t>22/VSL/25001529</t>
  </si>
  <si>
    <t>PREETHA JOHN .</t>
  </si>
  <si>
    <t>MBHHWB13STCC38696</t>
  </si>
  <si>
    <t>22/VSL/25001530</t>
  </si>
  <si>
    <t>SOB25001876</t>
  </si>
  <si>
    <t>K R VRINDA MENON</t>
  </si>
  <si>
    <t>MBHKWD13STC814786</t>
  </si>
  <si>
    <t>22/VSL/25001531</t>
  </si>
  <si>
    <t>SOB25002092</t>
  </si>
  <si>
    <t>ANOOB C V</t>
  </si>
  <si>
    <t>MBHKWD13STC813830</t>
  </si>
  <si>
    <t>22/VSL/25001532</t>
  </si>
  <si>
    <t>SOB25002498</t>
  </si>
  <si>
    <t>MINNA MATHEW</t>
  </si>
  <si>
    <t>MBHHWB13STCC42845</t>
  </si>
  <si>
    <t>22/VSL/25001533</t>
  </si>
  <si>
    <t>LEMEL K J</t>
  </si>
  <si>
    <t>MBHHWB13STCC44270</t>
  </si>
  <si>
    <t>299/VSL/25000148</t>
  </si>
  <si>
    <t>BILAL. N</t>
  </si>
  <si>
    <t>MBJTYKL1STC366294</t>
  </si>
  <si>
    <t>1287739 - ANU A</t>
  </si>
  <si>
    <t>263/VSL/25001133</t>
  </si>
  <si>
    <t>SOB25001836</t>
  </si>
  <si>
    <t>THASNEEMA D H</t>
  </si>
  <si>
    <t>MBHHWB13STCC39144</t>
  </si>
  <si>
    <t>ARUNKUMAR A (C24696),</t>
  </si>
  <si>
    <t>22/VSL/25001534</t>
  </si>
  <si>
    <t>SOB25002090</t>
  </si>
  <si>
    <t>NAVAS  M A</t>
  </si>
  <si>
    <t>MBHHWB13STCC42477</t>
  </si>
  <si>
    <t>282/VSL/25000267</t>
  </si>
  <si>
    <t>SOB25000556</t>
  </si>
  <si>
    <t>RAHUL PG .</t>
  </si>
  <si>
    <t>MBHHWB13STCC42694</t>
  </si>
  <si>
    <t>MA3JMTB1STCE58319</t>
  </si>
  <si>
    <t>AMITH YACOB(C24679),</t>
  </si>
  <si>
    <t>MA3JMTB1STBE52934</t>
  </si>
  <si>
    <t>767621 - AMALRAJ ANTHONY</t>
  </si>
  <si>
    <t>AMAL RAJ ANTHONY (C22567),</t>
  </si>
  <si>
    <t>MA3JMTB1STCE59289</t>
  </si>
  <si>
    <t>ARUN DAS K A (C26238),</t>
  </si>
  <si>
    <t>293/VSL/25000207</t>
  </si>
  <si>
    <t>AFSAL .</t>
  </si>
  <si>
    <t>MBHHWB13STCC42958</t>
  </si>
  <si>
    <t>22/VSL/25001535</t>
  </si>
  <si>
    <t>BINDU SKARIA</t>
  </si>
  <si>
    <t>MBHHWB13STBC36527</t>
  </si>
  <si>
    <t>282/VSL/25000268</t>
  </si>
  <si>
    <t>SOB25000470</t>
  </si>
  <si>
    <t>MBHHWB13STCC46861</t>
  </si>
  <si>
    <t>22/VSL/25001536</t>
  </si>
  <si>
    <t>SOB25001729</t>
  </si>
  <si>
    <t>JIBIN AVARACHAN</t>
  </si>
  <si>
    <t>MBHKWD13STC810330</t>
  </si>
  <si>
    <t>22/VSL/25001537</t>
  </si>
  <si>
    <t>SOB25002408</t>
  </si>
  <si>
    <t>AKSHAY THOMAS</t>
  </si>
  <si>
    <t>MBHKWD13STC813211</t>
  </si>
  <si>
    <t>22/VSL/25001538</t>
  </si>
  <si>
    <t>245/VSL/25000873</t>
  </si>
  <si>
    <t>SOB25001358</t>
  </si>
  <si>
    <t>MA3JMTB1STCE59041</t>
  </si>
  <si>
    <t>MA3JMTB1STCE55420</t>
  </si>
  <si>
    <t>1246744 - JAYAKRISHNAN KV</t>
  </si>
  <si>
    <t>11CO.515</t>
  </si>
  <si>
    <t>515-ANGAMALY</t>
  </si>
  <si>
    <t>MA3JMTB1STBE53499</t>
  </si>
  <si>
    <t>1320230 - PRAVEENKUMAR B</t>
  </si>
  <si>
    <t>MA3YPLCSKTB160011</t>
  </si>
  <si>
    <t>ECR4AZ1</t>
  </si>
  <si>
    <t>1303495 - ANUKUTTAN KR</t>
  </si>
  <si>
    <t>MA3JMTB1STCE62523</t>
  </si>
  <si>
    <t>263/VSL/25001134</t>
  </si>
  <si>
    <t>SOB25001693</t>
  </si>
  <si>
    <t>MATHEWKUTTY ABRAHAM</t>
  </si>
  <si>
    <t>MBHKWD13STC815538</t>
  </si>
  <si>
    <t>263/VSL/25001135</t>
  </si>
  <si>
    <t>SOB25001699</t>
  </si>
  <si>
    <t>RUSHIKESH T KATTOTT</t>
  </si>
  <si>
    <t>MBHKWD13STC817279</t>
  </si>
  <si>
    <t>263/VSL/25001136</t>
  </si>
  <si>
    <t>SOB25001653</t>
  </si>
  <si>
    <t>AJIT KUMAR K S</t>
  </si>
  <si>
    <t>MBHHWB13STCC44999</t>
  </si>
  <si>
    <t>ANAZ ZIAD(C26575),</t>
  </si>
  <si>
    <t>239/VSL/25000872</t>
  </si>
  <si>
    <t>SOB25001188</t>
  </si>
  <si>
    <t>INDU C NAIR</t>
  </si>
  <si>
    <t>MBHHWB13STCC47466</t>
  </si>
  <si>
    <t>239/VSL/25000873</t>
  </si>
  <si>
    <t>SOB25001457</t>
  </si>
  <si>
    <t>THRILOKNADHEN NAIR M P</t>
  </si>
  <si>
    <t>MBHPA2ASKTB127174</t>
  </si>
  <si>
    <t>A402251</t>
  </si>
  <si>
    <t>VEAEAV1</t>
  </si>
  <si>
    <t>1167271 - SUNIL KUMAR S</t>
  </si>
  <si>
    <t>LIJESH.P.D .</t>
  </si>
  <si>
    <t>MA3RYHK1SSL714754</t>
  </si>
  <si>
    <t>22/VSL/25001539</t>
  </si>
  <si>
    <t>SOB25002474</t>
  </si>
  <si>
    <t>EGNA K J</t>
  </si>
  <si>
    <t>MBHHWB13STBC22929</t>
  </si>
  <si>
    <t>22/VSL/25001540</t>
  </si>
  <si>
    <t>SOB25002476</t>
  </si>
  <si>
    <t>JORBIN JOSEPH-</t>
  </si>
  <si>
    <t>MBJTYKL1SSC313822</t>
  </si>
  <si>
    <t>GVA4EV1</t>
  </si>
  <si>
    <t>B, Mr. PRAVEEN</t>
  </si>
  <si>
    <t>263/VSL/25001137</t>
  </si>
  <si>
    <t>SOB25001807</t>
  </si>
  <si>
    <t>VINEESHKUMAR K V</t>
  </si>
  <si>
    <t>MBHHWB13STCC44697</t>
  </si>
  <si>
    <t>RITTU JOSEPH(C26469),</t>
  </si>
  <si>
    <t>P.K.VISWANATHAN .</t>
  </si>
  <si>
    <t>MA3TFC62STC373435</t>
  </si>
  <si>
    <t>CLA4DZ2</t>
  </si>
  <si>
    <t>245/VSL/25000874</t>
  </si>
  <si>
    <t>SOB25001376</t>
  </si>
  <si>
    <t>SHOBHANAKUMARI K</t>
  </si>
  <si>
    <t>MA3JMTC1STCE59635</t>
  </si>
  <si>
    <t>UNAIS UMMER .</t>
  </si>
  <si>
    <t>MA3JMTB1STCE58572</t>
  </si>
  <si>
    <t>MA3BNC62STCC41775</t>
  </si>
  <si>
    <t>863823 - FAIZAL KN</t>
  </si>
  <si>
    <t>MSIL Sale-11CO.526</t>
  </si>
  <si>
    <t>FAIZAL K N (C22886),</t>
  </si>
  <si>
    <t>MA3JMTB1STCE63317</t>
  </si>
  <si>
    <t>263/VSL/25001138</t>
  </si>
  <si>
    <t>SOB25001898</t>
  </si>
  <si>
    <t>SANTHOSH K S</t>
  </si>
  <si>
    <t>MA3NFG81STC487862</t>
  </si>
  <si>
    <t>1438455 - NIYAS MON FYSEL</t>
  </si>
  <si>
    <t>MA3JMTC1STBE42351</t>
  </si>
  <si>
    <t>ZZG</t>
  </si>
  <si>
    <t>22/VSL/25001541</t>
  </si>
  <si>
    <t>SOB25002506</t>
  </si>
  <si>
    <t>MBJTYKL1STC366360</t>
  </si>
  <si>
    <t>22/VSL/25001542</t>
  </si>
  <si>
    <t>MBHKWD13STC813354</t>
  </si>
  <si>
    <t>MBHZCDESKTB538448</t>
  </si>
  <si>
    <t>1385768 - AKSHAY RENJAN</t>
  </si>
  <si>
    <t>MSIL Sale-11CO.515</t>
  </si>
  <si>
    <t>MA3SFM61STC475627</t>
  </si>
  <si>
    <t>1049261 - ELSON JACOB</t>
  </si>
  <si>
    <t>MA3JMTB1STCE58082</t>
  </si>
  <si>
    <t>273/VSL/25000084</t>
  </si>
  <si>
    <t>SOB25000166</t>
  </si>
  <si>
    <t>HARIDAS M S</t>
  </si>
  <si>
    <t>MA3JDT08WTAF83956</t>
  </si>
  <si>
    <t>MA3JDT08BTBF91419</t>
  </si>
  <si>
    <t>245/VSL/25000875</t>
  </si>
  <si>
    <t>SOB25001342</t>
  </si>
  <si>
    <t>MA3JMTC1STCE58945</t>
  </si>
  <si>
    <t>1213281 - ASHISH S</t>
  </si>
  <si>
    <t>245/VSL/25000876</t>
  </si>
  <si>
    <t>SOB25001503</t>
  </si>
  <si>
    <t>JINSON GEORGE</t>
  </si>
  <si>
    <t>MA3ZFDFSKTB395283</t>
  </si>
  <si>
    <t>F294897</t>
  </si>
  <si>
    <t>ROSHMI P T,</t>
  </si>
  <si>
    <t>239/VSL/25000874</t>
  </si>
  <si>
    <t>SOB25001221</t>
  </si>
  <si>
    <t>SAMUEL MATHEW</t>
  </si>
  <si>
    <t>MBHHWB13STCC47690</t>
  </si>
  <si>
    <t>MA3JMTB1STCE55571</t>
  </si>
  <si>
    <t>1364101 - ARUNDAS KA</t>
  </si>
  <si>
    <t>263/VSL/25001139</t>
  </si>
  <si>
    <t>SREEJAMOL C N</t>
  </si>
  <si>
    <t>MBHKWD43STB806722</t>
  </si>
  <si>
    <t>22/VSL/25001543</t>
  </si>
  <si>
    <t>SOB25002500</t>
  </si>
  <si>
    <t>NITHIN ALIAS</t>
  </si>
  <si>
    <t>MBHHWB13STCC42118</t>
  </si>
  <si>
    <t>263/VSL/25001140</t>
  </si>
  <si>
    <t>SOB25001664</t>
  </si>
  <si>
    <t>ABIN ANTONY</t>
  </si>
  <si>
    <t>MBHKWD13STC817202</t>
  </si>
  <si>
    <t>245/VSL/25000877</t>
  </si>
  <si>
    <t>SOB25001477</t>
  </si>
  <si>
    <t>ANILKUMAR M K</t>
  </si>
  <si>
    <t>MA3JMTC1STCE55858</t>
  </si>
  <si>
    <t>22/VSL/25001544</t>
  </si>
  <si>
    <t>SOB25002504</t>
  </si>
  <si>
    <t>NANDAKUMAR N V</t>
  </si>
  <si>
    <t>MBHHWB13STCC42149</t>
  </si>
  <si>
    <t>1438456 - ABHIRAMI T J</t>
  </si>
  <si>
    <t>282/VSL/25000269</t>
  </si>
  <si>
    <t>SOB25000553</t>
  </si>
  <si>
    <t>OWENS PJ .</t>
  </si>
  <si>
    <t>MBJTYKL1SSE326979</t>
  </si>
  <si>
    <t>SUJITH A R(C26399),</t>
  </si>
  <si>
    <t>239/VSL/25000875</t>
  </si>
  <si>
    <t>SOB25001394</t>
  </si>
  <si>
    <t>RASHMI SANAL KUMAR</t>
  </si>
  <si>
    <t>MBHHWB13STCC49854</t>
  </si>
  <si>
    <t>245/VSL/25000878</t>
  </si>
  <si>
    <t>SOB25001506</t>
  </si>
  <si>
    <t>SONU KUNJUMON</t>
  </si>
  <si>
    <t>MA3ZFDFSKTB399064</t>
  </si>
  <si>
    <t>F290427</t>
  </si>
  <si>
    <t>DEA4AV1</t>
  </si>
  <si>
    <t>1318941 - VISHNU G SOMAN</t>
  </si>
  <si>
    <t>KIRAN.K.S .</t>
  </si>
  <si>
    <t>MA3JMTB1STCE58481</t>
  </si>
  <si>
    <t>22/VSL/25001545</t>
  </si>
  <si>
    <t>SOB25001923</t>
  </si>
  <si>
    <t>SREEKUMAR CHITTAYIL</t>
  </si>
  <si>
    <t>MBHKWD13STC815117</t>
  </si>
  <si>
    <t>SALEEL P A (C24096),</t>
  </si>
  <si>
    <t>263/VSL/25001141</t>
  </si>
  <si>
    <t>SOB25001595</t>
  </si>
  <si>
    <t>SYAM PRABHA M</t>
  </si>
  <si>
    <t>MBHHWB13STCC46314</t>
  </si>
  <si>
    <t>LEO JOSEPH .</t>
  </si>
  <si>
    <t>MA3JMTB1STCE57954</t>
  </si>
  <si>
    <t>22/VSL/25001546</t>
  </si>
  <si>
    <t>SOB25001970</t>
  </si>
  <si>
    <t>GOPIKRISHNAN E P</t>
  </si>
  <si>
    <t>MBHHWB13STCC44265</t>
  </si>
  <si>
    <t>245/VSL/25000879</t>
  </si>
  <si>
    <t>SOB25001420</t>
  </si>
  <si>
    <t>SHIBUMON K U</t>
  </si>
  <si>
    <t>MA3YPLCSKTB173847</t>
  </si>
  <si>
    <t>K122758</t>
  </si>
  <si>
    <t>ECA4AZ1</t>
  </si>
  <si>
    <t>BINOY KURIAKOSE.</t>
  </si>
  <si>
    <t>MBHZCDESKTB538445</t>
  </si>
  <si>
    <t>SIR4AV2</t>
  </si>
  <si>
    <t>22/VSL/25001547</t>
  </si>
  <si>
    <t>MINI JOY</t>
  </si>
  <si>
    <t>MBHKWD13STC820243</t>
  </si>
  <si>
    <t>22/VSL/25001548</t>
  </si>
  <si>
    <t>SOB25002046</t>
  </si>
  <si>
    <t>DHANESH N K</t>
  </si>
  <si>
    <t>MBHKWD13STC814883</t>
  </si>
  <si>
    <t>181/VSL/25000085</t>
  </si>
  <si>
    <t>SOB25000136</t>
  </si>
  <si>
    <t>MA3EDC03TTB390699</t>
  </si>
  <si>
    <t>181/VSL/25000086</t>
  </si>
  <si>
    <t>SOB25000135</t>
  </si>
  <si>
    <t>MA3EDC03TTB390722</t>
  </si>
  <si>
    <t>245/VSL/25000880</t>
  </si>
  <si>
    <t>263/VSL/25001142</t>
  </si>
  <si>
    <t>SOB25001781</t>
  </si>
  <si>
    <t>JIMMY JOY</t>
  </si>
  <si>
    <t>MBHHWB13STCC43047</t>
  </si>
  <si>
    <t>263/VSL/25001143</t>
  </si>
  <si>
    <t>SOB25001884</t>
  </si>
  <si>
    <t>JINUMON GEORGE</t>
  </si>
  <si>
    <t>MBHHWB13STCC42755</t>
  </si>
  <si>
    <t>GEETHU R MENON (C26048),</t>
  </si>
  <si>
    <t>263/VSL/25001144</t>
  </si>
  <si>
    <t>SOB25001902</t>
  </si>
  <si>
    <t>SHINE K JOHN</t>
  </si>
  <si>
    <t>MBJTYKL1STC366292</t>
  </si>
  <si>
    <t>VINU SHAJU K S</t>
  </si>
  <si>
    <t>MA3SFM61STB475499</t>
  </si>
  <si>
    <t>1268099 - AMITH YACOB</t>
  </si>
  <si>
    <t>MA3SFM61STC479068</t>
  </si>
  <si>
    <t>1303503 - ARUN K MATHEW</t>
  </si>
  <si>
    <t>MA3YPLCSKTB162708</t>
  </si>
  <si>
    <t>ARAVIND SANTHOSH (GM00659),</t>
  </si>
  <si>
    <t>282/VSL/25000270</t>
  </si>
  <si>
    <t>SOB25000559</t>
  </si>
  <si>
    <t>FEBA JOY .</t>
  </si>
  <si>
    <t>MBHHWB13STCC38619</t>
  </si>
  <si>
    <t>BZRCLZ1</t>
  </si>
  <si>
    <t>AKHIL P A(C26455),</t>
  </si>
  <si>
    <t>282/VSL/25000271</t>
  </si>
  <si>
    <t>SOB25000467</t>
  </si>
  <si>
    <t>SAJINA A A</t>
  </si>
  <si>
    <t>MBHKWD13STC817845</t>
  </si>
  <si>
    <t>UBAIZ K M (C25809),</t>
  </si>
  <si>
    <t>M E OUSEPH .</t>
  </si>
  <si>
    <t>MA3RYHL1STC778484</t>
  </si>
  <si>
    <t>VZA4FZ2</t>
  </si>
  <si>
    <t>SUBEESH  M R</t>
  </si>
  <si>
    <t>MA3YPLCSKTC175281</t>
  </si>
  <si>
    <t>1246678 - ANANDAKRISHNAN PA</t>
  </si>
  <si>
    <t>239/VSL/25000876</t>
  </si>
  <si>
    <t>SOB25001528</t>
  </si>
  <si>
    <t>MBHKWD13STB799223</t>
  </si>
  <si>
    <t>MA3JMTB1STCE62599</t>
  </si>
  <si>
    <t>MA3RYHL1STC777308</t>
  </si>
  <si>
    <t>MA3YPLCSKTB173995</t>
  </si>
  <si>
    <t>992839 - BIJO JOY</t>
  </si>
  <si>
    <t>LILLY .</t>
  </si>
  <si>
    <t>MA3RYHK1STC777752</t>
  </si>
  <si>
    <t>AGHIL .N.U (C24369),</t>
  </si>
  <si>
    <t>239/VSL/25000877</t>
  </si>
  <si>
    <t>SOB25001340</t>
  </si>
  <si>
    <t>SHAHANA H</t>
  </si>
  <si>
    <t>MBHKWD43SSM735517</t>
  </si>
  <si>
    <t>MA3BNC62STCC47917</t>
  </si>
  <si>
    <t>1319370 - AJIL JAYAN</t>
  </si>
  <si>
    <t>ARUN K MATHEW (C25878),</t>
  </si>
  <si>
    <t>245/VSL/25000881</t>
  </si>
  <si>
    <t>SOB25001226</t>
  </si>
  <si>
    <t>MEERA MUKUNDAN</t>
  </si>
  <si>
    <t>MA3YPLCSKTB170518</t>
  </si>
  <si>
    <t>K118320</t>
  </si>
  <si>
    <t>RAJEEV.V .</t>
  </si>
  <si>
    <t>MA3JMTB1STCE58870</t>
  </si>
  <si>
    <t>263/VSL/25001145</t>
  </si>
  <si>
    <t>AJAYAKUMAR G</t>
  </si>
  <si>
    <t>MBHHWB13STCC49332</t>
  </si>
  <si>
    <t>282/VSL/25000272</t>
  </si>
  <si>
    <t>SOB25000444</t>
  </si>
  <si>
    <t>MOHAMMED ALI .</t>
  </si>
  <si>
    <t>MBHHWB13STCC42256</t>
  </si>
  <si>
    <t>NUMAN ZAINUDHEEN (C26344),</t>
  </si>
  <si>
    <t>MA3SFM61STC478306</t>
  </si>
  <si>
    <t>239/VSL/25000878</t>
  </si>
  <si>
    <t>SOB25001529</t>
  </si>
  <si>
    <t>MBHHWB13STCC43812</t>
  </si>
  <si>
    <t>245/VSL/25000882</t>
  </si>
  <si>
    <t>SOB25001375</t>
  </si>
  <si>
    <t>PRIYA MARIAM ALEXANDER</t>
  </si>
  <si>
    <t>MA3RYHL1STC785538</t>
  </si>
  <si>
    <t>K135099</t>
  </si>
  <si>
    <t>VZA4FZ1</t>
  </si>
  <si>
    <t>SHINOJ GEO JAMES(C23721),</t>
  </si>
  <si>
    <t>MBHZCDESKTC545319</t>
  </si>
  <si>
    <t>MA3JDT08WTBF97826</t>
  </si>
  <si>
    <t>MA3JDT08WTCG00693</t>
  </si>
  <si>
    <t>273/VSL/25000085</t>
  </si>
  <si>
    <t>SOB25000173</t>
  </si>
  <si>
    <t>SAJAN A T</t>
  </si>
  <si>
    <t>MA3JMTB1STCE60314</t>
  </si>
  <si>
    <t>C994746</t>
  </si>
  <si>
    <t>22/VSL/25001549</t>
  </si>
  <si>
    <t>SOB25002519</t>
  </si>
  <si>
    <t>SHINU G VAIDYAN</t>
  </si>
  <si>
    <t>MBJTYKL1STB364877</t>
  </si>
  <si>
    <t>GVR4HL1</t>
  </si>
  <si>
    <t>22/VSL/25001550</t>
  </si>
  <si>
    <t>SOB25002499</t>
  </si>
  <si>
    <t>SHINOY P S</t>
  </si>
  <si>
    <t>MBHHWB13STBC29490</t>
  </si>
  <si>
    <t>273/VSL/25000086</t>
  </si>
  <si>
    <t>SOB25000170</t>
  </si>
  <si>
    <t>THE PROPRIETOR, MIZPAH SURGICALS SUNIL KOSHY</t>
  </si>
  <si>
    <t>MA3YPKCSKTB163318</t>
  </si>
  <si>
    <t>K108883</t>
  </si>
  <si>
    <t>ECRCAV1</t>
  </si>
  <si>
    <t>1213019 - SUNITHA C</t>
  </si>
  <si>
    <t>245/VSL/25000883</t>
  </si>
  <si>
    <t>SOB25001486</t>
  </si>
  <si>
    <t>ABIN SABU</t>
  </si>
  <si>
    <t>MA3BNC72STCC43183</t>
  </si>
  <si>
    <t>ERR4IZ1</t>
  </si>
  <si>
    <t>RENJITH V (C24818),</t>
  </si>
  <si>
    <t>239/VSL/25000879</t>
  </si>
  <si>
    <t>SOB25001418</t>
  </si>
  <si>
    <t>VARGHESE PAZHAYAPURACKAL GEORGE</t>
  </si>
  <si>
    <t>MBHHWB13STCC51077</t>
  </si>
  <si>
    <t>239/VSL/25000880</t>
  </si>
  <si>
    <t>SOB25001178</t>
  </si>
  <si>
    <t>AMBILY VARGHESE</t>
  </si>
  <si>
    <t>MBHKWD13STC822772</t>
  </si>
  <si>
    <t>239/VSL/25000881</t>
  </si>
  <si>
    <t>SOB25001513</t>
  </si>
  <si>
    <t>JITHIN SHAJI</t>
  </si>
  <si>
    <t>MBHKWD13STC823096</t>
  </si>
  <si>
    <t>239/VSL/25000882</t>
  </si>
  <si>
    <t>SOB25001385</t>
  </si>
  <si>
    <t>NASEERA N</t>
  </si>
  <si>
    <t>MBHKWD13STC823308</t>
  </si>
  <si>
    <t>239/VSL/25000883</t>
  </si>
  <si>
    <t>SOB25001285</t>
  </si>
  <si>
    <t>SHAMEEM M</t>
  </si>
  <si>
    <t>MBHKWD13STC822371</t>
  </si>
  <si>
    <t>FRR4IL1</t>
  </si>
  <si>
    <t>239/VSL/25000884</t>
  </si>
  <si>
    <t>JAISON SAJI</t>
  </si>
  <si>
    <t>MBHHWB13STCC51303</t>
  </si>
  <si>
    <t>1225926 - NANDHU S</t>
  </si>
  <si>
    <t>239/VSL/25000885</t>
  </si>
  <si>
    <t>SOB25001462</t>
  </si>
  <si>
    <t>SANTHOSH KUMAR S</t>
  </si>
  <si>
    <t>MBHKWD13STC822776</t>
  </si>
  <si>
    <t>1425338 - YEDU S KARAN</t>
  </si>
  <si>
    <t>239/VSL/25000886</t>
  </si>
  <si>
    <t>SOB25001207</t>
  </si>
  <si>
    <t>RAHUL R PILLAI</t>
  </si>
  <si>
    <t>MBHKWD13STC822260</t>
  </si>
  <si>
    <t>1371226 - RAHUL R</t>
  </si>
  <si>
    <t>239/VSL/25000887</t>
  </si>
  <si>
    <t>SOB25001519</t>
  </si>
  <si>
    <t>GEETHU MOHAN</t>
  </si>
  <si>
    <t>MBHKWD13STC823101</t>
  </si>
  <si>
    <t>239/VSL/25000888</t>
  </si>
  <si>
    <t>SOB25001520</t>
  </si>
  <si>
    <t>GOPAKUMAR S</t>
  </si>
  <si>
    <t>MBHHWB13STCC50768</t>
  </si>
  <si>
    <t>239/VSL/25000889</t>
  </si>
  <si>
    <t>SOB25001354</t>
  </si>
  <si>
    <t>MEGHA KRISHNAN</t>
  </si>
  <si>
    <t>MA3NFG81STC488279</t>
  </si>
  <si>
    <t>1371254 - SHIDIN S</t>
  </si>
  <si>
    <t>MA3JMTB1STCE60439</t>
  </si>
  <si>
    <t>WAR4KT1</t>
  </si>
  <si>
    <t>XAVIER OUSEPH</t>
  </si>
  <si>
    <t>MA3YPLCSKTB169901</t>
  </si>
  <si>
    <t>1350722 - KURIAN JOHN</t>
  </si>
  <si>
    <t>239/VSL/25000890</t>
  </si>
  <si>
    <t>SOB25001459</t>
  </si>
  <si>
    <t>SURESH BABU P</t>
  </si>
  <si>
    <t>MBJTYKL1STB363129</t>
  </si>
  <si>
    <t>239/VSL/25000891</t>
  </si>
  <si>
    <t>SOB25001527</t>
  </si>
  <si>
    <t>ANITHA P</t>
  </si>
  <si>
    <t>MBHHWB13STBC24377</t>
  </si>
  <si>
    <t>MA3JMTC1STCE58883</t>
  </si>
  <si>
    <t>1420149 - NEJIL KA</t>
  </si>
  <si>
    <t>263/VSL/25001146</t>
  </si>
  <si>
    <t>TOM ABRAHAM</t>
  </si>
  <si>
    <t>MBJTYKL1SSD317428</t>
  </si>
  <si>
    <t>GVR4HZB</t>
  </si>
  <si>
    <t>263/VSL/25001147</t>
  </si>
  <si>
    <t>SOB25001609</t>
  </si>
  <si>
    <t>BIJOY AUGUSTIAN</t>
  </si>
  <si>
    <t>MBHHWB13STCC47305</t>
  </si>
  <si>
    <t>299/VSL/25000149</t>
  </si>
  <si>
    <t>SOB25000212</t>
  </si>
  <si>
    <t>AFIK H</t>
  </si>
  <si>
    <t>MBHHWB13STCC47510</t>
  </si>
  <si>
    <t>1150880 - ANILKRISHNAN R</t>
  </si>
  <si>
    <r>
      <rPr>
        <sz val="12"/>
        <color rgb="FF000000"/>
        <rFont val="Calibri"/>
        <charset val="0"/>
      </rPr>
      <t>11CO.520</t>
    </r>
    <r>
      <rPr>
        <sz val="12"/>
        <color rgb="FF000080"/>
        <rFont val="Calibri"/>
        <charset val="0"/>
      </rPr>
      <t xml:space="preserve"> </t>
    </r>
  </si>
  <si>
    <t>MA3YPLCSKTC177121</t>
  </si>
  <si>
    <t>245/VSL/25000884</t>
  </si>
  <si>
    <t>AISWARYA LEKSHMI G</t>
  </si>
  <si>
    <t>MA3YPMCSKTC176321</t>
  </si>
  <si>
    <t>NF57771</t>
  </si>
  <si>
    <t>ECAHAV1</t>
  </si>
  <si>
    <t>263/VSL/25001148</t>
  </si>
  <si>
    <t>SOB25001953</t>
  </si>
  <si>
    <t>JINU JOSEPH</t>
  </si>
  <si>
    <t>MA3NFG81STC487964</t>
  </si>
  <si>
    <t>22/VSL/25001551</t>
  </si>
  <si>
    <t>SOB25002451</t>
  </si>
  <si>
    <t>RAJESH N R</t>
  </si>
  <si>
    <t>MBHHWB13STCC44083</t>
  </si>
  <si>
    <t>22/VSL/25001552</t>
  </si>
  <si>
    <t>SOB25002036</t>
  </si>
  <si>
    <t>ROBY YOHANNAN .</t>
  </si>
  <si>
    <t>MBHHWB13STCC46198</t>
  </si>
  <si>
    <t>245/VSL/25000885</t>
  </si>
  <si>
    <t>SOB25001523</t>
  </si>
  <si>
    <t>KURUVILLA MATHAI</t>
  </si>
  <si>
    <t>MA3RYHL1STC786185</t>
  </si>
  <si>
    <t>K135804</t>
  </si>
  <si>
    <t>245/VSL/25000886</t>
  </si>
  <si>
    <t>SOB25001150</t>
  </si>
  <si>
    <t>SANTHI SANKAR</t>
  </si>
  <si>
    <t>MA3SFM61STC482246</t>
  </si>
  <si>
    <t>704044 - ARUN KUMAR G</t>
  </si>
  <si>
    <t>299/VSL/25000150</t>
  </si>
  <si>
    <t>SOB25000266</t>
  </si>
  <si>
    <t>ANANTH S</t>
  </si>
  <si>
    <t>MBHHWB13STCC49297</t>
  </si>
  <si>
    <t>1397353 - ARUN SIROSH</t>
  </si>
  <si>
    <t>MA3SFM61STC479572</t>
  </si>
  <si>
    <t>22/VSL/25001553</t>
  </si>
  <si>
    <t>SOB25002509</t>
  </si>
  <si>
    <t>SANDIP UNNI</t>
  </si>
  <si>
    <t>MBHKWD13STC820529</t>
  </si>
  <si>
    <t>282/VSL/25000273</t>
  </si>
  <si>
    <t>SOB25000412</t>
  </si>
  <si>
    <t>RAHEES E P</t>
  </si>
  <si>
    <t>MBHHWB13STCC43550</t>
  </si>
  <si>
    <t>MA3JMTC1STCE58672</t>
  </si>
  <si>
    <t>ZZF</t>
  </si>
  <si>
    <t>SUNIL.V.A .</t>
  </si>
  <si>
    <t>MA3JMTB1STCE62975</t>
  </si>
  <si>
    <t>245/VSL/25000887</t>
  </si>
  <si>
    <t>SOB25001524</t>
  </si>
  <si>
    <t>NITHIN GEORGE PHILIP</t>
  </si>
  <si>
    <t>MA3JMTC1STCE59049</t>
  </si>
  <si>
    <t>22/VSL/25001554</t>
  </si>
  <si>
    <t>SOB25002429</t>
  </si>
  <si>
    <t>ANAND SANKAR</t>
  </si>
  <si>
    <t>MBHHWB13STBC23522</t>
  </si>
  <si>
    <t>299/VSL/25000151</t>
  </si>
  <si>
    <t>RASEENA MOL J</t>
  </si>
  <si>
    <t>MBHKWD13STC822886</t>
  </si>
  <si>
    <t>1349689 - ARUN ARUMUKHAN</t>
  </si>
  <si>
    <t>22/VSL/25001555</t>
  </si>
  <si>
    <t>SOB25002522</t>
  </si>
  <si>
    <t>JOBIN JACOB</t>
  </si>
  <si>
    <t>MA3NFG81STC487743</t>
  </si>
  <si>
    <t>273/VSL/25000087</t>
  </si>
  <si>
    <t>SOB25000177</t>
  </si>
  <si>
    <t>NABEEL ABRAHAM JOHN</t>
  </si>
  <si>
    <t>MA3ZFDFSKTC418503</t>
  </si>
  <si>
    <t>F316424</t>
  </si>
  <si>
    <t>DER4AL1</t>
  </si>
  <si>
    <t>245/VSL/25000888</t>
  </si>
  <si>
    <t>SOB25001525</t>
  </si>
  <si>
    <t>MA3BNC72STBC20859</t>
  </si>
  <si>
    <t>ZYA</t>
  </si>
  <si>
    <t>293/VSL/25000208</t>
  </si>
  <si>
    <t>SOB25000382</t>
  </si>
  <si>
    <t>AMRUTHA K M</t>
  </si>
  <si>
    <t>MBHHWB13STCC43290</t>
  </si>
  <si>
    <t>MA3BNC62STCC39438</t>
  </si>
  <si>
    <t>HUDSON  FRANKLIN - NEXA, Mr.</t>
  </si>
  <si>
    <t>MOHANAN .</t>
  </si>
  <si>
    <t>MA3YPLCSKTB174172</t>
  </si>
  <si>
    <t>MA3JMTB1STCE58209</t>
  </si>
  <si>
    <t>1403521 - ADWAIDH ML</t>
  </si>
  <si>
    <t>ADWAIDH (C26282),</t>
  </si>
  <si>
    <t>JUSTIN.K.J .</t>
  </si>
  <si>
    <t>MA3SFM61STA451866</t>
  </si>
  <si>
    <t>ANVAR A</t>
  </si>
  <si>
    <t>MA3BNC62STCC45173</t>
  </si>
  <si>
    <t>NIJIN THOMAS (C26505),</t>
  </si>
  <si>
    <t>ROBIN THARAKAN .</t>
  </si>
  <si>
    <t>MA3YPLCSKTB174046</t>
  </si>
  <si>
    <t>239/VSL/25000892</t>
  </si>
  <si>
    <t>SOB25001530</t>
  </si>
  <si>
    <t>MBHKWD13STC816912</t>
  </si>
  <si>
    <t>1225930 - JYOTHISHKUMAR P S</t>
  </si>
  <si>
    <t>VARGHESE DAVIS.</t>
  </si>
  <si>
    <t>MA3JMTB1STCE57493</t>
  </si>
  <si>
    <t>WARCKV1</t>
  </si>
  <si>
    <t>MA3YPLCSKTC176581</t>
  </si>
  <si>
    <t>ECA4BZ1</t>
  </si>
  <si>
    <t>282/VSL/25000274</t>
  </si>
  <si>
    <t>SOB25000502</t>
  </si>
  <si>
    <t>SHYNE T M</t>
  </si>
  <si>
    <t>MBHHWB13STCC43979</t>
  </si>
  <si>
    <t>VIPIN K G (C21667),</t>
  </si>
  <si>
    <t>245/VSL/25000889</t>
  </si>
  <si>
    <t>SOB25001441</t>
  </si>
  <si>
    <t>KALESHBABU .</t>
  </si>
  <si>
    <t>MA3BNC62STCC54409</t>
  </si>
  <si>
    <t>A033243</t>
  </si>
  <si>
    <t>1395657 - NITHIN JACOB THANKACHAN</t>
  </si>
  <si>
    <t>245/VSL/25000890</t>
  </si>
  <si>
    <t>SOB25001521</t>
  </si>
  <si>
    <t>RAJEEV KUMAR R</t>
  </si>
  <si>
    <t>MA3ZFDFSKSG247050</t>
  </si>
  <si>
    <t>F122288</t>
  </si>
  <si>
    <t>299/VSL/25000152</t>
  </si>
  <si>
    <t>MUHAMMED SHAFI P</t>
  </si>
  <si>
    <t>MBHKWD13STC822975</t>
  </si>
  <si>
    <t>263/VSL/25001149</t>
  </si>
  <si>
    <t>SOB25001941</t>
  </si>
  <si>
    <t>VANI VENUGOPAL</t>
  </si>
  <si>
    <t>MA3JJC74WTB305508</t>
  </si>
  <si>
    <t>MA3JMTC1STCE59292</t>
  </si>
  <si>
    <t>MAY THOMAS</t>
  </si>
  <si>
    <t>MA3YPLCSKTB174228</t>
  </si>
  <si>
    <t>245/VSL/25000891</t>
  </si>
  <si>
    <t>SOB25001203</t>
  </si>
  <si>
    <t>MA3YPLCSKTC182281</t>
  </si>
  <si>
    <t>K134400</t>
  </si>
  <si>
    <t>273/VSL/25000088</t>
  </si>
  <si>
    <t>SOB25000179</t>
  </si>
  <si>
    <t>THE SECRETARY</t>
  </si>
  <si>
    <t>PRAVEENKUMAR K.P</t>
  </si>
  <si>
    <t>MA3SFM61STC479583</t>
  </si>
  <si>
    <t>129418 - VIPIN K G</t>
  </si>
  <si>
    <t>SANTHOSH .</t>
  </si>
  <si>
    <t>MA3JMTB1STCE63170</t>
  </si>
  <si>
    <t>ASWIN P S (C26364),</t>
  </si>
  <si>
    <t>293/VSL/25000209</t>
  </si>
  <si>
    <t>SOB25000391</t>
  </si>
  <si>
    <t>MUJEEB K M</t>
  </si>
  <si>
    <t>MBHHWB13STBC31368</t>
  </si>
  <si>
    <t>1391620 - FARISA C A</t>
  </si>
  <si>
    <t>263/VSL/25001150</t>
  </si>
  <si>
    <t>SOB25001928</t>
  </si>
  <si>
    <t>MARIA THOMAS</t>
  </si>
  <si>
    <t>MBHHWB13STCC46885</t>
  </si>
  <si>
    <t>22/VSL/25001556</t>
  </si>
  <si>
    <t>SOB25002410</t>
  </si>
  <si>
    <t>GINSON P VARGHESE</t>
  </si>
  <si>
    <t>MBJTYKL1STC366246</t>
  </si>
  <si>
    <t>22/VSL/25001557</t>
  </si>
  <si>
    <t>SOB25002532</t>
  </si>
  <si>
    <t>MA3CNC62STB444190</t>
  </si>
  <si>
    <t>A006912</t>
  </si>
  <si>
    <t>1294786 - MARY SHANI MS</t>
  </si>
  <si>
    <t>MARY SHANI M S(C26704),</t>
  </si>
  <si>
    <t>263/VSL/25001151</t>
  </si>
  <si>
    <t>SOB25001767</t>
  </si>
  <si>
    <t>PRADEEP MADATHIL PARAMESHWARAN</t>
  </si>
  <si>
    <t>MBHHWB13STCC46356</t>
  </si>
  <si>
    <t>22/VSL/25001558</t>
  </si>
  <si>
    <t>SOB25002457</t>
  </si>
  <si>
    <t>ARUN S</t>
  </si>
  <si>
    <t>MBHHWB13STCC46600</t>
  </si>
  <si>
    <t>245/VSL/25000892</t>
  </si>
  <si>
    <t>SOB25001526</t>
  </si>
  <si>
    <t>ARYA PADMAKARAN</t>
  </si>
  <si>
    <t>MA3BNC62STCC53969</t>
  </si>
  <si>
    <t>A032911</t>
  </si>
  <si>
    <t>239/VSL/25000893</t>
  </si>
  <si>
    <t>SOB25001536</t>
  </si>
  <si>
    <t>MBHKWD13STC808994</t>
  </si>
  <si>
    <t>245/VSL/25000893</t>
  </si>
  <si>
    <t>AJU RAJEEVAN</t>
  </si>
  <si>
    <t>MA3BNC62STCC51886</t>
  </si>
  <si>
    <t>A030531</t>
  </si>
  <si>
    <t>MA3JMTB1STCE57497</t>
  </si>
  <si>
    <t>22/VSL/25001559</t>
  </si>
  <si>
    <t>SOB25002434</t>
  </si>
  <si>
    <t>SEBASTIAN NETTO .</t>
  </si>
  <si>
    <t>MBHHWB13STCC42648</t>
  </si>
  <si>
    <t>MA3RYHK1STC782206</t>
  </si>
  <si>
    <t>22/VSL/25001560</t>
  </si>
  <si>
    <t>ABHIJITH S KUMAR</t>
  </si>
  <si>
    <t>MBHHWB13STCC46217</t>
  </si>
  <si>
    <t>666007 - JOEMON GEORGE AS</t>
  </si>
  <si>
    <t>22/VSL/25001561</t>
  </si>
  <si>
    <t>SOB25002031</t>
  </si>
  <si>
    <t>SONU SHAJI</t>
  </si>
  <si>
    <t>MBHKWD13STC817103</t>
  </si>
  <si>
    <t>MA3JMTC1STCE58761</t>
  </si>
  <si>
    <t>245/VSL/25000894</t>
  </si>
  <si>
    <t>MA3YPLCSKTB173723</t>
  </si>
  <si>
    <t>K122511</t>
  </si>
  <si>
    <t>AKHIL P KUMAR(C24476),</t>
  </si>
  <si>
    <t>SITHIN KUMAR(CGNR)</t>
  </si>
  <si>
    <t>263/VSL/25001152</t>
  </si>
  <si>
    <t>SOB25001964</t>
  </si>
  <si>
    <t>MBHHWB13STCC44469</t>
  </si>
  <si>
    <t>SHEEJA .</t>
  </si>
  <si>
    <t>MA3SFM61STC476114</t>
  </si>
  <si>
    <t>245/VSL/25000895</t>
  </si>
  <si>
    <t>SOB25001493</t>
  </si>
  <si>
    <t>SACHIN ANILKUMAR</t>
  </si>
  <si>
    <t>MA3ZFDFSKTC429592</t>
  </si>
  <si>
    <t>F328424</t>
  </si>
  <si>
    <t>22/VSL/25001562</t>
  </si>
  <si>
    <t>SOB25002521</t>
  </si>
  <si>
    <t>SREELESH V V</t>
  </si>
  <si>
    <t>MBHHWB13STBC35537</t>
  </si>
  <si>
    <t>939017 - SANOOP PS</t>
  </si>
  <si>
    <t>SANOOP P S (C23276),</t>
  </si>
  <si>
    <t>263/VSL/25001153</t>
  </si>
  <si>
    <t>SOB25001925</t>
  </si>
  <si>
    <t>SUBIN K SURESH</t>
  </si>
  <si>
    <t>MBHHWB13STCC47916</t>
  </si>
  <si>
    <t>245/VSL/25000896</t>
  </si>
  <si>
    <t>SOB25001532</t>
  </si>
  <si>
    <t>MA3ZFDFSKTC424287</t>
  </si>
  <si>
    <t>F323369</t>
  </si>
  <si>
    <t>DER4AV1</t>
  </si>
  <si>
    <t>NANDHUGOPAL .</t>
  </si>
  <si>
    <t>MA3JMTC1STBE41998</t>
  </si>
  <si>
    <t>MA3JMTB1STCE62467</t>
  </si>
  <si>
    <t>ANOOP K DIVAKARAN.</t>
  </si>
  <si>
    <t>MA3BNC72STCC49115</t>
  </si>
  <si>
    <t>1303496 - ROMINS GEORGE</t>
  </si>
  <si>
    <t>245/VSL/25000897</t>
  </si>
  <si>
    <t>SARITHA ANILKUMAR</t>
  </si>
  <si>
    <t>MA3ZFDFSKTC429713</t>
  </si>
  <si>
    <t>F328679</t>
  </si>
  <si>
    <t>MA3SFM61STC477679</t>
  </si>
  <si>
    <t>ATR4HT1</t>
  </si>
  <si>
    <t>SUDHEESH .</t>
  </si>
  <si>
    <t>MA3JMTB1STCE58125</t>
  </si>
  <si>
    <t>CHANCHAL K G,</t>
  </si>
  <si>
    <t>MA3YPLCSKTB159167</t>
  </si>
  <si>
    <t>JITHIN  CHANDRAN K C, Mr.</t>
  </si>
  <si>
    <t>22/VSL/25001563</t>
  </si>
  <si>
    <t>SOB25002527</t>
  </si>
  <si>
    <t>T SANKARA NARAYANAN</t>
  </si>
  <si>
    <t>MA3NFG81STA484725</t>
  </si>
  <si>
    <t>NIVIN.C.BABU .</t>
  </si>
  <si>
    <t>MA3ZFDFSKTC431219</t>
  </si>
  <si>
    <t>22/VSL/25001564</t>
  </si>
  <si>
    <t>SOB25002152</t>
  </si>
  <si>
    <t>ANJALI A A .</t>
  </si>
  <si>
    <t>MBHHWB13STCC47225</t>
  </si>
  <si>
    <t>22/VSL/25001565</t>
  </si>
  <si>
    <t>SOB25002538</t>
  </si>
  <si>
    <t>RANI MARIYA JOY</t>
  </si>
  <si>
    <t>MBHHWB13STCC44367</t>
  </si>
  <si>
    <t>SIDDEEK .</t>
  </si>
  <si>
    <t>MA3JDT08WTCG01568</t>
  </si>
  <si>
    <t>263/VSL/25001154</t>
  </si>
  <si>
    <t>SOB25001968</t>
  </si>
  <si>
    <t>SUBITHA V .</t>
  </si>
  <si>
    <t>MBJTYKL1STB364872</t>
  </si>
  <si>
    <t>22/VSL/25001566</t>
  </si>
  <si>
    <t>SOB25002517</t>
  </si>
  <si>
    <t>SUSANNA ABRAHAM</t>
  </si>
  <si>
    <t>MA3NFG81STB486633</t>
  </si>
  <si>
    <t>293/VSL/25000210</t>
  </si>
  <si>
    <t>SOB25000411</t>
  </si>
  <si>
    <t>SRIDHIN  P S</t>
  </si>
  <si>
    <t>MBHHWB13STBC16446</t>
  </si>
  <si>
    <t>239/VSL/25000894</t>
  </si>
  <si>
    <t>SOB25001542</t>
  </si>
  <si>
    <t>SATHEESH R</t>
  </si>
  <si>
    <t>MBHPA2ASKTB126972</t>
  </si>
  <si>
    <t>A409427</t>
  </si>
  <si>
    <t>MA3JMTB1STCE62509</t>
  </si>
  <si>
    <t>ANUKUTTAN K R (C25786),</t>
  </si>
  <si>
    <r>
      <t>11CO.501</t>
    </r>
    <r>
      <rPr>
        <sz val="12"/>
        <color rgb="FF000080"/>
        <rFont val="Calibri"/>
        <charset val="0"/>
      </rPr>
      <t xml:space="preserve"> </t>
    </r>
  </si>
  <si>
    <t>263/VSL/25001155</t>
  </si>
  <si>
    <t>SANDRA M SATHEESH</t>
  </si>
  <si>
    <t>MA3NFG81STC487548</t>
  </si>
  <si>
    <r>
      <t>11CO.534</t>
    </r>
    <r>
      <rPr>
        <sz val="12"/>
        <color rgb="FF000080"/>
        <rFont val="Calibri"/>
        <charset val="0"/>
      </rPr>
      <t xml:space="preserve"> </t>
    </r>
  </si>
  <si>
    <t>299/VSL/25000153</t>
  </si>
  <si>
    <t>SOB25000255</t>
  </si>
  <si>
    <t>PRABIN RODRIGUEZ</t>
  </si>
  <si>
    <t>MBHHWB13STCC53655</t>
  </si>
  <si>
    <t>1349692 - AKHIL S</t>
  </si>
  <si>
    <r>
      <t>11CO.538</t>
    </r>
    <r>
      <rPr>
        <sz val="12"/>
        <color rgb="FF000080"/>
        <rFont val="Calibri"/>
        <charset val="0"/>
      </rPr>
      <t xml:space="preserve"> </t>
    </r>
  </si>
  <si>
    <t>MA3JMTB1STCE58421</t>
  </si>
  <si>
    <r>
      <t>11CO.529</t>
    </r>
    <r>
      <rPr>
        <sz val="12"/>
        <color rgb="FF000080"/>
        <rFont val="Calibri"/>
        <charset val="0"/>
      </rPr>
      <t xml:space="preserve"> </t>
    </r>
  </si>
  <si>
    <t>263/VSL/25001156</t>
  </si>
  <si>
    <t>SOB25001887</t>
  </si>
  <si>
    <t>AKHIL K P</t>
  </si>
  <si>
    <t>MBHHWB13STCC45289</t>
  </si>
  <si>
    <r>
      <t>11CO.518</t>
    </r>
    <r>
      <rPr>
        <sz val="12"/>
        <color rgb="FF000080"/>
        <rFont val="Calibri"/>
        <charset val="0"/>
      </rPr>
      <t xml:space="preserve"> </t>
    </r>
  </si>
  <si>
    <t>MA3JMTB1STCE62498</t>
  </si>
  <si>
    <t>805711 - THANVEER E A</t>
  </si>
  <si>
    <t>AMAL P U (C24366),</t>
  </si>
  <si>
    <t>22/VSL/25001567</t>
  </si>
  <si>
    <t>SOB25002461</t>
  </si>
  <si>
    <t>SUYAN JOSE</t>
  </si>
  <si>
    <t>MBJTYKM1STA149496</t>
  </si>
  <si>
    <t>NF21756</t>
  </si>
  <si>
    <t>GVAHHZ1</t>
  </si>
  <si>
    <r>
      <t>11CO.502</t>
    </r>
    <r>
      <rPr>
        <sz val="12"/>
        <color rgb="FF000080"/>
        <rFont val="Calibri"/>
        <charset val="0"/>
      </rPr>
      <t xml:space="preserve"> </t>
    </r>
  </si>
  <si>
    <t>MA3JMTC1STCE62090</t>
  </si>
  <si>
    <t>MA3JMTC1STBE41361</t>
  </si>
  <si>
    <t>22/VSL/25001568</t>
  </si>
  <si>
    <t>SOB25002493</t>
  </si>
  <si>
    <t>SHINY POLY</t>
  </si>
  <si>
    <t>MBHHWB13STCC44331</t>
  </si>
  <si>
    <t>22/VSL/25001569</t>
  </si>
  <si>
    <t>SOB25002228</t>
  </si>
  <si>
    <t>PARVEENA P M</t>
  </si>
  <si>
    <t>MBHKWD13STC827013</t>
  </si>
  <si>
    <t>263/VSL/25001157</t>
  </si>
  <si>
    <t>ZEENATH SALIM</t>
  </si>
  <si>
    <t>MBHPA2ASKTC135025</t>
  </si>
  <si>
    <t>B407571</t>
  </si>
  <si>
    <t>RAHUL  RAMACHANDRAN(C24543),</t>
  </si>
  <si>
    <t>MA3ZFDFSKTC423295</t>
  </si>
  <si>
    <t>ABHILASH P C (GM00352),</t>
  </si>
  <si>
    <t>LIJO.K.J .</t>
  </si>
  <si>
    <t>MA3BNC72STCC55990</t>
  </si>
  <si>
    <t>ERA4IZ1</t>
  </si>
  <si>
    <r>
      <t>11CO.506</t>
    </r>
    <r>
      <rPr>
        <sz val="12"/>
        <color rgb="FF000080"/>
        <rFont val="Calibri"/>
        <charset val="0"/>
      </rPr>
      <t xml:space="preserve"> </t>
    </r>
  </si>
  <si>
    <t>PHILIP PALLAN</t>
  </si>
  <si>
    <t>MA3JMTB1STCE67582</t>
  </si>
  <si>
    <t>MA3JMTB1STCE62205</t>
  </si>
  <si>
    <t>AJIL JAYAN (C25821),</t>
  </si>
  <si>
    <t>FIFIN M.S</t>
  </si>
  <si>
    <t>MA3JMTB1STCE59792</t>
  </si>
  <si>
    <t>1246692 - JESTIN MARK JACOB</t>
  </si>
  <si>
    <r>
      <t>11CO.517</t>
    </r>
    <r>
      <rPr>
        <sz val="12"/>
        <color rgb="FF000080"/>
        <rFont val="Calibri"/>
        <charset val="0"/>
      </rPr>
      <t xml:space="preserve"> </t>
    </r>
  </si>
  <si>
    <t>293/VSL/25000211</t>
  </si>
  <si>
    <t>SOB25000384</t>
  </si>
  <si>
    <t>RAHUL C D</t>
  </si>
  <si>
    <t>MBHHWB13STBC37863</t>
  </si>
  <si>
    <r>
      <t>11CO.537</t>
    </r>
    <r>
      <rPr>
        <sz val="12"/>
        <color rgb="FF000080"/>
        <rFont val="Calibri"/>
        <charset val="0"/>
      </rPr>
      <t xml:space="preserve"> </t>
    </r>
  </si>
  <si>
    <t>22/VSL/25001570</t>
  </si>
  <si>
    <t>SOB25002393</t>
  </si>
  <si>
    <t>SACHIL K T</t>
  </si>
  <si>
    <t>MBHHWB13STCC42022</t>
  </si>
  <si>
    <t>MADHU V.R</t>
  </si>
  <si>
    <t>MA3YPLCSKTB174312</t>
  </si>
  <si>
    <r>
      <t>11CO.504</t>
    </r>
    <r>
      <rPr>
        <sz val="12"/>
        <color rgb="FF000080"/>
        <rFont val="Calibri"/>
        <charset val="0"/>
      </rPr>
      <t xml:space="preserve"> </t>
    </r>
  </si>
  <si>
    <t>MA3ZFDFSKTC422486</t>
  </si>
  <si>
    <t>245/VSL/25000898</t>
  </si>
  <si>
    <t>MANJUSHA P V</t>
  </si>
  <si>
    <t>MA3RYHL1STC777464</t>
  </si>
  <si>
    <t>K125213</t>
  </si>
  <si>
    <t>245/VCN/25000137</t>
  </si>
  <si>
    <t>MA3JDT08WSHF13022</t>
  </si>
  <si>
    <t>VRRPIHS</t>
  </si>
  <si>
    <t>1318915 - SAJITH VS</t>
  </si>
  <si>
    <r>
      <t>11CO.507</t>
    </r>
    <r>
      <rPr>
        <sz val="12"/>
        <color rgb="FF000080"/>
        <rFont val="Calibri"/>
        <charset val="0"/>
      </rPr>
      <t xml:space="preserve"> </t>
    </r>
  </si>
  <si>
    <t>245/VSL/25000899</t>
  </si>
  <si>
    <t>SOB25001485</t>
  </si>
  <si>
    <t>THOMAS M C</t>
  </si>
  <si>
    <t>MA3JMTC1STCE59590</t>
  </si>
  <si>
    <t>1213359 - PRIYANKA N M</t>
  </si>
  <si>
    <t>22/VSL/25001571</t>
  </si>
  <si>
    <t>SOB25002496</t>
  </si>
  <si>
    <t>SAIRA M S</t>
  </si>
  <si>
    <t>MBHHWB13STCC46662</t>
  </si>
  <si>
    <t>MA3ZFDFSKTC422732</t>
  </si>
  <si>
    <t>MA3ZFDFSKTC417569</t>
  </si>
  <si>
    <t>263/VSL/25001158</t>
  </si>
  <si>
    <t>SOB25001812</t>
  </si>
  <si>
    <t>SIJO P MATHEW</t>
  </si>
  <si>
    <t>MBHHWB13STCC46103</t>
  </si>
  <si>
    <t>MA3ZFDFSKTC422999</t>
  </si>
  <si>
    <t>245/VSL/25000900</t>
  </si>
  <si>
    <t>SOB25001518</t>
  </si>
  <si>
    <t>DEVARAJAN V N</t>
  </si>
  <si>
    <t>MA3SFM61STC479847</t>
  </si>
  <si>
    <t>C992943</t>
  </si>
  <si>
    <r>
      <t>11CO.532</t>
    </r>
    <r>
      <rPr>
        <sz val="12"/>
        <color rgb="FF000080"/>
        <rFont val="Calibri"/>
        <charset val="0"/>
      </rPr>
      <t xml:space="preserve"> </t>
    </r>
  </si>
  <si>
    <t>MA3JMTB1STBE54730</t>
  </si>
  <si>
    <r>
      <t>11CO.503</t>
    </r>
    <r>
      <rPr>
        <sz val="12"/>
        <color rgb="FF000080"/>
        <rFont val="Calibri"/>
        <charset val="0"/>
      </rPr>
      <t xml:space="preserve"> </t>
    </r>
  </si>
  <si>
    <t>245/VSL/25000901</t>
  </si>
  <si>
    <t>MA3ZFDFSKTC421220</t>
  </si>
  <si>
    <t>MA3ZFDFSKTC417328</t>
  </si>
  <si>
    <t>MA3JMTC1STBE48101</t>
  </si>
  <si>
    <t>MA3ZFDFSKTC422958</t>
  </si>
  <si>
    <t>245/VSL/25000902</t>
  </si>
  <si>
    <t>SANJAYAN .</t>
  </si>
  <si>
    <t>MA3JMTC1STCE59175</t>
  </si>
  <si>
    <t>282/VSL/25000275</t>
  </si>
  <si>
    <t>SOB25000337</t>
  </si>
  <si>
    <t>FREDY POULOSE</t>
  </si>
  <si>
    <t>MBHKWD13STC826720</t>
  </si>
  <si>
    <t>245/VSL/25000903</t>
  </si>
  <si>
    <t>OMANA THOMAS</t>
  </si>
  <si>
    <t>MA3JMTB1STCE65298</t>
  </si>
  <si>
    <t>D000043</t>
  </si>
  <si>
    <r>
      <t>11CO.535</t>
    </r>
    <r>
      <rPr>
        <sz val="12"/>
        <color rgb="FF000080"/>
        <rFont val="Calibri"/>
        <charset val="0"/>
      </rPr>
      <t xml:space="preserve"> </t>
    </r>
  </si>
  <si>
    <t>MA3JMTB1STCE62854</t>
  </si>
  <si>
    <r>
      <t>11CO.505</t>
    </r>
    <r>
      <rPr>
        <sz val="12"/>
        <color rgb="FF000080"/>
        <rFont val="Calibri"/>
        <charset val="0"/>
      </rPr>
      <t xml:space="preserve"> </t>
    </r>
  </si>
  <si>
    <t>239/VSL/25000895</t>
  </si>
  <si>
    <t>SOB25001548</t>
  </si>
  <si>
    <t>MBHKWD13STC822478</t>
  </si>
  <si>
    <t>1081184 - SUJITH S</t>
  </si>
  <si>
    <r>
      <t>11CO.531</t>
    </r>
    <r>
      <rPr>
        <sz val="12"/>
        <color rgb="FF000080"/>
        <rFont val="Calibri"/>
        <charset val="0"/>
      </rPr>
      <t xml:space="preserve"> </t>
    </r>
  </si>
  <si>
    <t>TL</t>
  </si>
  <si>
    <t>SUJITH A.S</t>
  </si>
  <si>
    <t>JINSON</t>
  </si>
  <si>
    <t>RISHAD K. S</t>
  </si>
  <si>
    <t>SISHIL</t>
  </si>
  <si>
    <t>SAMMON O J</t>
  </si>
  <si>
    <t>PRAVEEN K.S</t>
  </si>
  <si>
    <t>SMIJIN</t>
  </si>
  <si>
    <t>VIBIN IB</t>
  </si>
  <si>
    <t>ANAND KV</t>
  </si>
  <si>
    <t>VISHNU</t>
  </si>
  <si>
    <t>HARISHANKAR (KLY)</t>
  </si>
  <si>
    <t>SAJIN</t>
  </si>
  <si>
    <t>SIJO VARGHES GEORGE</t>
  </si>
  <si>
    <t>BIJU V</t>
  </si>
  <si>
    <t>NO SALES CREDIT</t>
  </si>
  <si>
    <t>BIJITH T S</t>
  </si>
  <si>
    <t>VINOD P</t>
  </si>
  <si>
    <t>PRANOOB V</t>
  </si>
  <si>
    <t>40/VSL/22003264</t>
  </si>
  <si>
    <t>BABY CB</t>
  </si>
  <si>
    <t>NEW SWIFT</t>
  </si>
  <si>
    <t>B85835</t>
  </si>
  <si>
    <t>C/F</t>
  </si>
  <si>
    <t>40/VSL/22003265</t>
  </si>
  <si>
    <t>NAZEER</t>
  </si>
  <si>
    <t>M&amp;M</t>
  </si>
  <si>
    <t>40/VSL/22003432</t>
  </si>
  <si>
    <t>AREAMANAGER CANTEEN STORES DEPARTMENT</t>
  </si>
  <si>
    <t>NEW ERTIGA</t>
  </si>
  <si>
    <t>40/VSL/22003418</t>
  </si>
  <si>
    <t>K A SANTHOSH</t>
  </si>
  <si>
    <t>B94821</t>
  </si>
  <si>
    <t>HARIKRISHNAN</t>
  </si>
  <si>
    <t>SANIL THOMAS</t>
  </si>
  <si>
    <t>BALAKRISHNAN P P</t>
  </si>
  <si>
    <t>JITHESH CJ</t>
  </si>
  <si>
    <t>VAISHAK</t>
  </si>
  <si>
    <t>NAVNIT PG</t>
  </si>
  <si>
    <t>Location Wise Report</t>
  </si>
  <si>
    <t xml:space="preserve"> Disbursed</t>
  </si>
  <si>
    <t>Approved</t>
  </si>
  <si>
    <t>Delivery</t>
  </si>
  <si>
    <t>Finance Company Report</t>
  </si>
  <si>
    <t>Vol.</t>
  </si>
  <si>
    <t>Nos</t>
  </si>
  <si>
    <t>Finance Com.</t>
  </si>
  <si>
    <t>Disbursed</t>
  </si>
  <si>
    <t>Rejections</t>
  </si>
  <si>
    <t>FAMILY CREDIT</t>
  </si>
  <si>
    <t>KLM</t>
  </si>
  <si>
    <t>KALLADA FINANCE</t>
  </si>
  <si>
    <t>PPLM</t>
  </si>
  <si>
    <t>MAGMA</t>
  </si>
  <si>
    <t>MUTHOOT</t>
  </si>
  <si>
    <t>THKRA</t>
  </si>
  <si>
    <t>YES BANK</t>
  </si>
  <si>
    <t>August</t>
  </si>
  <si>
    <t>Till Date</t>
  </si>
  <si>
    <t>Growth</t>
  </si>
  <si>
    <t xml:space="preserve">Business </t>
  </si>
  <si>
    <t>Vol</t>
  </si>
  <si>
    <t>Sales</t>
  </si>
  <si>
    <t>Pent</t>
  </si>
  <si>
    <t>13-14</t>
  </si>
  <si>
    <t>14-15</t>
  </si>
  <si>
    <t>SL.NO</t>
  </si>
  <si>
    <t>TODAY LOG.</t>
  </si>
  <si>
    <t>TODAY DIS.</t>
  </si>
  <si>
    <t>CUS.</t>
  </si>
  <si>
    <t>VOL.</t>
  </si>
  <si>
    <t>SL</t>
  </si>
  <si>
    <t>Customer Name</t>
  </si>
  <si>
    <t>DO Number</t>
  </si>
  <si>
    <t>Order Number</t>
  </si>
  <si>
    <t>Vehicle</t>
  </si>
  <si>
    <t>Loan Amount</t>
  </si>
  <si>
    <t>BY DOWN</t>
  </si>
  <si>
    <t>EMI</t>
  </si>
  <si>
    <t>Tenore</t>
  </si>
  <si>
    <t>Finance</t>
  </si>
  <si>
    <t>Team Leader</t>
  </si>
  <si>
    <t>Login Date</t>
  </si>
  <si>
    <t>Approval Date</t>
  </si>
  <si>
    <t>Disbursed Date</t>
  </si>
  <si>
    <t>Remarks</t>
  </si>
  <si>
    <t>Payout</t>
  </si>
  <si>
    <t>Payout%</t>
  </si>
  <si>
    <t>MSSF CASE</t>
  </si>
  <si>
    <t>REFF. NO.</t>
  </si>
  <si>
    <t>ARUN</t>
  </si>
  <si>
    <t>SPRESO</t>
  </si>
  <si>
    <t>ARUN K.S(C20844),</t>
  </si>
  <si>
    <t xml:space="preserve">BIJITH TS </t>
  </si>
  <si>
    <t>GOPIKA</t>
  </si>
  <si>
    <t>RISHAD RISHAD K.S</t>
  </si>
  <si>
    <t>BHAGEESH</t>
  </si>
  <si>
    <t>VISHNU V</t>
  </si>
  <si>
    <t>ALTO 800</t>
  </si>
  <si>
    <t>ASHOKAN</t>
  </si>
  <si>
    <t>KASI VISWANATH.K.M.,</t>
  </si>
  <si>
    <t>PRAVEEN K S</t>
  </si>
  <si>
    <t>SUDEESH T S</t>
  </si>
  <si>
    <t>DA0319075</t>
  </si>
  <si>
    <t>VIBIN  I B, Mr.</t>
  </si>
  <si>
    <t>LIJO VINCENT</t>
  </si>
  <si>
    <t>LIBIN BABU (C23079),</t>
  </si>
  <si>
    <t>KABEER K K</t>
  </si>
  <si>
    <t>MUHAMMED MUSTHAFA M U</t>
  </si>
  <si>
    <t>REENA</t>
  </si>
  <si>
    <t>SIVAPRAKASH SIVAPRAKASH K.S. (C20552)</t>
  </si>
  <si>
    <t>JOFI</t>
  </si>
  <si>
    <t>EQ1055210791</t>
  </si>
  <si>
    <t>O J  , Mr. SAMMON</t>
  </si>
  <si>
    <t>LINISH</t>
  </si>
  <si>
    <t>R026500265</t>
  </si>
  <si>
    <t>JIJO</t>
  </si>
  <si>
    <t>MANOJ KUMAR</t>
  </si>
  <si>
    <t>DA0323510</t>
  </si>
  <si>
    <t>MOHANA KRISHNAN</t>
  </si>
  <si>
    <t>DA02323728</t>
  </si>
  <si>
    <t>NEELIMA</t>
  </si>
  <si>
    <t>R-02753027-L</t>
  </si>
  <si>
    <t>SUDHEER. T.,</t>
  </si>
  <si>
    <t>BABU K D</t>
  </si>
  <si>
    <t>SANTHOSH M</t>
  </si>
  <si>
    <t>DA0324877</t>
  </si>
  <si>
    <t>SHEENA RAJEESH,</t>
  </si>
  <si>
    <t>ANWER</t>
  </si>
  <si>
    <t>CF/19751301</t>
  </si>
  <si>
    <t>SANIL SANIL S</t>
  </si>
  <si>
    <t>SAJITH R</t>
  </si>
  <si>
    <t>TOMY</t>
  </si>
  <si>
    <t>LIJESH P S, Mr.</t>
  </si>
  <si>
    <t>VINOD</t>
  </si>
  <si>
    <t>SHERLY</t>
  </si>
  <si>
    <t>VISHNU K R (GM00298),</t>
  </si>
  <si>
    <t>JYOTILAKSHMI</t>
  </si>
  <si>
    <t>PARVATHY A.S</t>
  </si>
  <si>
    <t>AMEER M U, Mr.</t>
  </si>
  <si>
    <t>ABHILASH.M.R. .</t>
  </si>
  <si>
    <t>SUSHIL M.S</t>
  </si>
  <si>
    <t>PRAKASHAN</t>
  </si>
  <si>
    <t>EQ00552110282</t>
  </si>
  <si>
    <t>R005500536</t>
  </si>
  <si>
    <t>SHIJI DAVIS</t>
  </si>
  <si>
    <t>DA0327350</t>
  </si>
  <si>
    <t>AJITH</t>
  </si>
  <si>
    <t>SACHIN SAJEEVAN  (C23768),</t>
  </si>
  <si>
    <t>SHIBIN</t>
  </si>
  <si>
    <t>R-02783652-L</t>
  </si>
  <si>
    <t>BALAKRISHNAN  P P(C23554),</t>
  </si>
  <si>
    <t>JAYSON DAVIS</t>
  </si>
  <si>
    <t>JITHESH C J (C23836),</t>
  </si>
  <si>
    <t>RAHANATH SHAHUR</t>
  </si>
  <si>
    <t>DA0331301</t>
  </si>
  <si>
    <t>MOHAMMED RAMSHAD</t>
  </si>
  <si>
    <t>SANIL THOMAS(C23872),</t>
  </si>
  <si>
    <t>SREENIVASAN</t>
  </si>
  <si>
    <t>DA0328526</t>
  </si>
  <si>
    <t>FRINTO P F</t>
  </si>
  <si>
    <t>R-02781625-L</t>
  </si>
  <si>
    <t>ASEEB</t>
  </si>
  <si>
    <t>R-02790065-L</t>
  </si>
  <si>
    <t>NADEERA</t>
  </si>
  <si>
    <t>RESHMA P S</t>
  </si>
  <si>
    <t>ABHILASH C.R.</t>
  </si>
  <si>
    <t>ANAS A.A.</t>
  </si>
  <si>
    <t>SINDHU RAJESH</t>
  </si>
  <si>
    <t>D'ZIRE</t>
  </si>
  <si>
    <t>LINEESH NS (C23397),</t>
  </si>
  <si>
    <t>RAGINI A</t>
  </si>
  <si>
    <t>JINI SHANTO</t>
  </si>
  <si>
    <t>ABIN ALI .</t>
  </si>
  <si>
    <t>ASWAL K B (C23888),</t>
  </si>
  <si>
    <t>NIRMAL.M.A .</t>
  </si>
  <si>
    <t>MARIA CELINE K A</t>
  </si>
  <si>
    <t>DHINGIN.P.D (C22387),</t>
  </si>
  <si>
    <t>JAISON DAVIS C</t>
  </si>
  <si>
    <t>MOHAMMED RAMSHAD T.A.</t>
  </si>
  <si>
    <t>SARITHA P T</t>
  </si>
  <si>
    <t>R026500271</t>
  </si>
  <si>
    <t>ANOOP</t>
  </si>
  <si>
    <t>DA0334710</t>
  </si>
  <si>
    <t>VARGESE</t>
  </si>
  <si>
    <t>DA0334751</t>
  </si>
  <si>
    <t>TENSON</t>
  </si>
  <si>
    <t>DA0337304</t>
  </si>
  <si>
    <t>ARIF</t>
  </si>
  <si>
    <t>ANANTHA NARAYANAN</t>
  </si>
  <si>
    <t>ETU02671C</t>
  </si>
  <si>
    <t>AKHIL M B (C23380),</t>
  </si>
  <si>
    <t>SHAMEERA</t>
  </si>
  <si>
    <t>INDIRA</t>
  </si>
  <si>
    <t>DA0339743</t>
  </si>
  <si>
    <t>SUDEEV</t>
  </si>
  <si>
    <t>SHANI</t>
  </si>
  <si>
    <t>EQ00552110368</t>
  </si>
  <si>
    <t>RISHAD</t>
  </si>
  <si>
    <t>POULOSE</t>
  </si>
  <si>
    <t>DA0339389</t>
  </si>
  <si>
    <t>BIJU C T .</t>
  </si>
  <si>
    <t>Eeco</t>
  </si>
  <si>
    <t>LULU FATHIMA A</t>
  </si>
  <si>
    <t>SURESH K R</t>
  </si>
  <si>
    <t>RAJESH C R</t>
  </si>
  <si>
    <t>ESP09387C</t>
  </si>
  <si>
    <t>PRASAD B</t>
  </si>
  <si>
    <t>ESP09417C</t>
  </si>
  <si>
    <t>Alto</t>
  </si>
  <si>
    <t>CHRISTO JOJU</t>
  </si>
  <si>
    <t>CF19798006</t>
  </si>
  <si>
    <t>JAMSHEED</t>
  </si>
  <si>
    <t>DA0332683</t>
  </si>
  <si>
    <t>SREEJITH K J</t>
  </si>
  <si>
    <t>SMITHA VASU</t>
  </si>
  <si>
    <t>PRATHOSH SANKAR</t>
  </si>
  <si>
    <t>ABDUL NASER</t>
  </si>
  <si>
    <t>R02798321L</t>
  </si>
  <si>
    <t>ROSHITH</t>
  </si>
  <si>
    <t>NISHA</t>
  </si>
  <si>
    <t>Sl No.</t>
  </si>
  <si>
    <t>Out Let</t>
  </si>
  <si>
    <t>Finance Amount</t>
  </si>
  <si>
    <t>Status</t>
  </si>
  <si>
    <t>Branch</t>
  </si>
  <si>
    <t>Income Booked</t>
  </si>
  <si>
    <t>REFF. NO</t>
  </si>
  <si>
    <t>PRASOON</t>
  </si>
  <si>
    <t>SREERAJ</t>
  </si>
  <si>
    <t>NIGIL</t>
  </si>
  <si>
    <t>BINEESH</t>
  </si>
  <si>
    <t>ELDHOSE JACOB</t>
  </si>
  <si>
    <t>VIKAS SUNDAR</t>
  </si>
  <si>
    <t>WAGONR</t>
  </si>
  <si>
    <t>SAJITHA</t>
  </si>
  <si>
    <t>ALTO</t>
  </si>
  <si>
    <t>SUDHEER</t>
  </si>
  <si>
    <t>LIJESH</t>
  </si>
  <si>
    <t>PRINCE</t>
  </si>
  <si>
    <t>LIBIN</t>
  </si>
  <si>
    <t>EMMANUAL ANGEL 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</si>
</sst>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 "/>
    <numFmt numFmtId="181" formatCode="dd/mmm"/>
    <numFmt numFmtId="182" formatCode="mmmm\ yyyy"/>
    <numFmt numFmtId="183" formatCode="dd/mmm/yy"/>
    <numFmt numFmtId="184" formatCode="d/mmm/yy"/>
    <numFmt numFmtId="185" formatCode="[$-409]dd/mmm/yy;@"/>
    <numFmt numFmtId="186" formatCode="0.0_ "/>
    <numFmt numFmtId="187" formatCode="0.00_ "/>
    <numFmt numFmtId="188" formatCode="[$-809]dd\ mmmm\ yyyy;@"/>
    <numFmt numFmtId="189" formatCode="dd/mm/yyyy"/>
    <numFmt numFmtId="190" formatCode="[$-409]d/mmm;@"/>
    <numFmt numFmtId="191" formatCode="0.0%"/>
  </numFmts>
  <fonts count="82">
    <font>
      <sz val="12"/>
      <color indexed="8"/>
      <name val="Calibri"/>
      <charset val="134"/>
    </font>
    <font>
      <b/>
      <sz val="10"/>
      <name val="Calibri"/>
      <charset val="134"/>
    </font>
    <font>
      <sz val="10"/>
      <color indexed="8"/>
      <name val="Calibri"/>
      <charset val="134"/>
    </font>
    <font>
      <sz val="10"/>
      <color rgb="FF000000"/>
      <name val="Calibri"/>
      <charset val="134"/>
    </font>
    <font>
      <sz val="10"/>
      <color rgb="FFFF0000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0"/>
      <color indexed="8"/>
      <name val="Calibri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i/>
      <sz val="12"/>
      <color indexed="8"/>
      <name val="Calibri"/>
      <charset val="134"/>
    </font>
    <font>
      <b/>
      <sz val="12"/>
      <color indexed="8"/>
      <name val="Calibri"/>
      <charset val="134"/>
    </font>
    <font>
      <b/>
      <sz val="12"/>
      <name val="Calibri"/>
      <charset val="134"/>
    </font>
    <font>
      <b/>
      <i/>
      <sz val="12"/>
      <color indexed="8"/>
      <name val="Calibri"/>
      <charset val="134"/>
    </font>
    <font>
      <sz val="11"/>
      <color indexed="8"/>
      <name val="Gisha"/>
      <charset val="177"/>
    </font>
    <font>
      <sz val="9"/>
      <color rgb="FFFF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0"/>
    </font>
    <font>
      <sz val="11"/>
      <color rgb="FF000000"/>
      <name val="Calibri"/>
      <charset val="0"/>
    </font>
    <font>
      <sz val="12"/>
      <color rgb="FF000080"/>
      <name val="Calibri"/>
      <charset val="0"/>
    </font>
    <font>
      <b/>
      <sz val="11"/>
      <name val="Calibri"/>
      <charset val="134"/>
      <scheme val="minor"/>
    </font>
    <font>
      <sz val="11"/>
      <color rgb="FFC00000"/>
      <name val="Calibri"/>
      <charset val="134"/>
    </font>
    <font>
      <sz val="11"/>
      <name val="Calibri"/>
      <charset val="134"/>
      <scheme val="minor"/>
    </font>
    <font>
      <b/>
      <sz val="11"/>
      <color indexed="8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2"/>
      <name val="Calibri"/>
      <charset val="134"/>
    </font>
    <font>
      <b/>
      <sz val="12"/>
      <name val="Calibri Light"/>
      <charset val="134"/>
    </font>
    <font>
      <sz val="12"/>
      <color rgb="FF000000"/>
      <name val="Calibri"/>
      <charset val="134"/>
      <scheme val="minor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sz val="11"/>
      <color theme="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1"/>
      <color rgb="FFC00000"/>
      <name val="Calibri"/>
      <charset val="134"/>
    </font>
    <font>
      <b/>
      <sz val="13"/>
      <name val="Calibri"/>
      <charset val="134"/>
    </font>
    <font>
      <b/>
      <sz val="11"/>
      <name val="Calibri Light"/>
      <charset val="134"/>
    </font>
    <font>
      <b/>
      <sz val="12"/>
      <color theme="0"/>
      <name val="Calibri"/>
      <charset val="134"/>
    </font>
    <font>
      <b/>
      <sz val="17"/>
      <color indexed="8"/>
      <name val="Calibri"/>
      <charset val="134"/>
    </font>
    <font>
      <b/>
      <sz val="16"/>
      <name val="Calibri"/>
      <charset val="134"/>
      <scheme val="minor"/>
    </font>
    <font>
      <b/>
      <sz val="15"/>
      <color indexed="8"/>
      <name val="Calibri"/>
      <charset val="134"/>
    </font>
    <font>
      <b/>
      <sz val="15"/>
      <name val="Calibri"/>
      <charset val="134"/>
      <scheme val="minor"/>
    </font>
    <font>
      <b/>
      <sz val="16"/>
      <name val="Calibri"/>
      <charset val="134"/>
    </font>
    <font>
      <b/>
      <sz val="13"/>
      <color theme="0"/>
      <name val="Calibri"/>
      <charset val="134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b/>
      <sz val="15"/>
      <name val="Calibri"/>
      <charset val="134"/>
    </font>
    <font>
      <b/>
      <sz val="13"/>
      <color indexed="8"/>
      <name val="Calibri"/>
      <charset val="134"/>
    </font>
    <font>
      <b/>
      <sz val="14"/>
      <name val="Calibri"/>
      <charset val="134"/>
    </font>
    <font>
      <b/>
      <sz val="12"/>
      <color rgb="FFC00000"/>
      <name val="Calibri"/>
      <charset val="134"/>
    </font>
    <font>
      <b/>
      <sz val="11"/>
      <color theme="0"/>
      <name val="Calibri"/>
      <charset val="134"/>
    </font>
    <font>
      <sz val="12"/>
      <color indexed="8"/>
      <name val="Gisha"/>
      <charset val="177"/>
    </font>
    <font>
      <b/>
      <sz val="14"/>
      <color indexed="8"/>
      <name val="Gisha"/>
      <charset val="177"/>
    </font>
    <font>
      <b/>
      <sz val="11"/>
      <name val="Gisha"/>
      <charset val="177"/>
    </font>
    <font>
      <b/>
      <sz val="12"/>
      <color indexed="8"/>
      <name val="Gisha"/>
      <charset val="177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AECE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rgb="FF000000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A8F4F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4" fillId="39" borderId="49" applyNumberFormat="0" applyFon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8" fillId="0" borderId="51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9" borderId="52" applyNumberFormat="0" applyAlignment="0" applyProtection="0">
      <alignment vertical="center"/>
    </xf>
    <xf numFmtId="0" fontId="70" fillId="40" borderId="53" applyNumberFormat="0" applyAlignment="0" applyProtection="0">
      <alignment vertical="center"/>
    </xf>
    <xf numFmtId="0" fontId="71" fillId="40" borderId="52" applyNumberFormat="0" applyAlignment="0" applyProtection="0">
      <alignment vertical="center"/>
    </xf>
    <xf numFmtId="0" fontId="72" fillId="41" borderId="54" applyNumberFormat="0" applyAlignment="0" applyProtection="0">
      <alignment vertical="center"/>
    </xf>
    <xf numFmtId="0" fontId="73" fillId="0" borderId="55" applyNumberFormat="0" applyFill="0" applyAlignment="0" applyProtection="0">
      <alignment vertical="center"/>
    </xf>
    <xf numFmtId="0" fontId="74" fillId="0" borderId="56" applyNumberFormat="0" applyFill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7" fillId="44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9" fillId="49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78" fillId="60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9" fillId="6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8" fillId="63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/>
    <xf numFmtId="0" fontId="14" fillId="0" borderId="0">
      <alignment vertical="center"/>
    </xf>
    <xf numFmtId="9" fontId="80" fillId="0" borderId="0" applyFont="0" applyFill="0" applyBorder="0" applyAlignment="0" applyProtection="0">
      <alignment vertical="center"/>
    </xf>
    <xf numFmtId="0" fontId="81" fillId="0" borderId="0"/>
    <xf numFmtId="0" fontId="14" fillId="0" borderId="0"/>
  </cellStyleXfs>
  <cellXfs count="4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3" fillId="3" borderId="2" xfId="0" applyNumberFormat="1" applyFont="1" applyFill="1" applyBorder="1" applyAlignment="1">
      <alignment horizontal="center" vertical="top" wrapText="1"/>
    </xf>
    <xf numFmtId="180" fontId="2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top" wrapText="1"/>
    </xf>
    <xf numFmtId="1" fontId="3" fillId="3" borderId="4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top" wrapText="1"/>
    </xf>
    <xf numFmtId="1" fontId="3" fillId="3" borderId="6" xfId="0" applyNumberFormat="1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top" wrapText="1"/>
    </xf>
    <xf numFmtId="180" fontId="2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80" fontId="2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1" fontId="3" fillId="3" borderId="9" xfId="0" applyNumberFormat="1" applyFont="1" applyFill="1" applyBorder="1" applyAlignment="1">
      <alignment horizontal="center" vertical="top" wrapText="1"/>
    </xf>
    <xf numFmtId="181" fontId="2" fillId="0" borderId="1" xfId="0" applyNumberFormat="1" applyFont="1" applyBorder="1" applyAlignment="1">
      <alignment horizontal="center" vertical="center"/>
    </xf>
    <xf numFmtId="181" fontId="3" fillId="3" borderId="1" xfId="0" applyNumberFormat="1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/>
    </xf>
    <xf numFmtId="181" fontId="3" fillId="3" borderId="3" xfId="0" applyNumberFormat="1" applyFont="1" applyFill="1" applyBorder="1" applyAlignment="1">
      <alignment horizontal="center" vertical="top" wrapText="1"/>
    </xf>
    <xf numFmtId="181" fontId="2" fillId="0" borderId="3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0" fontId="2" fillId="0" borderId="1" xfId="3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/>
    <xf numFmtId="0" fontId="0" fillId="0" borderId="0" xfId="0" applyAlignment="1"/>
    <xf numFmtId="182" fontId="17" fillId="0" borderId="12" xfId="0" applyNumberFormat="1" applyFont="1" applyBorder="1" applyAlignment="1">
      <alignment horizontal="center"/>
    </xf>
    <xf numFmtId="182" fontId="17" fillId="0" borderId="13" xfId="0" applyNumberFormat="1" applyFont="1" applyBorder="1" applyAlignment="1">
      <alignment horizontal="center"/>
    </xf>
    <xf numFmtId="182" fontId="17" fillId="0" borderId="14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8" fillId="2" borderId="1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2" borderId="21" xfId="0" applyFont="1" applyFill="1" applyBorder="1">
      <alignment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/>
    <xf numFmtId="0" fontId="0" fillId="0" borderId="27" xfId="0" applyBorder="1" applyAlignment="1"/>
    <xf numFmtId="0" fontId="18" fillId="2" borderId="15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7" fillId="0" borderId="0" xfId="0" applyFont="1" applyAlignment="1"/>
    <xf numFmtId="0" fontId="19" fillId="0" borderId="0" xfId="0" applyFont="1" applyAlignment="1"/>
    <xf numFmtId="0" fontId="18" fillId="0" borderId="15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2" borderId="28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/>
    </xf>
    <xf numFmtId="0" fontId="18" fillId="2" borderId="30" xfId="0" applyFont="1" applyFill="1" applyBorder="1">
      <alignment vertical="center"/>
    </xf>
    <xf numFmtId="0" fontId="18" fillId="2" borderId="31" xfId="0" applyFont="1" applyFill="1" applyBorder="1" applyAlignment="1"/>
    <xf numFmtId="0" fontId="18" fillId="2" borderId="32" xfId="0" applyFont="1" applyFill="1" applyBorder="1" applyAlignment="1"/>
    <xf numFmtId="0" fontId="0" fillId="0" borderId="33" xfId="0" applyBorder="1" applyAlignment="1"/>
    <xf numFmtId="0" fontId="18" fillId="2" borderId="15" xfId="0" applyFont="1" applyFill="1" applyBorder="1" applyAlignment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/>
    <xf numFmtId="0" fontId="0" fillId="0" borderId="1" xfId="0" applyBorder="1" applyAlignment="1"/>
    <xf numFmtId="0" fontId="18" fillId="2" borderId="17" xfId="0" applyFont="1" applyFill="1" applyBorder="1" applyAlignment="1">
      <alignment horizontal="center"/>
    </xf>
    <xf numFmtId="0" fontId="18" fillId="2" borderId="34" xfId="0" applyFont="1" applyFill="1" applyBorder="1" applyAlignment="1"/>
    <xf numFmtId="0" fontId="20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183" fontId="14" fillId="0" borderId="1" xfId="0" applyNumberFormat="1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top"/>
    </xf>
    <xf numFmtId="0" fontId="23" fillId="7" borderId="2" xfId="0" applyFont="1" applyFill="1" applyBorder="1" applyAlignment="1">
      <alignment horizontal="center" vertical="top"/>
    </xf>
    <xf numFmtId="184" fontId="23" fillId="7" borderId="35" xfId="0" applyNumberFormat="1" applyFont="1" applyFill="1" applyBorder="1" applyAlignment="1">
      <alignment horizontal="center" vertical="top"/>
    </xf>
    <xf numFmtId="35" fontId="23" fillId="7" borderId="35" xfId="0" applyNumberFormat="1" applyFont="1" applyFill="1" applyBorder="1" applyAlignment="1">
      <alignment horizontal="center" vertical="top"/>
    </xf>
    <xf numFmtId="0" fontId="23" fillId="7" borderId="35" xfId="0" applyFont="1" applyFill="1" applyBorder="1" applyAlignment="1">
      <alignment horizontal="center" vertical="top"/>
    </xf>
    <xf numFmtId="0" fontId="23" fillId="7" borderId="6" xfId="0" applyFont="1" applyFill="1" applyBorder="1" applyAlignment="1">
      <alignment horizontal="center" vertical="top"/>
    </xf>
    <xf numFmtId="184" fontId="23" fillId="7" borderId="36" xfId="0" applyNumberFormat="1" applyFont="1" applyFill="1" applyBorder="1" applyAlignment="1">
      <alignment horizontal="center" vertical="top"/>
    </xf>
    <xf numFmtId="35" fontId="23" fillId="7" borderId="36" xfId="0" applyNumberFormat="1" applyFont="1" applyFill="1" applyBorder="1" applyAlignment="1">
      <alignment horizontal="center" vertical="top"/>
    </xf>
    <xf numFmtId="0" fontId="23" fillId="7" borderId="36" xfId="0" applyFont="1" applyFill="1" applyBorder="1" applyAlignment="1">
      <alignment horizontal="center" vertical="top"/>
    </xf>
    <xf numFmtId="0" fontId="24" fillId="7" borderId="35" xfId="0" applyFont="1" applyFill="1" applyBorder="1" applyAlignment="1">
      <alignment horizontal="center" vertical="center"/>
    </xf>
    <xf numFmtId="0" fontId="24" fillId="7" borderId="35" xfId="0" applyFont="1" applyFill="1" applyBorder="1" applyAlignment="1">
      <alignment vertical="top"/>
    </xf>
    <xf numFmtId="0" fontId="24" fillId="7" borderId="36" xfId="0" applyFont="1" applyFill="1" applyBorder="1" applyAlignment="1">
      <alignment vertical="top"/>
    </xf>
    <xf numFmtId="0" fontId="22" fillId="5" borderId="2" xfId="0" applyFont="1" applyFill="1" applyBorder="1" applyAlignment="1">
      <alignment horizontal="center" vertical="top"/>
    </xf>
    <xf numFmtId="0" fontId="23" fillId="7" borderId="35" xfId="0" applyFont="1" applyFill="1" applyBorder="1" applyAlignment="1">
      <alignment vertical="top"/>
    </xf>
    <xf numFmtId="0" fontId="23" fillId="7" borderId="36" xfId="0" applyFont="1" applyFill="1" applyBorder="1" applyAlignment="1">
      <alignment vertical="top"/>
    </xf>
    <xf numFmtId="0" fontId="25" fillId="7" borderId="36" xfId="0" applyFont="1" applyFill="1" applyBorder="1" applyAlignment="1">
      <alignment vertical="top"/>
    </xf>
    <xf numFmtId="0" fontId="25" fillId="7" borderId="35" xfId="0" applyFont="1" applyFill="1" applyBorder="1" applyAlignment="1">
      <alignment vertical="top"/>
    </xf>
    <xf numFmtId="0" fontId="23" fillId="7" borderId="2" xfId="0" applyFont="1" applyFill="1" applyBorder="1" applyAlignment="1">
      <alignment horizontal="center" vertical="top"/>
    </xf>
    <xf numFmtId="184" fontId="23" fillId="7" borderId="35" xfId="0" applyNumberFormat="1" applyFont="1" applyFill="1" applyBorder="1" applyAlignment="1">
      <alignment horizontal="center" vertical="top"/>
    </xf>
    <xf numFmtId="35" fontId="23" fillId="7" borderId="35" xfId="0" applyNumberFormat="1" applyFont="1" applyFill="1" applyBorder="1" applyAlignment="1">
      <alignment horizontal="center" vertical="top"/>
    </xf>
    <xf numFmtId="0" fontId="23" fillId="7" borderId="35" xfId="0" applyFont="1" applyFill="1" applyBorder="1" applyAlignment="1">
      <alignment horizontal="center" vertical="top"/>
    </xf>
    <xf numFmtId="0" fontId="23" fillId="7" borderId="6" xfId="0" applyFont="1" applyFill="1" applyBorder="1" applyAlignment="1">
      <alignment horizontal="center" vertical="top"/>
    </xf>
    <xf numFmtId="184" fontId="23" fillId="7" borderId="36" xfId="0" applyNumberFormat="1" applyFont="1" applyFill="1" applyBorder="1" applyAlignment="1">
      <alignment horizontal="center" vertical="top"/>
    </xf>
    <xf numFmtId="35" fontId="23" fillId="7" borderId="36" xfId="0" applyNumberFormat="1" applyFont="1" applyFill="1" applyBorder="1" applyAlignment="1">
      <alignment horizontal="center" vertical="top"/>
    </xf>
    <xf numFmtId="0" fontId="23" fillId="7" borderId="36" xfId="0" applyFont="1" applyFill="1" applyBorder="1" applyAlignment="1">
      <alignment horizontal="center" vertical="top"/>
    </xf>
    <xf numFmtId="0" fontId="24" fillId="7" borderId="35" xfId="0" applyFont="1" applyFill="1" applyBorder="1" applyAlignment="1">
      <alignment vertical="top"/>
    </xf>
    <xf numFmtId="0" fontId="24" fillId="7" borderId="36" xfId="0" applyFont="1" applyFill="1" applyBorder="1" applyAlignment="1">
      <alignment vertical="top"/>
    </xf>
    <xf numFmtId="0" fontId="23" fillId="7" borderId="35" xfId="0" applyFont="1" applyFill="1" applyBorder="1" applyAlignment="1">
      <alignment vertical="top"/>
    </xf>
    <xf numFmtId="0" fontId="23" fillId="7" borderId="36" xfId="0" applyFont="1" applyFill="1" applyBorder="1" applyAlignment="1">
      <alignment vertical="top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26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29" fillId="8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1" xfId="0" applyNumberFormat="1" applyFont="1" applyFill="1" applyBorder="1" applyAlignment="1">
      <alignment horizontal="center" vertical="center"/>
    </xf>
    <xf numFmtId="9" fontId="0" fillId="0" borderId="0" xfId="3" applyFont="1">
      <alignment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left" vertical="center" indent="1"/>
    </xf>
    <xf numFmtId="0" fontId="33" fillId="0" borderId="5" xfId="0" applyFont="1" applyBorder="1" applyAlignment="1">
      <alignment horizontal="center" vertical="center"/>
    </xf>
    <xf numFmtId="9" fontId="33" fillId="0" borderId="5" xfId="3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left" vertical="center" indent="1"/>
    </xf>
    <xf numFmtId="0" fontId="34" fillId="0" borderId="1" xfId="0" applyFont="1" applyBorder="1" applyAlignment="1">
      <alignment horizontal="center" vertical="center"/>
    </xf>
    <xf numFmtId="9" fontId="32" fillId="12" borderId="1" xfId="3" applyNumberFormat="1" applyFont="1" applyFill="1" applyBorder="1" applyAlignment="1">
      <alignment horizontal="center" vertical="center"/>
    </xf>
    <xf numFmtId="9" fontId="32" fillId="0" borderId="1" xfId="3" applyFont="1" applyFill="1" applyBorder="1" applyAlignment="1">
      <alignment horizontal="center" vertical="center"/>
    </xf>
    <xf numFmtId="0" fontId="34" fillId="0" borderId="1" xfId="0" applyFont="1" applyBorder="1" applyAlignment="1">
      <alignment horizontal="left" vertical="center" indent="1"/>
    </xf>
    <xf numFmtId="9" fontId="18" fillId="10" borderId="1" xfId="3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center" indent="1"/>
    </xf>
    <xf numFmtId="9" fontId="36" fillId="0" borderId="1" xfId="3" applyNumberFormat="1" applyFont="1" applyFill="1" applyBorder="1" applyAlignment="1">
      <alignment horizontal="center" vertical="center"/>
    </xf>
    <xf numFmtId="9" fontId="32" fillId="0" borderId="1" xfId="3" applyNumberFormat="1" applyFont="1" applyFill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 indent="1"/>
    </xf>
    <xf numFmtId="0" fontId="33" fillId="13" borderId="37" xfId="0" applyNumberFormat="1" applyFont="1" applyFill="1" applyBorder="1" applyAlignment="1">
      <alignment horizontal="center" vertical="center"/>
    </xf>
    <xf numFmtId="0" fontId="33" fillId="13" borderId="37" xfId="0" applyFont="1" applyFill="1" applyBorder="1" applyAlignment="1">
      <alignment horizontal="center" vertical="center"/>
    </xf>
    <xf numFmtId="9" fontId="33" fillId="13" borderId="37" xfId="3" applyFont="1" applyFill="1" applyBorder="1" applyAlignment="1">
      <alignment horizontal="center" vertical="center"/>
    </xf>
    <xf numFmtId="0" fontId="33" fillId="0" borderId="38" xfId="0" applyFont="1" applyBorder="1" applyAlignment="1">
      <alignment horizontal="left" vertical="center" indent="1"/>
    </xf>
    <xf numFmtId="9" fontId="33" fillId="0" borderId="39" xfId="3" applyFont="1" applyFill="1" applyBorder="1" applyAlignment="1">
      <alignment horizontal="center" vertical="center"/>
    </xf>
    <xf numFmtId="0" fontId="0" fillId="0" borderId="40" xfId="0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7" fillId="0" borderId="40" xfId="0" applyFont="1" applyBorder="1" applyAlignment="1">
      <alignment horizontal="left" vertical="center" indent="1"/>
    </xf>
    <xf numFmtId="0" fontId="33" fillId="5" borderId="41" xfId="0" applyFont="1" applyFill="1" applyBorder="1" applyAlignment="1">
      <alignment horizontal="left" vertical="center" indent="1"/>
    </xf>
    <xf numFmtId="0" fontId="33" fillId="5" borderId="37" xfId="0" applyFont="1" applyFill="1" applyBorder="1" applyAlignment="1">
      <alignment horizontal="center" vertical="center"/>
    </xf>
    <xf numFmtId="9" fontId="33" fillId="5" borderId="1" xfId="3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9" fontId="17" fillId="0" borderId="1" xfId="3" applyFont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/>
    </xf>
    <xf numFmtId="0" fontId="37" fillId="15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/>
    </xf>
    <xf numFmtId="0" fontId="14" fillId="16" borderId="1" xfId="0" applyFont="1" applyFill="1" applyBorder="1" applyAlignment="1">
      <alignment horizontal="center" vertical="center"/>
    </xf>
    <xf numFmtId="0" fontId="38" fillId="16" borderId="1" xfId="6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85" fontId="15" fillId="0" borderId="0" xfId="0" applyNumberFormat="1" applyFont="1" applyAlignment="1">
      <alignment horizontal="center" vertical="center"/>
    </xf>
    <xf numFmtId="10" fontId="15" fillId="0" borderId="0" xfId="3" applyNumberFormat="1" applyFont="1" applyBorder="1" applyAlignment="1">
      <alignment horizontal="center" vertical="center"/>
    </xf>
    <xf numFmtId="0" fontId="31" fillId="18" borderId="1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31" fillId="19" borderId="1" xfId="0" applyFont="1" applyFill="1" applyBorder="1" applyAlignment="1">
      <alignment horizontal="center" vertical="center"/>
    </xf>
    <xf numFmtId="185" fontId="15" fillId="0" borderId="0" xfId="0" applyNumberFormat="1" applyFont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86" fontId="31" fillId="18" borderId="1" xfId="0" applyNumberFormat="1" applyFont="1" applyFill="1" applyBorder="1" applyAlignment="1">
      <alignment horizontal="center" vertical="center"/>
    </xf>
    <xf numFmtId="180" fontId="15" fillId="0" borderId="0" xfId="0" applyNumberFormat="1" applyFont="1" applyBorder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183" fontId="14" fillId="0" borderId="0" xfId="0" applyNumberFormat="1" applyFont="1" applyFill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31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31" fillId="18" borderId="1" xfId="0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4" fillId="5" borderId="0" xfId="0" applyFont="1" applyFill="1" applyAlignment="1">
      <alignment horizontal="center"/>
    </xf>
    <xf numFmtId="183" fontId="14" fillId="0" borderId="0" xfId="0" applyNumberFormat="1" applyFont="1" applyFill="1" applyAlignment="1">
      <alignment horizontal="center" vertical="center"/>
    </xf>
    <xf numFmtId="0" fontId="41" fillId="20" borderId="9" xfId="0" applyFont="1" applyFill="1" applyBorder="1" applyAlignment="1">
      <alignment horizontal="center" vertical="center"/>
    </xf>
    <xf numFmtId="0" fontId="41" fillId="20" borderId="11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10" borderId="10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1" fillId="20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41" fillId="20" borderId="10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31" fillId="0" borderId="1" xfId="0" applyFont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/>
    </xf>
    <xf numFmtId="9" fontId="15" fillId="0" borderId="1" xfId="3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9" fontId="31" fillId="20" borderId="1" xfId="3" applyFont="1" applyFill="1" applyBorder="1" applyAlignment="1">
      <alignment horizontal="center" vertical="center"/>
    </xf>
    <xf numFmtId="9" fontId="17" fillId="0" borderId="0" xfId="3" applyFont="1" applyAlignment="1">
      <alignment horizontal="center" vertical="center"/>
    </xf>
    <xf numFmtId="0" fontId="31" fillId="21" borderId="1" xfId="0" applyFont="1" applyFill="1" applyBorder="1" applyAlignment="1">
      <alignment horizontal="center" vertical="center"/>
    </xf>
    <xf numFmtId="9" fontId="43" fillId="22" borderId="0" xfId="3" applyFont="1" applyFill="1" applyAlignment="1">
      <alignment horizontal="center" vertical="center"/>
    </xf>
    <xf numFmtId="9" fontId="31" fillId="5" borderId="1" xfId="3" applyFont="1" applyFill="1" applyBorder="1" applyAlignment="1">
      <alignment horizontal="center" vertical="center"/>
    </xf>
    <xf numFmtId="0" fontId="43" fillId="23" borderId="1" xfId="0" applyFont="1" applyFill="1" applyBorder="1" applyAlignment="1">
      <alignment horizontal="center" vertical="center"/>
    </xf>
    <xf numFmtId="0" fontId="32" fillId="2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7" fillId="21" borderId="1" xfId="0" applyNumberFormat="1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9" fontId="17" fillId="21" borderId="1" xfId="3" applyFont="1" applyFill="1" applyBorder="1" applyAlignment="1">
      <alignment horizontal="center" vertical="center"/>
    </xf>
    <xf numFmtId="0" fontId="18" fillId="24" borderId="1" xfId="0" applyFont="1" applyFill="1" applyBorder="1" applyAlignment="1">
      <alignment horizontal="center" vertical="center"/>
    </xf>
    <xf numFmtId="9" fontId="15" fillId="11" borderId="1" xfId="3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9" fontId="31" fillId="12" borderId="1" xfId="3" applyFont="1" applyFill="1" applyBorder="1" applyAlignment="1">
      <alignment horizontal="center" vertical="center"/>
    </xf>
    <xf numFmtId="9" fontId="0" fillId="0" borderId="0" xfId="3" applyAlignment="1">
      <alignment horizontal="center" vertical="center"/>
    </xf>
    <xf numFmtId="0" fontId="44" fillId="25" borderId="9" xfId="0" applyFont="1" applyFill="1" applyBorder="1" applyAlignment="1">
      <alignment horizontal="center" vertical="center"/>
    </xf>
    <xf numFmtId="0" fontId="44" fillId="25" borderId="11" xfId="0" applyFont="1" applyFill="1" applyBorder="1" applyAlignment="1">
      <alignment horizontal="center" vertical="center"/>
    </xf>
    <xf numFmtId="0" fontId="45" fillId="26" borderId="5" xfId="0" applyFont="1" applyFill="1" applyBorder="1" applyAlignment="1">
      <alignment horizontal="center" vertical="center"/>
    </xf>
    <xf numFmtId="0" fontId="46" fillId="27" borderId="5" xfId="0" applyFont="1" applyFill="1" applyBorder="1" applyAlignment="1">
      <alignment horizontal="center" vertical="center"/>
    </xf>
    <xf numFmtId="0" fontId="46" fillId="5" borderId="5" xfId="0" applyFont="1" applyFill="1" applyBorder="1" applyAlignment="1">
      <alignment horizontal="center" vertical="center"/>
    </xf>
    <xf numFmtId="0" fontId="45" fillId="26" borderId="1" xfId="0" applyFont="1" applyFill="1" applyBorder="1" applyAlignment="1">
      <alignment horizontal="center" vertical="center"/>
    </xf>
    <xf numFmtId="0" fontId="45" fillId="27" borderId="1" xfId="0" applyFont="1" applyFill="1" applyBorder="1" applyAlignment="1">
      <alignment horizontal="center" vertical="center"/>
    </xf>
    <xf numFmtId="0" fontId="45" fillId="5" borderId="1" xfId="0" applyFont="1" applyFill="1" applyBorder="1" applyAlignment="1">
      <alignment horizontal="center" vertical="center"/>
    </xf>
    <xf numFmtId="0" fontId="47" fillId="11" borderId="1" xfId="0" applyFont="1" applyFill="1" applyBorder="1" applyAlignment="1">
      <alignment horizontal="left" vertical="center" indent="1"/>
    </xf>
    <xf numFmtId="0" fontId="48" fillId="27" borderId="1" xfId="0" applyFont="1" applyFill="1" applyBorder="1" applyAlignment="1">
      <alignment horizontal="center" vertical="center"/>
    </xf>
    <xf numFmtId="1" fontId="45" fillId="27" borderId="1" xfId="0" applyNumberFormat="1" applyFont="1" applyFill="1" applyBorder="1" applyAlignment="1">
      <alignment horizontal="center" vertical="center"/>
    </xf>
    <xf numFmtId="187" fontId="45" fillId="27" borderId="1" xfId="0" applyNumberFormat="1" applyFont="1" applyFill="1" applyBorder="1" applyAlignment="1">
      <alignment horizontal="center" vertical="center"/>
    </xf>
    <xf numFmtId="187" fontId="48" fillId="27" borderId="1" xfId="0" applyNumberFormat="1" applyFont="1" applyFill="1" applyBorder="1" applyAlignment="1">
      <alignment horizontal="center" vertical="center"/>
    </xf>
    <xf numFmtId="187" fontId="45" fillId="5" borderId="1" xfId="0" applyNumberFormat="1" applyFont="1" applyFill="1" applyBorder="1" applyAlignment="1">
      <alignment horizontal="center" vertical="center"/>
    </xf>
    <xf numFmtId="9" fontId="45" fillId="27" borderId="1" xfId="3" applyFont="1" applyFill="1" applyBorder="1" applyAlignment="1">
      <alignment horizontal="center" vertical="center"/>
    </xf>
    <xf numFmtId="9" fontId="45" fillId="5" borderId="1" xfId="3" applyFont="1" applyFill="1" applyBorder="1" applyAlignment="1">
      <alignment horizontal="center" vertical="center"/>
    </xf>
    <xf numFmtId="9" fontId="48" fillId="27" borderId="1" xfId="3" applyFont="1" applyFill="1" applyBorder="1" applyAlignment="1">
      <alignment horizontal="center" vertical="center"/>
    </xf>
    <xf numFmtId="188" fontId="49" fillId="15" borderId="9" xfId="0" applyNumberFormat="1" applyFont="1" applyFill="1" applyBorder="1" applyAlignment="1">
      <alignment horizontal="center" vertical="center"/>
    </xf>
    <xf numFmtId="188" fontId="49" fillId="15" borderId="11" xfId="0" applyNumberFormat="1" applyFont="1" applyFill="1" applyBorder="1" applyAlignment="1">
      <alignment horizontal="center" vertical="center"/>
    </xf>
    <xf numFmtId="188" fontId="49" fillId="15" borderId="10" xfId="0" applyNumberFormat="1" applyFont="1" applyFill="1" applyBorder="1" applyAlignment="1">
      <alignment horizontal="center" vertical="center"/>
    </xf>
    <xf numFmtId="0" fontId="13" fillId="28" borderId="5" xfId="0" applyFont="1" applyFill="1" applyBorder="1" applyAlignment="1">
      <alignment horizontal="left" vertical="center" indent="1"/>
    </xf>
    <xf numFmtId="0" fontId="50" fillId="5" borderId="5" xfId="0" applyFont="1" applyFill="1" applyBorder="1" applyAlignment="1">
      <alignment horizontal="left" vertical="center" indent="1"/>
    </xf>
    <xf numFmtId="187" fontId="13" fillId="28" borderId="5" xfId="0" applyNumberFormat="1" applyFont="1" applyFill="1" applyBorder="1" applyAlignment="1">
      <alignment horizontal="center" vertical="center"/>
    </xf>
    <xf numFmtId="0" fontId="13" fillId="28" borderId="1" xfId="0" applyFont="1" applyFill="1" applyBorder="1" applyAlignment="1">
      <alignment horizontal="left" vertical="center" indent="1"/>
    </xf>
    <xf numFmtId="187" fontId="13" fillId="28" borderId="1" xfId="0" applyNumberFormat="1" applyFont="1" applyFill="1" applyBorder="1" applyAlignment="1">
      <alignment horizontal="center" vertical="center"/>
    </xf>
    <xf numFmtId="0" fontId="50" fillId="5" borderId="1" xfId="0" applyFont="1" applyFill="1" applyBorder="1" applyAlignment="1">
      <alignment horizontal="left" vertical="center" indent="1"/>
    </xf>
    <xf numFmtId="187" fontId="0" fillId="0" borderId="0" xfId="0" applyNumberFormat="1" applyAlignment="1">
      <alignment horizontal="center" vertical="center"/>
    </xf>
    <xf numFmtId="0" fontId="13" fillId="28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51" fillId="5" borderId="1" xfId="3" applyFont="1" applyFill="1" applyBorder="1" applyAlignment="1" applyProtection="1">
      <alignment horizontal="left" vertical="center" indent="1"/>
    </xf>
    <xf numFmtId="0" fontId="12" fillId="28" borderId="1" xfId="0" applyFont="1" applyFill="1" applyBorder="1" applyAlignment="1">
      <alignment horizontal="left" vertical="center" indent="1"/>
    </xf>
    <xf numFmtId="0" fontId="12" fillId="28" borderId="1" xfId="0" applyFont="1" applyFill="1" applyBorder="1" applyAlignment="1">
      <alignment horizontal="center" vertical="center"/>
    </xf>
    <xf numFmtId="9" fontId="13" fillId="28" borderId="1" xfId="3" applyFont="1" applyFill="1" applyBorder="1" applyAlignment="1" applyProtection="1">
      <alignment horizontal="left" vertical="center" indent="1"/>
    </xf>
    <xf numFmtId="18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44" fillId="25" borderId="10" xfId="0" applyFont="1" applyFill="1" applyBorder="1" applyAlignment="1">
      <alignment horizontal="center" vertical="center"/>
    </xf>
    <xf numFmtId="0" fontId="52" fillId="5" borderId="9" xfId="0" applyFont="1" applyFill="1" applyBorder="1" applyAlignment="1">
      <alignment horizontal="center" vertical="center"/>
    </xf>
    <xf numFmtId="0" fontId="52" fillId="5" borderId="11" xfId="0" applyFont="1" applyFill="1" applyBorder="1" applyAlignment="1">
      <alignment horizontal="center" vertical="center"/>
    </xf>
    <xf numFmtId="0" fontId="46" fillId="29" borderId="5" xfId="0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left" vertical="center" indent="1"/>
    </xf>
    <xf numFmtId="0" fontId="18" fillId="0" borderId="5" xfId="0" applyFont="1" applyBorder="1" applyAlignment="1">
      <alignment horizontal="center" vertical="center"/>
    </xf>
    <xf numFmtId="0" fontId="46" fillId="29" borderId="1" xfId="0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left" vertical="center" indent="1"/>
    </xf>
    <xf numFmtId="0" fontId="41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48" fillId="29" borderId="1" xfId="0" applyFont="1" applyFill="1" applyBorder="1" applyAlignment="1">
      <alignment horizontal="center" vertical="center"/>
    </xf>
    <xf numFmtId="1" fontId="45" fillId="5" borderId="1" xfId="0" applyNumberFormat="1" applyFont="1" applyFill="1" applyBorder="1" applyAlignment="1">
      <alignment horizontal="center" vertical="center"/>
    </xf>
    <xf numFmtId="1" fontId="48" fillId="29" borderId="1" xfId="0" applyNumberFormat="1" applyFont="1" applyFill="1" applyBorder="1" applyAlignment="1">
      <alignment horizontal="center" vertical="center"/>
    </xf>
    <xf numFmtId="187" fontId="48" fillId="29" borderId="1" xfId="0" applyNumberFormat="1" applyFont="1" applyFill="1" applyBorder="1" applyAlignment="1">
      <alignment horizontal="center" vertical="center"/>
    </xf>
    <xf numFmtId="9" fontId="48" fillId="29" borderId="1" xfId="3" applyFont="1" applyFill="1" applyBorder="1" applyAlignment="1">
      <alignment horizontal="center" vertical="center"/>
    </xf>
    <xf numFmtId="0" fontId="54" fillId="5" borderId="41" xfId="0" applyFont="1" applyFill="1" applyBorder="1" applyAlignment="1">
      <alignment horizontal="left" vertical="center" indent="1"/>
    </xf>
    <xf numFmtId="0" fontId="54" fillId="13" borderId="37" xfId="0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2" fontId="0" fillId="0" borderId="0" xfId="0" applyNumberFormat="1">
      <alignment vertical="center"/>
    </xf>
    <xf numFmtId="2" fontId="0" fillId="0" borderId="0" xfId="0" applyNumberFormat="1" applyAlignment="1">
      <alignment horizontal="center" vertical="center"/>
    </xf>
    <xf numFmtId="0" fontId="52" fillId="5" borderId="10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18" fillId="0" borderId="39" xfId="0" applyFont="1" applyBorder="1" applyAlignment="1">
      <alignment horizontal="center" vertical="center"/>
    </xf>
    <xf numFmtId="9" fontId="53" fillId="0" borderId="1" xfId="3" applyFont="1" applyBorder="1" applyAlignment="1">
      <alignment horizontal="center" vertical="center"/>
    </xf>
    <xf numFmtId="0" fontId="53" fillId="0" borderId="42" xfId="0" applyFont="1" applyBorder="1" applyAlignment="1">
      <alignment horizontal="center" vertical="center"/>
    </xf>
    <xf numFmtId="9" fontId="54" fillId="5" borderId="37" xfId="3" applyFont="1" applyFill="1" applyBorder="1" applyAlignment="1">
      <alignment horizontal="center" vertical="center"/>
    </xf>
    <xf numFmtId="0" fontId="41" fillId="20" borderId="1" xfId="0" applyFont="1" applyFill="1" applyBorder="1" applyAlignment="1">
      <alignment horizontal="center" vertical="center"/>
    </xf>
    <xf numFmtId="0" fontId="18" fillId="24" borderId="5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 indent="1"/>
    </xf>
    <xf numFmtId="0" fontId="12" fillId="11" borderId="1" xfId="0" applyFont="1" applyFill="1" applyBorder="1" applyAlignment="1">
      <alignment horizontal="center" vertical="center"/>
    </xf>
    <xf numFmtId="9" fontId="15" fillId="11" borderId="1" xfId="0" applyNumberFormat="1" applyFont="1" applyFill="1" applyBorder="1" applyAlignment="1">
      <alignment horizontal="center" vertical="center"/>
    </xf>
    <xf numFmtId="0" fontId="41" fillId="20" borderId="37" xfId="0" applyFont="1" applyFill="1" applyBorder="1" applyAlignment="1">
      <alignment horizontal="left" vertical="center" indent="1"/>
    </xf>
    <xf numFmtId="0" fontId="41" fillId="30" borderId="37" xfId="0" applyFont="1" applyFill="1" applyBorder="1" applyAlignment="1">
      <alignment horizontal="center" vertical="center"/>
    </xf>
    <xf numFmtId="9" fontId="41" fillId="20" borderId="37" xfId="3" applyFont="1" applyFill="1" applyBorder="1" applyAlignment="1">
      <alignment horizontal="center" vertical="center"/>
    </xf>
    <xf numFmtId="0" fontId="55" fillId="9" borderId="1" xfId="0" applyFont="1" applyFill="1" applyBorder="1" applyAlignment="1">
      <alignment horizontal="left" vertical="center" indent="1"/>
    </xf>
    <xf numFmtId="9" fontId="29" fillId="0" borderId="1" xfId="3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29" fillId="31" borderId="1" xfId="0" applyFont="1" applyFill="1" applyBorder="1" applyAlignment="1">
      <alignment horizontal="center" vertical="center"/>
    </xf>
    <xf numFmtId="190" fontId="29" fillId="0" borderId="1" xfId="0" applyNumberFormat="1" applyFont="1" applyBorder="1" applyAlignment="1">
      <alignment horizontal="center" vertical="center"/>
    </xf>
    <xf numFmtId="9" fontId="29" fillId="0" borderId="1" xfId="3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11" borderId="42" xfId="0" applyFont="1" applyFill="1" applyBorder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8" fillId="11" borderId="1" xfId="0" applyFont="1" applyFill="1" applyBorder="1" applyAlignment="1">
      <alignment horizontal="left" vertical="center" indent="1"/>
    </xf>
    <xf numFmtId="0" fontId="31" fillId="12" borderId="1" xfId="0" applyFont="1" applyFill="1" applyBorder="1" applyAlignment="1">
      <alignment horizontal="left" vertical="center" indent="1"/>
    </xf>
    <xf numFmtId="0" fontId="56" fillId="23" borderId="1" xfId="0" applyFont="1" applyFill="1" applyBorder="1" applyAlignment="1">
      <alignment horizontal="left" vertical="center" indent="1"/>
    </xf>
    <xf numFmtId="0" fontId="56" fillId="23" borderId="1" xfId="0" applyFont="1" applyFill="1" applyBorder="1" applyAlignment="1">
      <alignment horizontal="center" vertical="center"/>
    </xf>
    <xf numFmtId="9" fontId="56" fillId="23" borderId="1" xfId="3" applyFont="1" applyFill="1" applyBorder="1" applyAlignment="1">
      <alignment horizontal="center" vertical="center"/>
    </xf>
    <xf numFmtId="0" fontId="8" fillId="11" borderId="42" xfId="0" applyFont="1" applyFill="1" applyBorder="1" applyAlignment="1">
      <alignment horizontal="left" vertical="center" indent="1"/>
    </xf>
    <xf numFmtId="10" fontId="0" fillId="0" borderId="0" xfId="0" applyNumberFormat="1" applyAlignment="1">
      <alignment horizontal="center" vertical="center"/>
    </xf>
    <xf numFmtId="10" fontId="0" fillId="0" borderId="0" xfId="3" applyNumberFormat="1" applyFont="1" applyFill="1" applyBorder="1" applyAlignment="1">
      <alignment horizontal="center" vertical="center"/>
    </xf>
    <xf numFmtId="9" fontId="0" fillId="0" borderId="0" xfId="3" applyFont="1" applyFill="1" applyBorder="1" applyAlignment="1">
      <alignment horizontal="center" vertical="center"/>
    </xf>
    <xf numFmtId="191" fontId="18" fillId="20" borderId="43" xfId="3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9" fontId="0" fillId="0" borderId="0" xfId="3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9" fontId="29" fillId="31" borderId="1" xfId="3" applyFont="1" applyFill="1" applyBorder="1" applyAlignment="1">
      <alignment horizontal="center" vertical="center"/>
    </xf>
    <xf numFmtId="9" fontId="29" fillId="0" borderId="1" xfId="0" applyNumberFormat="1" applyFont="1" applyBorder="1" applyAlignment="1">
      <alignment horizontal="center" vertical="center"/>
    </xf>
    <xf numFmtId="0" fontId="15" fillId="0" borderId="0" xfId="3" applyNumberFormat="1" applyFont="1" applyBorder="1" applyAlignment="1">
      <alignment horizontal="center" vertical="center"/>
    </xf>
    <xf numFmtId="0" fontId="0" fillId="0" borderId="0" xfId="3" applyNumberFormat="1" applyFont="1" applyAlignment="1">
      <alignment horizontal="center" vertical="center"/>
    </xf>
    <xf numFmtId="0" fontId="15" fillId="32" borderId="0" xfId="0" applyFont="1" applyFill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56" fillId="33" borderId="1" xfId="0" applyFont="1" applyFill="1" applyBorder="1" applyAlignment="1">
      <alignment horizontal="center" vertical="center" wrapText="1"/>
    </xf>
    <xf numFmtId="9" fontId="12" fillId="0" borderId="1" xfId="3" applyFont="1" applyBorder="1" applyAlignment="1">
      <alignment horizontal="center" vertical="center"/>
    </xf>
    <xf numFmtId="0" fontId="56" fillId="33" borderId="1" xfId="0" applyFont="1" applyFill="1" applyBorder="1" applyAlignment="1">
      <alignment horizontal="center" vertical="center"/>
    </xf>
    <xf numFmtId="9" fontId="56" fillId="33" borderId="1" xfId="3" applyFont="1" applyFill="1" applyBorder="1" applyAlignment="1">
      <alignment horizontal="center" vertical="center"/>
    </xf>
    <xf numFmtId="0" fontId="56" fillId="33" borderId="1" xfId="0" applyNumberFormat="1" applyFont="1" applyFill="1" applyBorder="1" applyAlignment="1">
      <alignment horizontal="center" vertical="center"/>
    </xf>
    <xf numFmtId="0" fontId="17" fillId="34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35" borderId="1" xfId="0" applyFont="1" applyFill="1" applyBorder="1" applyAlignment="1">
      <alignment horizontal="center" vertical="center"/>
    </xf>
    <xf numFmtId="0" fontId="43" fillId="36" borderId="1" xfId="0" applyFont="1" applyFill="1" applyBorder="1" applyAlignment="1">
      <alignment horizontal="center" vertical="center"/>
    </xf>
    <xf numFmtId="0" fontId="18" fillId="37" borderId="1" xfId="0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43" fillId="36" borderId="1" xfId="0" applyNumberFormat="1" applyFont="1" applyFill="1" applyBorder="1" applyAlignment="1">
      <alignment horizontal="center" vertical="center"/>
    </xf>
    <xf numFmtId="9" fontId="43" fillId="36" borderId="1" xfId="3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44" xfId="0" applyFont="1" applyBorder="1" applyAlignment="1">
      <alignment horizontal="center" vertical="center"/>
    </xf>
    <xf numFmtId="0" fontId="58" fillId="0" borderId="45" xfId="0" applyFont="1" applyBorder="1" applyAlignment="1">
      <alignment horizontal="center" vertical="center"/>
    </xf>
    <xf numFmtId="0" fontId="59" fillId="2" borderId="46" xfId="0" applyFont="1" applyFill="1" applyBorder="1" applyAlignment="1">
      <alignment horizontal="center" vertical="center" wrapText="1"/>
    </xf>
    <xf numFmtId="0" fontId="59" fillId="2" borderId="32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/>
    </xf>
    <xf numFmtId="0" fontId="57" fillId="38" borderId="5" xfId="0" applyFont="1" applyFill="1" applyBorder="1" applyAlignment="1">
      <alignment horizontal="center"/>
    </xf>
    <xf numFmtId="0" fontId="57" fillId="0" borderId="5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57" fillId="38" borderId="1" xfId="0" applyFont="1" applyFill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57" fillId="0" borderId="3" xfId="0" applyFont="1" applyBorder="1" applyAlignment="1">
      <alignment horizontal="center"/>
    </xf>
    <xf numFmtId="0" fontId="59" fillId="2" borderId="44" xfId="0" applyFont="1" applyFill="1" applyBorder="1" applyAlignment="1">
      <alignment horizontal="center"/>
    </xf>
    <xf numFmtId="0" fontId="59" fillId="2" borderId="29" xfId="0" applyFont="1" applyFill="1" applyBorder="1" applyAlignment="1">
      <alignment horizontal="center"/>
    </xf>
    <xf numFmtId="0" fontId="60" fillId="2" borderId="16" xfId="0" applyFont="1" applyFill="1" applyBorder="1" applyAlignment="1">
      <alignment horizontal="center"/>
    </xf>
    <xf numFmtId="0" fontId="60" fillId="2" borderId="16" xfId="0" applyFont="1" applyFill="1" applyBorder="1" applyAlignment="1">
      <alignment horizontal="center" vertical="center"/>
    </xf>
    <xf numFmtId="0" fontId="59" fillId="2" borderId="34" xfId="0" applyFont="1" applyFill="1" applyBorder="1" applyAlignment="1">
      <alignment horizontal="center" vertical="center" wrapText="1"/>
    </xf>
    <xf numFmtId="0" fontId="59" fillId="2" borderId="17" xfId="0" applyFont="1" applyFill="1" applyBorder="1" applyAlignment="1">
      <alignment horizontal="center" vertical="center" wrapText="1"/>
    </xf>
    <xf numFmtId="9" fontId="57" fillId="0" borderId="5" xfId="3" applyFont="1" applyBorder="1" applyAlignment="1">
      <alignment horizontal="center"/>
    </xf>
    <xf numFmtId="0" fontId="57" fillId="0" borderId="25" xfId="0" applyFont="1" applyBorder="1" applyAlignment="1">
      <alignment horizontal="center"/>
    </xf>
    <xf numFmtId="0" fontId="57" fillId="0" borderId="25" xfId="0" applyFont="1" applyBorder="1" applyAlignment="1">
      <alignment horizontal="center" vertical="center"/>
    </xf>
    <xf numFmtId="9" fontId="57" fillId="0" borderId="1" xfId="3" applyFont="1" applyBorder="1" applyAlignment="1">
      <alignment horizontal="center"/>
    </xf>
    <xf numFmtId="0" fontId="57" fillId="0" borderId="47" xfId="0" applyFont="1" applyBorder="1" applyAlignment="1">
      <alignment horizontal="center" vertical="center"/>
    </xf>
    <xf numFmtId="9" fontId="57" fillId="0" borderId="3" xfId="3" applyFont="1" applyBorder="1" applyAlignment="1">
      <alignment horizontal="center"/>
    </xf>
    <xf numFmtId="0" fontId="57" fillId="0" borderId="48" xfId="0" applyFont="1" applyBorder="1" applyAlignment="1">
      <alignment horizontal="center" vertical="center"/>
    </xf>
    <xf numFmtId="9" fontId="60" fillId="2" borderId="16" xfId="3" applyFont="1" applyFill="1" applyBorder="1" applyAlignment="1">
      <alignment horizontal="center"/>
    </xf>
    <xf numFmtId="0" fontId="60" fillId="2" borderId="17" xfId="0" applyFont="1" applyFill="1" applyBorder="1" applyAlignment="1">
      <alignment horizontal="center"/>
    </xf>
    <xf numFmtId="0" fontId="15" fillId="0" borderId="0" xfId="0" applyFont="1" applyBorder="1" applyAlignment="1" quotePrefix="1">
      <alignment horizontal="center" vertical="center"/>
    </xf>
    <xf numFmtId="0" fontId="15" fillId="0" borderId="0" xfId="0" applyFont="1" applyAlignment="1" quotePrefix="1">
      <alignment horizontal="center" vertical="center"/>
    </xf>
    <xf numFmtId="0" fontId="14" fillId="0" borderId="0" xfId="0" applyFont="1" applyFill="1" applyAlignment="1" quotePrefix="1">
      <alignment horizontal="center" vertical="center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  <cellStyle name="Normal 2 2" xfId="50"/>
    <cellStyle name="Normal 4" xfId="51"/>
    <cellStyle name="Percent 3" xfId="52"/>
    <cellStyle name="Normal 2" xfId="53"/>
    <cellStyle name="Normal 3" xfId="54"/>
  </cellStyles>
  <dxfs count="9">
    <dxf>
      <fill>
        <patternFill patternType="solid">
          <bgColor indexed="5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191"/>
        </patternFill>
      </fill>
    </dxf>
    <dxf>
      <fill>
        <patternFill patternType="solid">
          <bgColor theme="9" tint="0.399731437116611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indexed="10"/>
          <bgColor indexed="52"/>
        </patternFill>
      </fill>
    </dxf>
  </dxfs>
  <tableStyles count="0" defaultTableStyle="TableStyleMedium2" defaultPivotStyle="PivotStyleLight16"/>
  <colors>
    <mruColors>
      <color rgb="00FF7979"/>
      <color rgb="00A8F4F9"/>
      <color rgb="00FDE11C"/>
      <color rgb="0092D050"/>
      <color rgb="00FFD966"/>
      <color rgb="0000B0F0"/>
      <color rgb="00FFFF00"/>
      <color rgb="00FF0000"/>
      <color rgb="00FFE69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eetMetadata" Target="metadata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1.101\users\FINANCE\DAILY%20REPORTS\FY%202025%20-%202026\NEXA\MAR\NEXA%20DAILY%20REPORT%20MASTER%20MAR%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esktop\MSSF%20Dump%2026-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M"/>
      <sheetName val="Team Leader Report"/>
      <sheetName val="SRM"/>
      <sheetName val="RETAIL"/>
      <sheetName val="IH"/>
      <sheetName val="EVENING REPORT"/>
      <sheetName val=" TEAM LEAder report SEP"/>
      <sheetName val="Booking"/>
      <sheetName val="Allotment"/>
      <sheetName val="Report"/>
      <sheetName val="Emp"/>
      <sheetName val="ERP"/>
      <sheetName val="rpt"/>
      <sheetName val="FORMULA"/>
      <sheetName val="Finance-ARENA"/>
      <sheetName val="CF---disbursed not delivered"/>
      <sheetName val="FINANCE"/>
      <sheetName val="arena executives"/>
    </sheetNames>
    <sheetDataSet>
      <sheetData sheetId="0"/>
      <sheetData sheetId="1"/>
      <sheetData sheetId="2">
        <row r="10">
          <cell r="D10">
            <v>125</v>
          </cell>
          <cell r="E10">
            <v>88</v>
          </cell>
        </row>
        <row r="10">
          <cell r="K10">
            <v>61</v>
          </cell>
        </row>
        <row r="17">
          <cell r="C17">
            <v>604.21806</v>
          </cell>
        </row>
        <row r="24">
          <cell r="U24">
            <v>29</v>
          </cell>
          <cell r="V24">
            <v>18</v>
          </cell>
        </row>
      </sheetData>
      <sheetData sheetId="3">
        <row r="1">
          <cell r="J1" t="str">
            <v>Model</v>
          </cell>
        </row>
        <row r="1">
          <cell r="L1" t="str">
            <v>RM</v>
          </cell>
          <cell r="M1" t="str">
            <v>SRM</v>
          </cell>
          <cell r="N1" t="str">
            <v>LOCATION</v>
          </cell>
          <cell r="O1" t="str">
            <v>OUTLET</v>
          </cell>
        </row>
        <row r="1">
          <cell r="Q1" t="str">
            <v>FINANCE</v>
          </cell>
        </row>
        <row r="1">
          <cell r="X1" t="str">
            <v>FINANCE CO</v>
          </cell>
        </row>
        <row r="2">
          <cell r="J2" t="str">
            <v>XL6</v>
          </cell>
        </row>
        <row r="2">
          <cell r="L2" t="str">
            <v>HUDSON FRANKLIN</v>
          </cell>
          <cell r="M2" t="str">
            <v>SANDEEP P</v>
          </cell>
          <cell r="N2" t="str">
            <v>NEXA COCHIN</v>
          </cell>
          <cell r="O2" t="str">
            <v>NEXA COCHIN</v>
          </cell>
        </row>
        <row r="2">
          <cell r="Q2" t="str">
            <v>BOB</v>
          </cell>
        </row>
        <row r="2">
          <cell r="X2" t="str">
            <v>WILSON</v>
          </cell>
        </row>
        <row r="3">
          <cell r="J3" t="str">
            <v>JIMNY</v>
          </cell>
        </row>
        <row r="3">
          <cell r="L3" t="str">
            <v>REBILL</v>
          </cell>
          <cell r="M3" t="str">
            <v>REBILL</v>
          </cell>
          <cell r="N3" t="str">
            <v>REBILL</v>
          </cell>
          <cell r="O3" t="str">
            <v>OTHERS</v>
          </cell>
        </row>
        <row r="3">
          <cell r="X3" t="str">
            <v>OTHERS</v>
          </cell>
        </row>
        <row r="4">
          <cell r="J4" t="str">
            <v>Ignis</v>
          </cell>
        </row>
        <row r="4">
          <cell r="L4" t="str">
            <v>AMALDEV</v>
          </cell>
          <cell r="M4" t="str">
            <v>SIVAPRAKASH K S</v>
          </cell>
          <cell r="N4" t="str">
            <v>THRISSUR</v>
          </cell>
          <cell r="O4" t="str">
            <v>ARENA</v>
          </cell>
        </row>
        <row r="4">
          <cell r="Q4" t="str">
            <v>CASH</v>
          </cell>
        </row>
        <row r="4">
          <cell r="X4" t="str">
            <v>SINTO</v>
          </cell>
        </row>
        <row r="5">
          <cell r="J5" t="str">
            <v>BALENO</v>
          </cell>
        </row>
        <row r="5">
          <cell r="L5" t="str">
            <v>SINIYYA P K</v>
          </cell>
          <cell r="M5" t="str">
            <v>ARUN K G</v>
          </cell>
          <cell r="N5" t="str">
            <v>NEXA COCHIN</v>
          </cell>
          <cell r="O5" t="str">
            <v>NEXA COCHIN</v>
          </cell>
        </row>
        <row r="5">
          <cell r="Q5" t="str">
            <v>SBI</v>
          </cell>
        </row>
        <row r="5">
          <cell r="X5" t="str">
            <v>WILSON</v>
          </cell>
        </row>
        <row r="6">
          <cell r="J6" t="str">
            <v>XL6</v>
          </cell>
        </row>
        <row r="6">
          <cell r="L6" t="str">
            <v>REBILL</v>
          </cell>
          <cell r="M6" t="str">
            <v>REBILL</v>
          </cell>
          <cell r="N6" t="str">
            <v>REBILL</v>
          </cell>
          <cell r="O6" t="str">
            <v>OTHERS</v>
          </cell>
        </row>
        <row r="6">
          <cell r="X6" t="str">
            <v>OTHERS</v>
          </cell>
        </row>
        <row r="7">
          <cell r="J7" t="str">
            <v>FRONX</v>
          </cell>
        </row>
        <row r="7">
          <cell r="L7" t="str">
            <v>HUDSON FRANKLIN</v>
          </cell>
          <cell r="M7" t="str">
            <v>SANDEEP P</v>
          </cell>
          <cell r="N7" t="str">
            <v>NEXA COCHIN</v>
          </cell>
          <cell r="O7" t="str">
            <v>NEXA COCHIN</v>
          </cell>
        </row>
        <row r="7">
          <cell r="Q7" t="str">
            <v>HDFC</v>
          </cell>
        </row>
        <row r="7">
          <cell r="X7" t="str">
            <v>WILSON</v>
          </cell>
        </row>
        <row r="8">
          <cell r="J8" t="str">
            <v>Ignis</v>
          </cell>
        </row>
        <row r="8">
          <cell r="L8" t="str">
            <v>ANZIL A M</v>
          </cell>
          <cell r="M8" t="str">
            <v>ARUN K G</v>
          </cell>
          <cell r="N8" t="str">
            <v>NEXA COCHIN</v>
          </cell>
          <cell r="O8" t="str">
            <v>NEXA COCHIN</v>
          </cell>
        </row>
        <row r="8">
          <cell r="Q8" t="str">
            <v>BOB</v>
          </cell>
        </row>
        <row r="8">
          <cell r="X8" t="str">
            <v>WILSON</v>
          </cell>
        </row>
        <row r="9">
          <cell r="J9" t="str">
            <v>BALENO</v>
          </cell>
        </row>
        <row r="9">
          <cell r="L9" t="str">
            <v>KRISHNARAJ</v>
          </cell>
          <cell r="M9" t="str">
            <v>SACHIN</v>
          </cell>
          <cell r="N9" t="str">
            <v>KODUNGALLUR</v>
          </cell>
          <cell r="O9" t="str">
            <v>STUDIO</v>
          </cell>
        </row>
        <row r="9">
          <cell r="Q9" t="str">
            <v>BAJAJ</v>
          </cell>
        </row>
        <row r="9">
          <cell r="X9" t="str">
            <v>JINEESH</v>
          </cell>
        </row>
        <row r="10">
          <cell r="J10" t="str">
            <v>XL6</v>
          </cell>
        </row>
        <row r="10">
          <cell r="L10" t="str">
            <v>REBILL</v>
          </cell>
          <cell r="M10" t="str">
            <v>REBILL</v>
          </cell>
          <cell r="N10" t="str">
            <v>REBILL</v>
          </cell>
          <cell r="O10" t="str">
            <v>OTHERS</v>
          </cell>
        </row>
        <row r="10">
          <cell r="X10" t="str">
            <v>OTHERS</v>
          </cell>
        </row>
        <row r="11">
          <cell r="J11" t="str">
            <v>Ignis</v>
          </cell>
        </row>
        <row r="11">
          <cell r="L11" t="str">
            <v>HUDSON FRANKLIN</v>
          </cell>
          <cell r="M11" t="str">
            <v>SANDEEP P</v>
          </cell>
          <cell r="N11" t="str">
            <v>NEXA COCHIN</v>
          </cell>
          <cell r="O11" t="str">
            <v>NEXA COCHIN</v>
          </cell>
        </row>
        <row r="11">
          <cell r="Q11" t="str">
            <v>ICICI</v>
          </cell>
        </row>
        <row r="11">
          <cell r="X11" t="str">
            <v>WILSON</v>
          </cell>
        </row>
        <row r="12">
          <cell r="J12" t="str">
            <v>JIMNY</v>
          </cell>
        </row>
        <row r="12">
          <cell r="L12" t="str">
            <v>SARATH</v>
          </cell>
          <cell r="M12" t="str">
            <v>PRASANTH</v>
          </cell>
          <cell r="N12" t="str">
            <v>STUDIO KPLM</v>
          </cell>
          <cell r="O12" t="str">
            <v>STUDIO</v>
          </cell>
        </row>
        <row r="12">
          <cell r="Q12" t="str">
            <v>ICICI</v>
          </cell>
        </row>
        <row r="12">
          <cell r="X12" t="str">
            <v>JINEESH</v>
          </cell>
        </row>
        <row r="13">
          <cell r="J13" t="str">
            <v>Ignis</v>
          </cell>
        </row>
        <row r="13">
          <cell r="L13" t="str">
            <v>MANU JOY</v>
          </cell>
          <cell r="M13" t="str">
            <v>MANU SASI</v>
          </cell>
          <cell r="N13" t="str">
            <v>EDAPPALLY</v>
          </cell>
          <cell r="O13" t="str">
            <v>ARENA</v>
          </cell>
        </row>
        <row r="13">
          <cell r="Q13" t="str">
            <v>CASH</v>
          </cell>
        </row>
        <row r="13">
          <cell r="X13" t="str">
            <v>SIVAPRASAD</v>
          </cell>
        </row>
        <row r="14">
          <cell r="J14" t="str">
            <v>XL6</v>
          </cell>
        </row>
        <row r="14">
          <cell r="L14" t="str">
            <v>MIDHUL V M</v>
          </cell>
          <cell r="M14" t="str">
            <v>BHAGIESH</v>
          </cell>
          <cell r="N14" t="str">
            <v>CHAVAKKAD</v>
          </cell>
          <cell r="O14" t="str">
            <v>STUDIO</v>
          </cell>
        </row>
        <row r="14">
          <cell r="Q14" t="str">
            <v>SBI</v>
          </cell>
        </row>
        <row r="14">
          <cell r="X14" t="str">
            <v>SINTO</v>
          </cell>
        </row>
        <row r="15">
          <cell r="J15" t="str">
            <v>BALENO</v>
          </cell>
        </row>
        <row r="15">
          <cell r="L15" t="str">
            <v>NIKESHKRISHNA P S</v>
          </cell>
          <cell r="M15" t="str">
            <v>BINOY RAJ</v>
          </cell>
          <cell r="N15" t="str">
            <v>KODUNGALLUR</v>
          </cell>
          <cell r="O15" t="str">
            <v>STUDIO</v>
          </cell>
        </row>
        <row r="15">
          <cell r="Q15" t="str">
            <v>SFL</v>
          </cell>
        </row>
        <row r="15">
          <cell r="X15" t="str">
            <v>JINEESH</v>
          </cell>
        </row>
        <row r="16">
          <cell r="J16" t="str">
            <v>XL6</v>
          </cell>
        </row>
        <row r="16">
          <cell r="L16" t="str">
            <v>JINTO THOMAS</v>
          </cell>
          <cell r="M16" t="str">
            <v>SIJO VARGHESE GEORGE</v>
          </cell>
          <cell r="N16" t="str">
            <v>PERUMBAVOOR</v>
          </cell>
          <cell r="O16" t="str">
            <v>ARENA</v>
          </cell>
        </row>
        <row r="16">
          <cell r="Q16" t="str">
            <v>BOI</v>
          </cell>
        </row>
        <row r="16">
          <cell r="X16" t="str">
            <v>SALMAN</v>
          </cell>
        </row>
        <row r="17">
          <cell r="J17" t="str">
            <v>BALENO</v>
          </cell>
        </row>
        <row r="17">
          <cell r="L17" t="str">
            <v>ABHILASH A M</v>
          </cell>
          <cell r="M17" t="str">
            <v>NAKUL P</v>
          </cell>
          <cell r="N17" t="str">
            <v>NEXA COCHIN</v>
          </cell>
          <cell r="O17" t="str">
            <v>NEXA COCHIN</v>
          </cell>
        </row>
        <row r="17">
          <cell r="Q17" t="str">
            <v>BOB</v>
          </cell>
        </row>
        <row r="17">
          <cell r="X17" t="str">
            <v>WILSON</v>
          </cell>
        </row>
        <row r="18">
          <cell r="J18" t="str">
            <v>FRONX</v>
          </cell>
        </row>
        <row r="18">
          <cell r="L18" t="str">
            <v>MANIL C MOHAN</v>
          </cell>
          <cell r="M18" t="str">
            <v>NAKUL P</v>
          </cell>
          <cell r="N18" t="str">
            <v>NEXA COCHIN</v>
          </cell>
          <cell r="O18" t="str">
            <v>NEXA COCHIN</v>
          </cell>
        </row>
        <row r="18">
          <cell r="Q18" t="str">
            <v>CASH</v>
          </cell>
        </row>
        <row r="18">
          <cell r="X18" t="str">
            <v>WILSON</v>
          </cell>
        </row>
        <row r="19">
          <cell r="J19" t="str">
            <v>Ignis</v>
          </cell>
        </row>
        <row r="19">
          <cell r="L19" t="str">
            <v>ARVIND SANTHOSH</v>
          </cell>
          <cell r="M19" t="str">
            <v>SANDEEP P</v>
          </cell>
          <cell r="N19" t="str">
            <v>NEXA COCHIN</v>
          </cell>
          <cell r="O19" t="str">
            <v>NEXA COCHIN</v>
          </cell>
        </row>
        <row r="19">
          <cell r="Q19" t="str">
            <v>SBI</v>
          </cell>
        </row>
        <row r="19">
          <cell r="X19" t="str">
            <v>WILSON</v>
          </cell>
        </row>
        <row r="20">
          <cell r="J20" t="str">
            <v>Ignis</v>
          </cell>
        </row>
        <row r="20">
          <cell r="L20" t="str">
            <v>MANIL C MOHAN</v>
          </cell>
          <cell r="M20" t="str">
            <v>NAKUL P</v>
          </cell>
          <cell r="N20" t="str">
            <v>NEXA COCHIN</v>
          </cell>
          <cell r="O20" t="str">
            <v>NEXA COCHIN</v>
          </cell>
        </row>
        <row r="20">
          <cell r="Q20" t="str">
            <v>CANARA</v>
          </cell>
        </row>
        <row r="20">
          <cell r="X20" t="str">
            <v>WILSON</v>
          </cell>
        </row>
        <row r="21">
          <cell r="J21" t="str">
            <v>BALENO</v>
          </cell>
        </row>
        <row r="21">
          <cell r="L21" t="str">
            <v>MOHAMMED RIFIN</v>
          </cell>
          <cell r="M21" t="str">
            <v>SANDEEP P</v>
          </cell>
          <cell r="N21" t="str">
            <v>NEXA COCHIN</v>
          </cell>
          <cell r="O21" t="str">
            <v>NEXA COCHIN</v>
          </cell>
        </row>
        <row r="21">
          <cell r="Q21" t="str">
            <v>BOB</v>
          </cell>
        </row>
        <row r="21">
          <cell r="X21" t="str">
            <v>WILSON</v>
          </cell>
        </row>
        <row r="22">
          <cell r="J22" t="str">
            <v>Ignis</v>
          </cell>
        </row>
        <row r="22">
          <cell r="L22" t="str">
            <v>ANVAR SADATH</v>
          </cell>
          <cell r="M22" t="str">
            <v>RIJITH</v>
          </cell>
          <cell r="N22" t="str">
            <v>STUDIO KDLR</v>
          </cell>
          <cell r="O22" t="str">
            <v>STUDIO</v>
          </cell>
        </row>
        <row r="22">
          <cell r="Q22" t="str">
            <v>HDFC</v>
          </cell>
        </row>
        <row r="22">
          <cell r="X22" t="str">
            <v>JINEESH</v>
          </cell>
        </row>
        <row r="23">
          <cell r="J23" t="str">
            <v>Ignis</v>
          </cell>
        </row>
        <row r="23">
          <cell r="L23" t="str">
            <v>MUHAMMED USMAN</v>
          </cell>
          <cell r="M23" t="str">
            <v>GEORGE KUTTAN JOY</v>
          </cell>
          <cell r="N23" t="str">
            <v>NEXA COCHIN</v>
          </cell>
          <cell r="O23" t="str">
            <v>NEXA COCHIN</v>
          </cell>
        </row>
        <row r="23">
          <cell r="Q23" t="str">
            <v>IBL</v>
          </cell>
        </row>
        <row r="23">
          <cell r="X23" t="str">
            <v>WILSON</v>
          </cell>
        </row>
        <row r="24">
          <cell r="J24" t="str">
            <v>FRONX</v>
          </cell>
        </row>
        <row r="24">
          <cell r="L24" t="str">
            <v>VISHNU P V</v>
          </cell>
          <cell r="M24" t="str">
            <v>GEORGE KUTTAN JOY</v>
          </cell>
          <cell r="N24" t="str">
            <v>NEXA COCHIN</v>
          </cell>
          <cell r="O24" t="str">
            <v>NEXA COCHIN</v>
          </cell>
        </row>
        <row r="24">
          <cell r="Q24" t="str">
            <v>CASH</v>
          </cell>
        </row>
        <row r="24">
          <cell r="X24" t="str">
            <v>WILSON</v>
          </cell>
        </row>
        <row r="25">
          <cell r="J25" t="str">
            <v>Ignis</v>
          </cell>
        </row>
        <row r="25">
          <cell r="L25" t="str">
            <v>NISSAR M A</v>
          </cell>
          <cell r="M25" t="str">
            <v>RAHUL P R</v>
          </cell>
          <cell r="N25" t="str">
            <v>NEXA COCHIN</v>
          </cell>
          <cell r="O25" t="str">
            <v>NEXA COCHIN</v>
          </cell>
        </row>
        <row r="25">
          <cell r="Q25" t="str">
            <v>BOB</v>
          </cell>
        </row>
        <row r="25">
          <cell r="X25" t="str">
            <v>WILSON</v>
          </cell>
        </row>
        <row r="26">
          <cell r="J26" t="str">
            <v>BALENO</v>
          </cell>
        </row>
        <row r="26">
          <cell r="L26" t="str">
            <v>ANZIL A M</v>
          </cell>
          <cell r="M26" t="str">
            <v>ARUN K G</v>
          </cell>
          <cell r="N26" t="str">
            <v>NEXA COCHIN</v>
          </cell>
          <cell r="O26" t="str">
            <v>NEXA COCHIN</v>
          </cell>
        </row>
        <row r="26">
          <cell r="Q26" t="str">
            <v>HDFC</v>
          </cell>
        </row>
        <row r="26">
          <cell r="X26" t="str">
            <v>WILSON</v>
          </cell>
        </row>
        <row r="27">
          <cell r="J27" t="str">
            <v>FRONX</v>
          </cell>
        </row>
        <row r="27">
          <cell r="L27" t="str">
            <v>ANSAR V I</v>
          </cell>
          <cell r="M27" t="str">
            <v>RAHUL P R</v>
          </cell>
          <cell r="N27" t="str">
            <v>NEXA COCHIN</v>
          </cell>
          <cell r="O27" t="str">
            <v>NEXA COCHIN</v>
          </cell>
        </row>
        <row r="27">
          <cell r="Q27" t="str">
            <v>CASH</v>
          </cell>
        </row>
        <row r="27">
          <cell r="X27" t="str">
            <v>WILSON</v>
          </cell>
        </row>
        <row r="28">
          <cell r="J28" t="str">
            <v>BALENO</v>
          </cell>
        </row>
        <row r="28">
          <cell r="L28" t="str">
            <v>RISHAD K S</v>
          </cell>
          <cell r="M28" t="str">
            <v>BHAGIESH</v>
          </cell>
          <cell r="N28" t="str">
            <v>CHAVAKKAD</v>
          </cell>
          <cell r="O28" t="str">
            <v>STUDIO</v>
          </cell>
        </row>
        <row r="28">
          <cell r="Q28" t="str">
            <v>CHOLA</v>
          </cell>
        </row>
        <row r="28">
          <cell r="X28" t="str">
            <v>SINTO</v>
          </cell>
        </row>
        <row r="29">
          <cell r="J29" t="str">
            <v>BALENO</v>
          </cell>
        </row>
        <row r="29">
          <cell r="L29" t="str">
            <v>RISHAD K S</v>
          </cell>
          <cell r="M29" t="str">
            <v>BHAGIESH</v>
          </cell>
          <cell r="N29" t="str">
            <v>CHAVAKKAD</v>
          </cell>
          <cell r="O29" t="str">
            <v>STUDIO</v>
          </cell>
        </row>
        <row r="29">
          <cell r="Q29" t="str">
            <v>MAHINDRA</v>
          </cell>
        </row>
        <row r="29">
          <cell r="X29" t="str">
            <v>SINTO</v>
          </cell>
        </row>
        <row r="30">
          <cell r="J30" t="str">
            <v>FRONX</v>
          </cell>
        </row>
        <row r="30">
          <cell r="L30" t="str">
            <v>ANANDA KRISHNAN P A</v>
          </cell>
          <cell r="M30" t="str">
            <v>SMITHIN P S</v>
          </cell>
          <cell r="N30" t="str">
            <v>KAIPAMANGALAM</v>
          </cell>
          <cell r="O30" t="str">
            <v>STUDIO</v>
          </cell>
        </row>
        <row r="30">
          <cell r="Q30" t="str">
            <v>SBI</v>
          </cell>
        </row>
        <row r="30">
          <cell r="X30" t="str">
            <v>JINEESH</v>
          </cell>
        </row>
        <row r="31">
          <cell r="J31" t="str">
            <v>GRAND VITARA</v>
          </cell>
        </row>
        <row r="31">
          <cell r="L31" t="str">
            <v>LANEESH A S</v>
          </cell>
          <cell r="M31" t="str">
            <v>MANU SASI</v>
          </cell>
          <cell r="N31" t="str">
            <v>EDAPPALLY</v>
          </cell>
          <cell r="O31" t="str">
            <v>ARENA</v>
          </cell>
        </row>
        <row r="31">
          <cell r="Q31" t="str">
            <v>IOB</v>
          </cell>
        </row>
        <row r="31">
          <cell r="X31" t="str">
            <v>SIVAPRASAD</v>
          </cell>
        </row>
        <row r="32">
          <cell r="J32" t="str">
            <v>BALENO</v>
          </cell>
        </row>
        <row r="32">
          <cell r="L32" t="str">
            <v>FAIZAL K N</v>
          </cell>
          <cell r="M32" t="str">
            <v>REJIM GEORGE</v>
          </cell>
          <cell r="N32" t="str">
            <v>FORTKOCHI</v>
          </cell>
          <cell r="O32" t="str">
            <v>ARENA</v>
          </cell>
        </row>
        <row r="32">
          <cell r="Q32" t="str">
            <v>BOB</v>
          </cell>
        </row>
        <row r="32">
          <cell r="X32" t="str">
            <v>SIVAPRASAD</v>
          </cell>
        </row>
        <row r="33">
          <cell r="J33" t="str">
            <v>Ignis</v>
          </cell>
        </row>
        <row r="33">
          <cell r="L33" t="str">
            <v>VISHNU P V</v>
          </cell>
          <cell r="M33" t="str">
            <v>GEORGE KUTTAN JOY</v>
          </cell>
          <cell r="N33" t="str">
            <v>NEXA COCHIN</v>
          </cell>
          <cell r="O33" t="str">
            <v>NEXA COCHIN</v>
          </cell>
        </row>
        <row r="33">
          <cell r="Q33" t="str">
            <v>SBI</v>
          </cell>
        </row>
        <row r="33">
          <cell r="X33" t="str">
            <v>WILSON</v>
          </cell>
        </row>
        <row r="34">
          <cell r="J34" t="str">
            <v>FRONX</v>
          </cell>
        </row>
        <row r="34">
          <cell r="L34" t="str">
            <v>AMAL P U</v>
          </cell>
          <cell r="M34" t="str">
            <v>ARUN K G</v>
          </cell>
          <cell r="N34" t="str">
            <v>NEXA COCHIN</v>
          </cell>
          <cell r="O34" t="str">
            <v>NEXA COCHIN</v>
          </cell>
        </row>
        <row r="34">
          <cell r="Q34" t="str">
            <v>SBI</v>
          </cell>
        </row>
        <row r="34">
          <cell r="X34" t="str">
            <v>WILSON</v>
          </cell>
        </row>
        <row r="35">
          <cell r="J35" t="str">
            <v>BALENO</v>
          </cell>
        </row>
        <row r="35">
          <cell r="L35" t="str">
            <v>HUDSON FRANKLIN</v>
          </cell>
          <cell r="M35" t="str">
            <v>SANDEEP P</v>
          </cell>
          <cell r="N35" t="str">
            <v>NEXA COCHIN</v>
          </cell>
          <cell r="O35" t="str">
            <v>NEXA COCHIN</v>
          </cell>
        </row>
        <row r="35">
          <cell r="Q35" t="str">
            <v>IBL</v>
          </cell>
        </row>
        <row r="35">
          <cell r="X35" t="str">
            <v>WILSON</v>
          </cell>
        </row>
        <row r="36">
          <cell r="J36" t="str">
            <v>e VITARA</v>
          </cell>
        </row>
        <row r="36">
          <cell r="L36" t="str">
            <v>ANSILA P H</v>
          </cell>
          <cell r="M36" t="str">
            <v>ARUN K G</v>
          </cell>
          <cell r="N36" t="str">
            <v>NEXA COCHIN</v>
          </cell>
          <cell r="O36" t="str">
            <v>NEXA COCHIN</v>
          </cell>
        </row>
        <row r="36">
          <cell r="Q36" t="str">
            <v>DLB</v>
          </cell>
        </row>
        <row r="36">
          <cell r="X36" t="str">
            <v>WILSON</v>
          </cell>
        </row>
        <row r="37">
          <cell r="J37" t="str">
            <v>BALENO</v>
          </cell>
        </row>
        <row r="37">
          <cell r="L37" t="str">
            <v>ARUN VISWANATH</v>
          </cell>
          <cell r="M37" t="str">
            <v>SANDEEP P</v>
          </cell>
          <cell r="N37" t="str">
            <v>NEXA COCHIN</v>
          </cell>
          <cell r="O37" t="str">
            <v>NEXA COCHIN</v>
          </cell>
        </row>
        <row r="37">
          <cell r="Q37" t="str">
            <v>BOB</v>
          </cell>
        </row>
        <row r="37">
          <cell r="X37" t="str">
            <v>WILSON</v>
          </cell>
        </row>
        <row r="38">
          <cell r="J38" t="str">
            <v>GRAND VITARA</v>
          </cell>
        </row>
        <row r="38">
          <cell r="L38" t="str">
            <v>MIDHUN P M</v>
          </cell>
          <cell r="M38" t="str">
            <v>NAKUL P</v>
          </cell>
          <cell r="N38" t="str">
            <v>NEXA COCHIN</v>
          </cell>
          <cell r="O38" t="str">
            <v>NEXA COCHIN</v>
          </cell>
        </row>
        <row r="38">
          <cell r="Q38" t="str">
            <v>HDFC</v>
          </cell>
        </row>
        <row r="38">
          <cell r="X38" t="str">
            <v>WILSON</v>
          </cell>
        </row>
        <row r="39">
          <cell r="J39" t="str">
            <v>BALENO</v>
          </cell>
        </row>
        <row r="39">
          <cell r="L39" t="str">
            <v>VINAY T V</v>
          </cell>
          <cell r="M39" t="str">
            <v>RATISH K R</v>
          </cell>
          <cell r="N39" t="str">
            <v>KADAVANTHRA</v>
          </cell>
          <cell r="O39" t="str">
            <v>ARENA</v>
          </cell>
        </row>
        <row r="39">
          <cell r="Q39" t="str">
            <v>BOM</v>
          </cell>
        </row>
        <row r="39">
          <cell r="X39" t="str">
            <v>SALMAN</v>
          </cell>
        </row>
        <row r="40">
          <cell r="J40" t="str">
            <v>Ignis</v>
          </cell>
        </row>
        <row r="40">
          <cell r="L40" t="str">
            <v>ELDHO SONNY</v>
          </cell>
          <cell r="M40" t="str">
            <v>ARUN K G</v>
          </cell>
          <cell r="N40" t="str">
            <v>NEXA COCHIN</v>
          </cell>
          <cell r="O40" t="str">
            <v>NEXA COCHIN</v>
          </cell>
        </row>
        <row r="40">
          <cell r="Q40" t="str">
            <v>IBL</v>
          </cell>
        </row>
        <row r="40">
          <cell r="X40" t="str">
            <v>WILSON</v>
          </cell>
        </row>
        <row r="41">
          <cell r="J41" t="str">
            <v>BALENO</v>
          </cell>
        </row>
        <row r="41">
          <cell r="L41" t="str">
            <v>VISHNU P V</v>
          </cell>
          <cell r="M41" t="str">
            <v>GEORGE KUTTAN JOY</v>
          </cell>
          <cell r="N41" t="str">
            <v>NEXA COCHIN</v>
          </cell>
          <cell r="O41" t="str">
            <v>NEXA COCHIN</v>
          </cell>
        </row>
        <row r="41">
          <cell r="Q41" t="str">
            <v>UCO</v>
          </cell>
        </row>
        <row r="41">
          <cell r="X41" t="str">
            <v>WILSON</v>
          </cell>
        </row>
        <row r="42">
          <cell r="J42" t="str">
            <v>FRONX</v>
          </cell>
        </row>
        <row r="42">
          <cell r="L42" t="str">
            <v>ABHILASH A M</v>
          </cell>
          <cell r="M42" t="str">
            <v>NAKUL P</v>
          </cell>
          <cell r="N42" t="str">
            <v>NEXA COCHIN</v>
          </cell>
          <cell r="O42" t="str">
            <v>NEXA COCHIN</v>
          </cell>
        </row>
        <row r="42">
          <cell r="Q42" t="str">
            <v>CASH</v>
          </cell>
        </row>
        <row r="42">
          <cell r="X42" t="str">
            <v>WILSON</v>
          </cell>
        </row>
        <row r="43">
          <cell r="J43" t="str">
            <v>BALENO</v>
          </cell>
        </row>
        <row r="43">
          <cell r="L43" t="str">
            <v>SREENATH R PRABHU</v>
          </cell>
          <cell r="M43" t="str">
            <v>NOUFAL T A</v>
          </cell>
          <cell r="N43" t="str">
            <v>EDAPPALLY</v>
          </cell>
          <cell r="O43" t="str">
            <v>ARENA</v>
          </cell>
        </row>
        <row r="43">
          <cell r="Q43" t="str">
            <v>BOM</v>
          </cell>
        </row>
        <row r="43">
          <cell r="X43" t="str">
            <v>SIVAPRASAD</v>
          </cell>
        </row>
        <row r="44">
          <cell r="J44" t="str">
            <v>BALENO</v>
          </cell>
        </row>
        <row r="44">
          <cell r="L44" t="str">
            <v>SANJAY</v>
          </cell>
          <cell r="M44" t="str">
            <v>SIVAPRAKASH K S</v>
          </cell>
          <cell r="N44" t="str">
            <v>THRISSUR</v>
          </cell>
          <cell r="O44" t="str">
            <v>ARENA</v>
          </cell>
        </row>
        <row r="44">
          <cell r="Q44" t="str">
            <v>SIB</v>
          </cell>
        </row>
        <row r="44">
          <cell r="X44" t="str">
            <v>SINTO</v>
          </cell>
        </row>
        <row r="45">
          <cell r="J45" t="str">
            <v>FRONX</v>
          </cell>
        </row>
        <row r="45">
          <cell r="L45" t="str">
            <v>AJAY MOHAN K</v>
          </cell>
          <cell r="M45" t="str">
            <v>RAHUL P R</v>
          </cell>
          <cell r="N45" t="str">
            <v>NEXA COCHIN</v>
          </cell>
          <cell r="O45" t="str">
            <v>NEXA COCHIN</v>
          </cell>
        </row>
        <row r="45">
          <cell r="Q45" t="str">
            <v>UBI</v>
          </cell>
        </row>
        <row r="45">
          <cell r="X45" t="str">
            <v>WILSON</v>
          </cell>
        </row>
        <row r="46">
          <cell r="J46" t="str">
            <v>BALENO</v>
          </cell>
        </row>
        <row r="46">
          <cell r="L46" t="str">
            <v>VISHNU P V</v>
          </cell>
          <cell r="M46" t="str">
            <v>GEORGE KUTTAN JOY</v>
          </cell>
          <cell r="N46" t="str">
            <v>NEXA COCHIN</v>
          </cell>
          <cell r="O46" t="str">
            <v>NEXA COCHIN</v>
          </cell>
        </row>
        <row r="46">
          <cell r="Q46" t="str">
            <v>IBL</v>
          </cell>
        </row>
        <row r="46">
          <cell r="X46" t="str">
            <v>WILSON</v>
          </cell>
        </row>
        <row r="47">
          <cell r="J47" t="str">
            <v>FRONX</v>
          </cell>
        </row>
        <row r="47">
          <cell r="L47" t="str">
            <v>NISSAR M A</v>
          </cell>
          <cell r="M47" t="str">
            <v>RAHUL P R</v>
          </cell>
          <cell r="N47" t="str">
            <v>NEXA COCHIN</v>
          </cell>
          <cell r="O47" t="str">
            <v>NEXA COCHIN</v>
          </cell>
        </row>
        <row r="47">
          <cell r="Q47" t="str">
            <v>FBL</v>
          </cell>
        </row>
        <row r="47">
          <cell r="X47" t="str">
            <v>WILSON</v>
          </cell>
        </row>
        <row r="48">
          <cell r="J48" t="str">
            <v>BALENO</v>
          </cell>
        </row>
        <row r="48">
          <cell r="L48" t="str">
            <v>MIDHUN P M</v>
          </cell>
          <cell r="M48" t="str">
            <v>NAKUL P</v>
          </cell>
          <cell r="N48" t="str">
            <v>NEXA COCHIN</v>
          </cell>
          <cell r="O48" t="str">
            <v>NEXA COCHIN</v>
          </cell>
        </row>
        <row r="48">
          <cell r="Q48" t="str">
            <v>HDFC</v>
          </cell>
        </row>
        <row r="48">
          <cell r="X48" t="str">
            <v>WILSON</v>
          </cell>
        </row>
        <row r="49">
          <cell r="J49" t="str">
            <v>JIMNY</v>
          </cell>
        </row>
        <row r="49">
          <cell r="L49" t="str">
            <v>LANEESH A S</v>
          </cell>
          <cell r="M49" t="str">
            <v>MANU SASI</v>
          </cell>
          <cell r="N49" t="str">
            <v>EDAPPALLY</v>
          </cell>
          <cell r="O49" t="str">
            <v>ARENA</v>
          </cell>
        </row>
        <row r="49">
          <cell r="Q49" t="str">
            <v>SBI</v>
          </cell>
        </row>
        <row r="49">
          <cell r="X49" t="str">
            <v>SIVAPRASAD</v>
          </cell>
        </row>
        <row r="50">
          <cell r="J50" t="str">
            <v>GRAND VITARA</v>
          </cell>
        </row>
        <row r="50">
          <cell r="L50" t="str">
            <v>AKSHAY RENJAN</v>
          </cell>
          <cell r="M50" t="str">
            <v>ELDHO A JACOB</v>
          </cell>
          <cell r="N50" t="str">
            <v>ANGAMALY</v>
          </cell>
          <cell r="O50" t="str">
            <v>ARENA</v>
          </cell>
        </row>
        <row r="50">
          <cell r="Q50" t="str">
            <v>SIB</v>
          </cell>
        </row>
        <row r="50">
          <cell r="X50" t="str">
            <v>SALMAN</v>
          </cell>
        </row>
        <row r="51">
          <cell r="J51" t="str">
            <v>Ignis</v>
          </cell>
        </row>
        <row r="51">
          <cell r="L51" t="str">
            <v>HYKES</v>
          </cell>
          <cell r="M51" t="str">
            <v>GEORGE KUTTAN JOY</v>
          </cell>
          <cell r="N51" t="str">
            <v>NEXA COCHIN</v>
          </cell>
          <cell r="O51" t="str">
            <v>NEXA COCHIN</v>
          </cell>
        </row>
        <row r="51">
          <cell r="Q51" t="str">
            <v>CASH</v>
          </cell>
        </row>
        <row r="51">
          <cell r="X51" t="str">
            <v>WILSON</v>
          </cell>
        </row>
        <row r="52">
          <cell r="J52" t="str">
            <v>BALENO</v>
          </cell>
        </row>
        <row r="52">
          <cell r="L52" t="str">
            <v>AARJI</v>
          </cell>
          <cell r="M52" t="str">
            <v>SHEMEER A K</v>
          </cell>
          <cell r="N52" t="str">
            <v>EDAPPALLY</v>
          </cell>
          <cell r="O52" t="str">
            <v>ARENA</v>
          </cell>
        </row>
        <row r="52">
          <cell r="Q52" t="str">
            <v>BAJAJ</v>
          </cell>
        </row>
        <row r="52">
          <cell r="X52" t="str">
            <v>SIVAPRASAD</v>
          </cell>
        </row>
        <row r="53">
          <cell r="J53" t="str">
            <v>FRONX</v>
          </cell>
        </row>
        <row r="53">
          <cell r="L53" t="str">
            <v>NEJIL</v>
          </cell>
          <cell r="M53" t="str">
            <v>BINOY RAJ</v>
          </cell>
          <cell r="N53" t="str">
            <v>KODUNGALLUR</v>
          </cell>
          <cell r="O53" t="str">
            <v>STUDIO</v>
          </cell>
        </row>
        <row r="53">
          <cell r="Q53" t="str">
            <v>BAJAJ</v>
          </cell>
        </row>
        <row r="53">
          <cell r="X53" t="str">
            <v>JINEESH</v>
          </cell>
        </row>
        <row r="54">
          <cell r="J54" t="str">
            <v>BALENO</v>
          </cell>
        </row>
        <row r="54">
          <cell r="L54" t="str">
            <v>ANVAR SADATH</v>
          </cell>
          <cell r="M54" t="str">
            <v>RIJITH</v>
          </cell>
          <cell r="N54" t="str">
            <v>STUDIO KDLR</v>
          </cell>
          <cell r="O54" t="str">
            <v>STUDIO</v>
          </cell>
        </row>
        <row r="54">
          <cell r="Q54" t="str">
            <v>HDFC</v>
          </cell>
        </row>
        <row r="54">
          <cell r="X54" t="str">
            <v>JINEESH</v>
          </cell>
        </row>
        <row r="55">
          <cell r="J55" t="str">
            <v>FRONX</v>
          </cell>
        </row>
        <row r="55">
          <cell r="L55" t="str">
            <v>NIDHIN K U</v>
          </cell>
          <cell r="M55" t="str">
            <v>SACHIN</v>
          </cell>
          <cell r="N55" t="str">
            <v>KODUNGALLUR</v>
          </cell>
          <cell r="O55" t="str">
            <v>STUDIO</v>
          </cell>
        </row>
        <row r="55">
          <cell r="Q55" t="str">
            <v>FBL</v>
          </cell>
        </row>
        <row r="55">
          <cell r="X55" t="str">
            <v>JINEESH</v>
          </cell>
        </row>
        <row r="56">
          <cell r="J56" t="str">
            <v>GRAND VITARA</v>
          </cell>
        </row>
        <row r="56">
          <cell r="L56" t="str">
            <v>GAYATHRI SANAL</v>
          </cell>
          <cell r="M56" t="str">
            <v>GEORGE KUTTAN JOY</v>
          </cell>
          <cell r="N56" t="str">
            <v>NEXA COCHIN</v>
          </cell>
          <cell r="O56" t="str">
            <v>NEXA COCHIN</v>
          </cell>
        </row>
        <row r="56">
          <cell r="Q56" t="str">
            <v>CASH</v>
          </cell>
        </row>
        <row r="56">
          <cell r="X56" t="str">
            <v>WILSON</v>
          </cell>
        </row>
        <row r="57">
          <cell r="J57" t="str">
            <v>BALENO</v>
          </cell>
        </row>
        <row r="57">
          <cell r="L57" t="str">
            <v>ELSON JACOB</v>
          </cell>
          <cell r="M57" t="str">
            <v>ANAND K V</v>
          </cell>
          <cell r="N57" t="str">
            <v>KOLENCHERY</v>
          </cell>
          <cell r="O57" t="str">
            <v>ARENA</v>
          </cell>
        </row>
        <row r="57">
          <cell r="Q57" t="str">
            <v>CANARA</v>
          </cell>
        </row>
        <row r="57">
          <cell r="X57" t="str">
            <v>AMAL</v>
          </cell>
        </row>
        <row r="58">
          <cell r="J58" t="str">
            <v>BALENO</v>
          </cell>
        </row>
        <row r="58">
          <cell r="L58" t="str">
            <v>ABHIRAMI T J</v>
          </cell>
          <cell r="M58" t="str">
            <v>NAKUL P</v>
          </cell>
          <cell r="N58" t="str">
            <v>NEXA COCHIN</v>
          </cell>
          <cell r="O58" t="str">
            <v>NEXA COCHIN</v>
          </cell>
        </row>
        <row r="58">
          <cell r="Q58" t="str">
            <v>HDFC</v>
          </cell>
        </row>
        <row r="58">
          <cell r="X58" t="str">
            <v>WILSON</v>
          </cell>
        </row>
        <row r="59">
          <cell r="J59" t="str">
            <v>BALENO</v>
          </cell>
        </row>
        <row r="59">
          <cell r="L59" t="str">
            <v>ANSAR V I</v>
          </cell>
          <cell r="M59" t="str">
            <v>RAHUL P R</v>
          </cell>
          <cell r="N59" t="str">
            <v>NEXA COCHIN</v>
          </cell>
          <cell r="O59" t="str">
            <v>NEXA COCHIN</v>
          </cell>
        </row>
        <row r="59">
          <cell r="Q59" t="str">
            <v>UCO</v>
          </cell>
        </row>
        <row r="59">
          <cell r="X59" t="str">
            <v>WILSON</v>
          </cell>
        </row>
        <row r="60">
          <cell r="J60" t="str">
            <v>BALENO</v>
          </cell>
        </row>
        <row r="60">
          <cell r="L60" t="str">
            <v>ANSAR V I</v>
          </cell>
          <cell r="M60" t="str">
            <v>RAHUL P R</v>
          </cell>
          <cell r="N60" t="str">
            <v>NEXA COCHIN</v>
          </cell>
          <cell r="O60" t="str">
            <v>NEXA COCHIN</v>
          </cell>
        </row>
        <row r="60">
          <cell r="Q60" t="str">
            <v>UCO</v>
          </cell>
        </row>
        <row r="60">
          <cell r="X60" t="str">
            <v>WILSON</v>
          </cell>
        </row>
        <row r="61">
          <cell r="J61" t="str">
            <v>Ignis</v>
          </cell>
        </row>
        <row r="61">
          <cell r="L61" t="str">
            <v>MANIL C MOHAN</v>
          </cell>
          <cell r="M61" t="str">
            <v>NAKUL P</v>
          </cell>
          <cell r="N61" t="str">
            <v>NEXA COCHIN</v>
          </cell>
          <cell r="O61" t="str">
            <v>NEXA COCHIN</v>
          </cell>
        </row>
        <row r="61">
          <cell r="Q61" t="str">
            <v>CASH</v>
          </cell>
        </row>
        <row r="61">
          <cell r="X61" t="str">
            <v>WILSON</v>
          </cell>
        </row>
        <row r="62">
          <cell r="J62" t="str">
            <v>BALENO</v>
          </cell>
        </row>
        <row r="62">
          <cell r="L62" t="str">
            <v>MANIL C MOHAN</v>
          </cell>
          <cell r="M62" t="str">
            <v>NAKUL P</v>
          </cell>
          <cell r="N62" t="str">
            <v>NEXA COCHIN</v>
          </cell>
          <cell r="O62" t="str">
            <v>NEXA COCHIN</v>
          </cell>
        </row>
        <row r="62">
          <cell r="Q62" t="str">
            <v>CASH</v>
          </cell>
        </row>
        <row r="62">
          <cell r="X62" t="str">
            <v>WILSON</v>
          </cell>
        </row>
        <row r="63">
          <cell r="J63" t="str">
            <v>BALENO</v>
          </cell>
        </row>
        <row r="63">
          <cell r="L63" t="str">
            <v>JOSEPH GEORGE</v>
          </cell>
          <cell r="M63" t="str">
            <v>NAKUL P</v>
          </cell>
          <cell r="N63" t="str">
            <v>NEXA COCHIN</v>
          </cell>
          <cell r="O63" t="str">
            <v>NEXA COCHIN</v>
          </cell>
        </row>
        <row r="63">
          <cell r="Q63" t="str">
            <v>UCO</v>
          </cell>
        </row>
        <row r="63">
          <cell r="X63" t="str">
            <v>WILSON</v>
          </cell>
        </row>
        <row r="64">
          <cell r="J64" t="str">
            <v>Ignis</v>
          </cell>
        </row>
        <row r="64">
          <cell r="L64" t="str">
            <v>ARUN VISWANATH</v>
          </cell>
          <cell r="M64" t="str">
            <v>SANDEEP P</v>
          </cell>
          <cell r="N64" t="str">
            <v>NEXA COCHIN</v>
          </cell>
          <cell r="O64" t="str">
            <v>NEXA COCHIN</v>
          </cell>
        </row>
        <row r="64">
          <cell r="Q64" t="str">
            <v>CASH</v>
          </cell>
        </row>
        <row r="64">
          <cell r="X64" t="str">
            <v>WILSON</v>
          </cell>
        </row>
        <row r="65">
          <cell r="J65" t="str">
            <v>BALENO</v>
          </cell>
        </row>
        <row r="65">
          <cell r="L65" t="str">
            <v>AMAL K SAJU</v>
          </cell>
          <cell r="M65" t="str">
            <v>ANAND K V</v>
          </cell>
          <cell r="N65" t="str">
            <v>KOLENCHERY</v>
          </cell>
          <cell r="O65" t="str">
            <v>ARENA</v>
          </cell>
        </row>
        <row r="65">
          <cell r="Q65" t="str">
            <v>CASH</v>
          </cell>
        </row>
        <row r="65">
          <cell r="X65" t="str">
            <v>AMAL</v>
          </cell>
        </row>
        <row r="66">
          <cell r="J66" t="str">
            <v>BALENO</v>
          </cell>
        </row>
        <row r="66">
          <cell r="L66" t="str">
            <v>SUDHEESH</v>
          </cell>
          <cell r="M66" t="str">
            <v>SIVAPRAKASH K S</v>
          </cell>
          <cell r="N66" t="str">
            <v>THRISSUR</v>
          </cell>
          <cell r="O66" t="str">
            <v>ARENA</v>
          </cell>
        </row>
        <row r="66">
          <cell r="Q66" t="str">
            <v>IBL</v>
          </cell>
        </row>
        <row r="66">
          <cell r="X66" t="str">
            <v>SINTO</v>
          </cell>
        </row>
        <row r="67">
          <cell r="J67" t="str">
            <v>Ignis</v>
          </cell>
        </row>
        <row r="67">
          <cell r="L67" t="str">
            <v>MUHAMMED USMAN</v>
          </cell>
          <cell r="M67" t="str">
            <v>GEORGE KUTTAN JOY</v>
          </cell>
          <cell r="N67" t="str">
            <v>NEXA COCHIN</v>
          </cell>
          <cell r="O67" t="str">
            <v>NEXA COCHIN</v>
          </cell>
        </row>
        <row r="67">
          <cell r="Q67" t="str">
            <v>BOB</v>
          </cell>
        </row>
        <row r="67">
          <cell r="X67" t="str">
            <v>WILSON</v>
          </cell>
        </row>
        <row r="68">
          <cell r="J68" t="str">
            <v>BALENO</v>
          </cell>
        </row>
        <row r="68">
          <cell r="L68" t="str">
            <v>MUHAMMED USMAN</v>
          </cell>
          <cell r="M68" t="str">
            <v>GEORGE KUTTAN JOY</v>
          </cell>
          <cell r="N68" t="str">
            <v>NEXA COCHIN</v>
          </cell>
          <cell r="O68" t="str">
            <v>NEXA COCHIN</v>
          </cell>
        </row>
        <row r="68">
          <cell r="Q68" t="str">
            <v>HDFC</v>
          </cell>
        </row>
        <row r="68">
          <cell r="X68" t="str">
            <v>WILSON</v>
          </cell>
        </row>
        <row r="69">
          <cell r="J69" t="str">
            <v>BALENO</v>
          </cell>
        </row>
        <row r="69">
          <cell r="L69" t="str">
            <v>JAYAKRISHNAN K V</v>
          </cell>
          <cell r="M69" t="str">
            <v>BINOY RAJ</v>
          </cell>
          <cell r="N69" t="str">
            <v>KODUNGALLUR</v>
          </cell>
          <cell r="O69" t="str">
            <v>STUDIO</v>
          </cell>
        </row>
        <row r="69">
          <cell r="Q69" t="str">
            <v>CASH</v>
          </cell>
        </row>
        <row r="69">
          <cell r="X69" t="str">
            <v>JINEESH</v>
          </cell>
        </row>
        <row r="70">
          <cell r="J70" t="str">
            <v>JIMNY</v>
          </cell>
        </row>
        <row r="70">
          <cell r="L70" t="str">
            <v>ANSILA P H</v>
          </cell>
          <cell r="M70" t="str">
            <v>ARUN K G</v>
          </cell>
          <cell r="N70" t="str">
            <v>NEXA COCHIN</v>
          </cell>
          <cell r="O70" t="str">
            <v>NEXA COCHIN</v>
          </cell>
        </row>
        <row r="70">
          <cell r="Q70" t="str">
            <v>SHRIRAM</v>
          </cell>
        </row>
        <row r="70">
          <cell r="X70" t="str">
            <v>WILSON</v>
          </cell>
        </row>
        <row r="71">
          <cell r="J71" t="str">
            <v>BALENO</v>
          </cell>
        </row>
        <row r="71">
          <cell r="L71" t="str">
            <v>ANSILA P H</v>
          </cell>
          <cell r="M71" t="str">
            <v>ARUN K G</v>
          </cell>
          <cell r="N71" t="str">
            <v>NEXA COCHIN</v>
          </cell>
          <cell r="O71" t="str">
            <v>NEXA COCHIN</v>
          </cell>
        </row>
        <row r="71">
          <cell r="Q71" t="str">
            <v>CASH</v>
          </cell>
        </row>
        <row r="71">
          <cell r="X71" t="str">
            <v>WILSON</v>
          </cell>
        </row>
        <row r="72">
          <cell r="J72" t="str">
            <v>BALENO</v>
          </cell>
        </row>
        <row r="72">
          <cell r="L72" t="str">
            <v>ELDHO SONNY</v>
          </cell>
          <cell r="M72" t="str">
            <v>ARUN K G</v>
          </cell>
          <cell r="N72" t="str">
            <v>NEXA COCHIN</v>
          </cell>
          <cell r="O72" t="str">
            <v>NEXA COCHIN</v>
          </cell>
        </row>
        <row r="72">
          <cell r="Q72" t="str">
            <v>SBI</v>
          </cell>
        </row>
        <row r="72">
          <cell r="X72" t="str">
            <v>WILSON</v>
          </cell>
        </row>
        <row r="73">
          <cell r="J73" t="str">
            <v>FRONX</v>
          </cell>
        </row>
        <row r="73">
          <cell r="L73" t="str">
            <v>ARUN VISWANATH</v>
          </cell>
          <cell r="M73" t="str">
            <v>SANDEEP P</v>
          </cell>
          <cell r="N73" t="str">
            <v>NEXA COCHIN</v>
          </cell>
          <cell r="O73" t="str">
            <v>NEXA COCHIN</v>
          </cell>
        </row>
        <row r="73">
          <cell r="Q73" t="str">
            <v>SBI</v>
          </cell>
        </row>
        <row r="73">
          <cell r="X73" t="str">
            <v>WILSON</v>
          </cell>
        </row>
        <row r="74">
          <cell r="J74" t="str">
            <v>FRONX</v>
          </cell>
        </row>
        <row r="74">
          <cell r="L74" t="str">
            <v>JERRIN ROY</v>
          </cell>
          <cell r="M74" t="str">
            <v>PRANOOB V NAIR</v>
          </cell>
          <cell r="N74" t="str">
            <v>TRIPPUNITHURA</v>
          </cell>
          <cell r="O74" t="str">
            <v>ARENA</v>
          </cell>
        </row>
        <row r="74">
          <cell r="Q74" t="str">
            <v>CASH</v>
          </cell>
        </row>
        <row r="74">
          <cell r="X74" t="str">
            <v>SIVAPRASAD</v>
          </cell>
        </row>
        <row r="75">
          <cell r="J75" t="str">
            <v>BALENO</v>
          </cell>
        </row>
        <row r="75">
          <cell r="L75" t="str">
            <v>GAYATHRI SANAL</v>
          </cell>
          <cell r="M75" t="str">
            <v>GEORGE KUTTAN JOY</v>
          </cell>
          <cell r="N75" t="str">
            <v>NEXA COCHIN</v>
          </cell>
          <cell r="O75" t="str">
            <v>NEXA COCHIN</v>
          </cell>
        </row>
        <row r="75">
          <cell r="Q75" t="str">
            <v>CASH</v>
          </cell>
        </row>
        <row r="75">
          <cell r="X75" t="str">
            <v>WILSON</v>
          </cell>
        </row>
        <row r="76">
          <cell r="J76" t="str">
            <v>BALENO</v>
          </cell>
        </row>
        <row r="76">
          <cell r="L76" t="str">
            <v>MUHAMMED USMAN</v>
          </cell>
          <cell r="M76" t="str">
            <v>GEORGE KUTTAN JOY</v>
          </cell>
          <cell r="N76" t="str">
            <v>NEXA COCHIN</v>
          </cell>
          <cell r="O76" t="str">
            <v>NEXA COCHIN</v>
          </cell>
        </row>
        <row r="76">
          <cell r="Q76" t="str">
            <v>BOB</v>
          </cell>
        </row>
        <row r="76">
          <cell r="X76" t="str">
            <v>WILSON</v>
          </cell>
        </row>
        <row r="77">
          <cell r="J77" t="str">
            <v>BALENO</v>
          </cell>
        </row>
        <row r="77">
          <cell r="L77" t="str">
            <v>BIJO JOY</v>
          </cell>
          <cell r="M77" t="str">
            <v>SIJO VARGHESE GEORGE</v>
          </cell>
          <cell r="N77" t="str">
            <v>PERUMBAVOOR</v>
          </cell>
          <cell r="O77" t="str">
            <v>ARENA</v>
          </cell>
        </row>
        <row r="77">
          <cell r="Q77" t="str">
            <v>BAJAJ</v>
          </cell>
        </row>
        <row r="77">
          <cell r="X77" t="str">
            <v>SALMAN</v>
          </cell>
        </row>
        <row r="78">
          <cell r="J78" t="str">
            <v>BALENO</v>
          </cell>
        </row>
        <row r="78">
          <cell r="L78" t="str">
            <v>JERRIN ROY</v>
          </cell>
          <cell r="M78" t="str">
            <v>PRANOOB V NAIR</v>
          </cell>
          <cell r="N78" t="str">
            <v>TRIPPUNITHURA</v>
          </cell>
          <cell r="O78" t="str">
            <v>ARENA</v>
          </cell>
        </row>
        <row r="78">
          <cell r="Q78" t="str">
            <v>BOB</v>
          </cell>
        </row>
        <row r="78">
          <cell r="X78" t="str">
            <v>SIVAPRASAD</v>
          </cell>
        </row>
        <row r="79">
          <cell r="J79" t="str">
            <v>FRONX</v>
          </cell>
        </row>
        <row r="79">
          <cell r="L79" t="str">
            <v>VISHNU RAJU</v>
          </cell>
          <cell r="M79" t="str">
            <v>SIJO VARGHESE GEORGE</v>
          </cell>
          <cell r="N79" t="str">
            <v>PERUMBAVOOR</v>
          </cell>
          <cell r="O79" t="str">
            <v>ARENA</v>
          </cell>
        </row>
        <row r="79">
          <cell r="Q79" t="str">
            <v>ICICI</v>
          </cell>
        </row>
        <row r="79">
          <cell r="X79" t="str">
            <v>SALMAN</v>
          </cell>
        </row>
        <row r="80">
          <cell r="J80" t="str">
            <v>FRONX</v>
          </cell>
        </row>
        <row r="80">
          <cell r="L80" t="str">
            <v>NYGIL GEORGE</v>
          </cell>
          <cell r="M80" t="str">
            <v>SIJO VARGHESE GEORGE</v>
          </cell>
          <cell r="N80" t="str">
            <v>PERUMBAVOOR</v>
          </cell>
          <cell r="O80" t="str">
            <v>ARENA</v>
          </cell>
        </row>
        <row r="80">
          <cell r="Q80" t="str">
            <v>CASH</v>
          </cell>
        </row>
        <row r="80">
          <cell r="X80" t="str">
            <v>SALMAN</v>
          </cell>
        </row>
        <row r="81">
          <cell r="J81" t="str">
            <v>BALENO</v>
          </cell>
        </row>
        <row r="81">
          <cell r="L81" t="str">
            <v>ARVIND SANTHOSH</v>
          </cell>
          <cell r="M81" t="str">
            <v>SANDEEP P</v>
          </cell>
          <cell r="N81" t="str">
            <v>NEXA COCHIN</v>
          </cell>
          <cell r="O81" t="str">
            <v>NEXA COCHIN</v>
          </cell>
        </row>
        <row r="81">
          <cell r="Q81" t="str">
            <v>FBL</v>
          </cell>
        </row>
        <row r="81">
          <cell r="X81" t="str">
            <v>WILSON</v>
          </cell>
        </row>
        <row r="82">
          <cell r="J82" t="str">
            <v>BALENO</v>
          </cell>
        </row>
        <row r="82">
          <cell r="L82" t="str">
            <v>DIVYARAJ C B</v>
          </cell>
          <cell r="M82" t="str">
            <v>SACHIN</v>
          </cell>
          <cell r="N82" t="str">
            <v>KODUNGALLUR</v>
          </cell>
          <cell r="O82" t="str">
            <v>STUDIO</v>
          </cell>
        </row>
        <row r="82">
          <cell r="Q82" t="str">
            <v>BAJAJ</v>
          </cell>
        </row>
        <row r="82">
          <cell r="X82" t="str">
            <v>JINEESH</v>
          </cell>
        </row>
        <row r="83">
          <cell r="J83" t="str">
            <v>BALENO</v>
          </cell>
        </row>
        <row r="83">
          <cell r="L83" t="str">
            <v>ANVAR SADATH</v>
          </cell>
          <cell r="M83" t="str">
            <v>RIJITH</v>
          </cell>
          <cell r="N83" t="str">
            <v>STUDIO KDLR</v>
          </cell>
          <cell r="O83" t="str">
            <v>STUDIO</v>
          </cell>
        </row>
        <row r="83">
          <cell r="Q83" t="str">
            <v>SFL</v>
          </cell>
        </row>
        <row r="83">
          <cell r="X83" t="str">
            <v>JINEESH</v>
          </cell>
        </row>
        <row r="84">
          <cell r="J84" t="str">
            <v>BALENO</v>
          </cell>
        </row>
        <row r="84">
          <cell r="L84" t="str">
            <v>KRISHNARAJ</v>
          </cell>
          <cell r="M84" t="str">
            <v>SACHIN</v>
          </cell>
          <cell r="N84" t="str">
            <v>KODUNGALLUR</v>
          </cell>
          <cell r="O84" t="str">
            <v>STUDIO</v>
          </cell>
        </row>
        <row r="84">
          <cell r="Q84" t="str">
            <v>BOI</v>
          </cell>
        </row>
        <row r="84">
          <cell r="X84" t="str">
            <v>JINEESH</v>
          </cell>
        </row>
        <row r="85">
          <cell r="J85" t="str">
            <v>BALENO</v>
          </cell>
        </row>
        <row r="85">
          <cell r="L85" t="str">
            <v>RAGIL N R</v>
          </cell>
          <cell r="M85" t="str">
            <v>VIBIN I B</v>
          </cell>
          <cell r="N85" t="str">
            <v>KAIPAMANGALAM</v>
          </cell>
          <cell r="O85" t="str">
            <v>STUDIO</v>
          </cell>
        </row>
        <row r="85">
          <cell r="Q85" t="str">
            <v>SIB</v>
          </cell>
        </row>
        <row r="85">
          <cell r="X85" t="str">
            <v>JINEESH</v>
          </cell>
        </row>
        <row r="86">
          <cell r="J86" t="str">
            <v>BALENO</v>
          </cell>
        </row>
        <row r="86">
          <cell r="L86" t="str">
            <v>SALAS JUDE</v>
          </cell>
          <cell r="M86" t="str">
            <v>NOUFAL T A</v>
          </cell>
          <cell r="N86" t="str">
            <v>EDAPPALLY</v>
          </cell>
          <cell r="O86" t="str">
            <v>ARENA</v>
          </cell>
        </row>
        <row r="86">
          <cell r="Q86" t="str">
            <v>KOTAK</v>
          </cell>
        </row>
        <row r="86">
          <cell r="X86" t="str">
            <v>SIVAPRASAD</v>
          </cell>
        </row>
        <row r="87">
          <cell r="J87" t="str">
            <v>GRAND VITARA</v>
          </cell>
        </row>
        <row r="87">
          <cell r="L87" t="str">
            <v>PRAVEEN KUMAR B</v>
          </cell>
          <cell r="M87" t="str">
            <v>ELDHO A JACOB</v>
          </cell>
          <cell r="N87" t="str">
            <v>ANGAMALY</v>
          </cell>
          <cell r="O87" t="str">
            <v>ARENA</v>
          </cell>
        </row>
        <row r="87">
          <cell r="Q87" t="str">
            <v>KGB</v>
          </cell>
        </row>
        <row r="87">
          <cell r="X87" t="str">
            <v>SALMAN</v>
          </cell>
        </row>
        <row r="88">
          <cell r="J88" t="str">
            <v>GRAND VITARA</v>
          </cell>
        </row>
        <row r="88">
          <cell r="L88" t="str">
            <v>ELDHO SONNY</v>
          </cell>
          <cell r="M88" t="str">
            <v>ARUN K G</v>
          </cell>
          <cell r="N88" t="str">
            <v>NEXA COCHIN</v>
          </cell>
          <cell r="O88" t="str">
            <v>NEXA COCHIN</v>
          </cell>
        </row>
        <row r="88">
          <cell r="Q88" t="str">
            <v>PNB</v>
          </cell>
        </row>
        <row r="88">
          <cell r="X88" t="str">
            <v>WILSON</v>
          </cell>
        </row>
        <row r="89">
          <cell r="J89" t="str">
            <v>FRONX</v>
          </cell>
        </row>
        <row r="89">
          <cell r="L89" t="str">
            <v>MOHAMMED RIFIN</v>
          </cell>
          <cell r="M89" t="str">
            <v>SANDEEP P</v>
          </cell>
          <cell r="N89" t="str">
            <v>NEXA COCHIN</v>
          </cell>
          <cell r="O89" t="str">
            <v>NEXA COCHIN</v>
          </cell>
        </row>
        <row r="89">
          <cell r="Q89" t="str">
            <v>BOB</v>
          </cell>
        </row>
        <row r="89">
          <cell r="X89" t="str">
            <v>WILSON</v>
          </cell>
        </row>
        <row r="90">
          <cell r="J90" t="str">
            <v>BALENO</v>
          </cell>
        </row>
        <row r="90">
          <cell r="L90" t="str">
            <v>AMITH JACOB</v>
          </cell>
          <cell r="M90" t="str">
            <v>ANAND K V</v>
          </cell>
          <cell r="N90" t="str">
            <v>KOLENCHERY</v>
          </cell>
          <cell r="O90" t="str">
            <v>ARENA</v>
          </cell>
        </row>
        <row r="90">
          <cell r="Q90" t="str">
            <v>BAJAJ</v>
          </cell>
        </row>
        <row r="90">
          <cell r="X90" t="str">
            <v>AMAL</v>
          </cell>
        </row>
        <row r="91">
          <cell r="J91" t="str">
            <v>BALENO</v>
          </cell>
        </row>
        <row r="91">
          <cell r="L91" t="str">
            <v>ABHIRAMI T J</v>
          </cell>
          <cell r="M91" t="str">
            <v>NAKUL P</v>
          </cell>
          <cell r="N91" t="str">
            <v>NEXA COCHIN</v>
          </cell>
          <cell r="O91" t="str">
            <v>NEXA COCHIN</v>
          </cell>
        </row>
        <row r="91">
          <cell r="Q91" t="str">
            <v>SBI</v>
          </cell>
        </row>
        <row r="91">
          <cell r="X91" t="str">
            <v>WILSON</v>
          </cell>
        </row>
        <row r="92">
          <cell r="J92" t="str">
            <v>FRONX</v>
          </cell>
        </row>
        <row r="92">
          <cell r="L92" t="str">
            <v>SALEEL P A</v>
          </cell>
          <cell r="M92" t="str">
            <v>NAKUL P</v>
          </cell>
          <cell r="N92" t="str">
            <v>NEXA COCHIN</v>
          </cell>
          <cell r="O92" t="str">
            <v>NEXA COCHIN</v>
          </cell>
        </row>
        <row r="92">
          <cell r="Q92" t="str">
            <v>CASH</v>
          </cell>
        </row>
        <row r="92">
          <cell r="X92" t="str">
            <v>WILSON</v>
          </cell>
        </row>
        <row r="93">
          <cell r="J93" t="str">
            <v>BALENO</v>
          </cell>
        </row>
        <row r="93">
          <cell r="L93" t="str">
            <v>AMAL K SAJU</v>
          </cell>
          <cell r="M93" t="str">
            <v>ANAND K V</v>
          </cell>
          <cell r="N93" t="str">
            <v>KOLENCHERY</v>
          </cell>
          <cell r="O93" t="str">
            <v>ARENA</v>
          </cell>
        </row>
        <row r="93">
          <cell r="Q93" t="str">
            <v>BOB</v>
          </cell>
        </row>
        <row r="93">
          <cell r="X93" t="str">
            <v>AMAL</v>
          </cell>
        </row>
        <row r="94">
          <cell r="J94" t="str">
            <v>FRONX</v>
          </cell>
        </row>
        <row r="94">
          <cell r="L94" t="str">
            <v>ARVIND SANTHOSH</v>
          </cell>
          <cell r="M94" t="str">
            <v>SANDEEP P</v>
          </cell>
          <cell r="N94" t="str">
            <v>NEXA COCHIN</v>
          </cell>
          <cell r="O94" t="str">
            <v>NEXA COCHIN</v>
          </cell>
        </row>
        <row r="94">
          <cell r="Q94" t="str">
            <v>HDFC</v>
          </cell>
        </row>
        <row r="94">
          <cell r="X94" t="str">
            <v>WILSON</v>
          </cell>
        </row>
        <row r="95">
          <cell r="J95" t="str">
            <v>FRONX</v>
          </cell>
        </row>
        <row r="95">
          <cell r="L95" t="str">
            <v>AMAL RAJ ANTHONY</v>
          </cell>
          <cell r="M95" t="str">
            <v>RATISH K R</v>
          </cell>
          <cell r="N95" t="str">
            <v>KADAVANTHRA</v>
          </cell>
          <cell r="O95" t="str">
            <v>ARENA</v>
          </cell>
        </row>
        <row r="95">
          <cell r="Q95" t="str">
            <v>BOB</v>
          </cell>
        </row>
        <row r="95">
          <cell r="X95" t="str">
            <v>SALMAN</v>
          </cell>
        </row>
        <row r="96">
          <cell r="J96" t="str">
            <v>GRAND VITARA</v>
          </cell>
        </row>
        <row r="96">
          <cell r="L96" t="str">
            <v>SUJITH A R</v>
          </cell>
          <cell r="M96" t="str">
            <v>RIJITH</v>
          </cell>
          <cell r="N96" t="str">
            <v>STUDIO KDLR</v>
          </cell>
          <cell r="O96" t="str">
            <v>STUDIO</v>
          </cell>
        </row>
        <row r="96">
          <cell r="Q96" t="str">
            <v>FBL</v>
          </cell>
        </row>
        <row r="96">
          <cell r="X96" t="str">
            <v>JINEESH</v>
          </cell>
        </row>
        <row r="97">
          <cell r="J97" t="str">
            <v>GRAND VITARA</v>
          </cell>
        </row>
        <row r="97">
          <cell r="L97" t="str">
            <v>VISHNU P V</v>
          </cell>
          <cell r="M97" t="str">
            <v>GEORGE KUTTAN JOY</v>
          </cell>
          <cell r="N97" t="str">
            <v>NEXA COCHIN</v>
          </cell>
          <cell r="O97" t="str">
            <v>NEXA COCHIN</v>
          </cell>
        </row>
        <row r="97">
          <cell r="Q97" t="str">
            <v>CASH</v>
          </cell>
        </row>
        <row r="97">
          <cell r="X97" t="str">
            <v>WILSON</v>
          </cell>
        </row>
        <row r="98">
          <cell r="J98" t="str">
            <v>BALENO</v>
          </cell>
        </row>
        <row r="98">
          <cell r="L98" t="str">
            <v>ANZIL A M</v>
          </cell>
          <cell r="M98" t="str">
            <v>ARUN K G</v>
          </cell>
          <cell r="N98" t="str">
            <v>NEXA COCHIN</v>
          </cell>
          <cell r="O98" t="str">
            <v>NEXA COCHIN</v>
          </cell>
        </row>
        <row r="98">
          <cell r="Q98" t="str">
            <v>DLB</v>
          </cell>
        </row>
        <row r="98">
          <cell r="X98" t="str">
            <v>WILSON</v>
          </cell>
        </row>
        <row r="99">
          <cell r="J99" t="str">
            <v>BALENO</v>
          </cell>
        </row>
        <row r="99">
          <cell r="L99" t="str">
            <v>AKHIL P A</v>
          </cell>
          <cell r="M99" t="str">
            <v>RIJITH</v>
          </cell>
          <cell r="N99" t="str">
            <v>STUDIO KDLR</v>
          </cell>
          <cell r="O99" t="str">
            <v>STUDIO</v>
          </cell>
        </row>
        <row r="99">
          <cell r="Q99" t="str">
            <v>BOM</v>
          </cell>
        </row>
        <row r="99">
          <cell r="X99" t="str">
            <v>JINEESH</v>
          </cell>
        </row>
        <row r="100">
          <cell r="J100" t="str">
            <v>FRONX</v>
          </cell>
        </row>
        <row r="100">
          <cell r="L100" t="str">
            <v>UBAIS</v>
          </cell>
          <cell r="M100" t="str">
            <v>BINOY RAJ</v>
          </cell>
          <cell r="N100" t="str">
            <v>KODUNGALLUR</v>
          </cell>
          <cell r="O100" t="str">
            <v>STUDIO</v>
          </cell>
        </row>
        <row r="100">
          <cell r="Q100" t="str">
            <v>INDIAN</v>
          </cell>
        </row>
        <row r="100">
          <cell r="X100" t="str">
            <v>JINEESH</v>
          </cell>
        </row>
        <row r="101">
          <cell r="J101" t="str">
            <v>BALENO</v>
          </cell>
        </row>
        <row r="101">
          <cell r="L101" t="str">
            <v>NUMAN ZAINUDHEEN</v>
          </cell>
          <cell r="M101" t="str">
            <v>BHAGIESH</v>
          </cell>
          <cell r="N101" t="str">
            <v>CHAVAKKAD</v>
          </cell>
          <cell r="O101" t="str">
            <v>STUDIO</v>
          </cell>
        </row>
        <row r="101">
          <cell r="Q101" t="str">
            <v>SFL</v>
          </cell>
        </row>
        <row r="101">
          <cell r="X101" t="str">
            <v>SINTO</v>
          </cell>
        </row>
        <row r="102">
          <cell r="J102" t="str">
            <v>BALENO</v>
          </cell>
        </row>
        <row r="102">
          <cell r="L102" t="str">
            <v>LANEESH A S</v>
          </cell>
          <cell r="M102" t="str">
            <v>MANU SASI</v>
          </cell>
          <cell r="N102" t="str">
            <v>EDAPPALLY</v>
          </cell>
          <cell r="O102" t="str">
            <v>ARENA</v>
          </cell>
        </row>
        <row r="102">
          <cell r="Q102" t="str">
            <v>HDFC</v>
          </cell>
        </row>
        <row r="102">
          <cell r="X102" t="str">
            <v>SIVAPRASAD</v>
          </cell>
        </row>
        <row r="103">
          <cell r="J103" t="str">
            <v>BALENO</v>
          </cell>
        </row>
        <row r="103">
          <cell r="L103" t="str">
            <v>VISHNUDAS P D</v>
          </cell>
          <cell r="M103" t="str">
            <v>SIVAPRAKASH K S</v>
          </cell>
          <cell r="N103" t="str">
            <v>THRISSUR</v>
          </cell>
          <cell r="O103" t="str">
            <v>ARENA</v>
          </cell>
        </row>
        <row r="103">
          <cell r="Q103" t="str">
            <v>CHOLA</v>
          </cell>
        </row>
        <row r="103">
          <cell r="X103" t="str">
            <v>SINTO</v>
          </cell>
        </row>
        <row r="104">
          <cell r="J104" t="str">
            <v>FRONX</v>
          </cell>
        </row>
        <row r="104">
          <cell r="L104" t="str">
            <v>HYKES</v>
          </cell>
          <cell r="M104" t="str">
            <v>GEORGE KUTTAN JOY</v>
          </cell>
          <cell r="N104" t="str">
            <v>NEXA COCHIN</v>
          </cell>
          <cell r="O104" t="str">
            <v>NEXA COCHIN</v>
          </cell>
        </row>
        <row r="104">
          <cell r="Q104" t="str">
            <v>UBI</v>
          </cell>
        </row>
        <row r="104">
          <cell r="X104" t="str">
            <v>WILSON</v>
          </cell>
        </row>
        <row r="105">
          <cell r="J105" t="str">
            <v>BALENO</v>
          </cell>
        </row>
        <row r="105">
          <cell r="L105" t="str">
            <v>MOHAMMED RIFIN</v>
          </cell>
          <cell r="M105" t="str">
            <v>SANDEEP P</v>
          </cell>
          <cell r="N105" t="str">
            <v>NEXA COCHIN</v>
          </cell>
          <cell r="O105" t="str">
            <v>NEXA COCHIN</v>
          </cell>
        </row>
        <row r="105">
          <cell r="Q105" t="str">
            <v>UBI</v>
          </cell>
        </row>
        <row r="105">
          <cell r="X105" t="str">
            <v>WILSON</v>
          </cell>
        </row>
        <row r="106">
          <cell r="J106" t="str">
            <v>Ignis</v>
          </cell>
        </row>
        <row r="106">
          <cell r="L106" t="str">
            <v>HYKES</v>
          </cell>
          <cell r="M106" t="str">
            <v>GEORGE KUTTAN JOY</v>
          </cell>
          <cell r="N106" t="str">
            <v>NEXA COCHIN</v>
          </cell>
          <cell r="O106" t="str">
            <v>NEXA COCHIN</v>
          </cell>
        </row>
        <row r="106">
          <cell r="Q106" t="str">
            <v>CASH</v>
          </cell>
        </row>
        <row r="106">
          <cell r="X106" t="str">
            <v>WILSON</v>
          </cell>
        </row>
        <row r="107">
          <cell r="J107" t="str">
            <v>BALENO</v>
          </cell>
        </row>
        <row r="107">
          <cell r="L107" t="str">
            <v>RISHAD K S</v>
          </cell>
          <cell r="M107" t="str">
            <v>BHAGIESH</v>
          </cell>
          <cell r="N107" t="str">
            <v>CHAVAKKAD</v>
          </cell>
          <cell r="O107" t="str">
            <v>STUDIO</v>
          </cell>
        </row>
        <row r="107">
          <cell r="Q107" t="str">
            <v>CASH</v>
          </cell>
        </row>
        <row r="107">
          <cell r="X107" t="str">
            <v>SINTO</v>
          </cell>
        </row>
        <row r="108">
          <cell r="J108" t="str">
            <v>BALENO</v>
          </cell>
        </row>
        <row r="108">
          <cell r="L108" t="str">
            <v>RAGIL N R</v>
          </cell>
          <cell r="M108" t="str">
            <v>VIBIN I B</v>
          </cell>
          <cell r="N108" t="str">
            <v>KAIPAMANGALAM</v>
          </cell>
          <cell r="O108" t="str">
            <v>STUDIO</v>
          </cell>
        </row>
        <row r="108">
          <cell r="Q108" t="str">
            <v>CHOLA</v>
          </cell>
        </row>
        <row r="108">
          <cell r="X108" t="str">
            <v>JINEESH</v>
          </cell>
        </row>
        <row r="109">
          <cell r="J109" t="str">
            <v>GRAND VITARA</v>
          </cell>
        </row>
        <row r="109">
          <cell r="L109" t="str">
            <v>MANIL C MOHAN</v>
          </cell>
          <cell r="M109" t="str">
            <v>NAKUL P</v>
          </cell>
          <cell r="N109" t="str">
            <v>NEXA COCHIN</v>
          </cell>
          <cell r="O109" t="str">
            <v>NEXA COCHIN</v>
          </cell>
        </row>
        <row r="109">
          <cell r="Q109" t="str">
            <v>BOB</v>
          </cell>
        </row>
        <row r="109">
          <cell r="X109" t="str">
            <v>WILSON</v>
          </cell>
        </row>
        <row r="110">
          <cell r="J110" t="str">
            <v>XL6</v>
          </cell>
        </row>
        <row r="110">
          <cell r="L110" t="str">
            <v>MARY SHANI</v>
          </cell>
          <cell r="M110" t="str">
            <v>RAHUL P R</v>
          </cell>
          <cell r="N110" t="str">
            <v>NEXA COCHIN</v>
          </cell>
          <cell r="O110" t="str">
            <v>NEXA COCHIN</v>
          </cell>
        </row>
        <row r="110">
          <cell r="Q110" t="str">
            <v>CASH</v>
          </cell>
        </row>
        <row r="110">
          <cell r="X110" t="str">
            <v>WILSON</v>
          </cell>
        </row>
        <row r="111">
          <cell r="J111" t="str">
            <v>BALENO</v>
          </cell>
        </row>
        <row r="111">
          <cell r="L111" t="str">
            <v>AJAY MOHAN K</v>
          </cell>
          <cell r="M111" t="str">
            <v>RAHUL P R</v>
          </cell>
          <cell r="N111" t="str">
            <v>NEXA COCHIN</v>
          </cell>
          <cell r="O111" t="str">
            <v>NEXA COCHIN</v>
          </cell>
        </row>
        <row r="111">
          <cell r="Q111" t="str">
            <v>PNB</v>
          </cell>
        </row>
        <row r="111">
          <cell r="X111" t="str">
            <v>WILSON</v>
          </cell>
        </row>
        <row r="112">
          <cell r="J112" t="str">
            <v>BALENO</v>
          </cell>
        </row>
        <row r="112">
          <cell r="L112" t="str">
            <v>ARVIND SANTHOSH</v>
          </cell>
          <cell r="M112" t="str">
            <v>SANDEEP P</v>
          </cell>
          <cell r="N112" t="str">
            <v>NEXA COCHIN</v>
          </cell>
          <cell r="O112" t="str">
            <v>NEXA COCHIN</v>
          </cell>
        </row>
        <row r="112">
          <cell r="Q112" t="str">
            <v>INDIAN</v>
          </cell>
        </row>
        <row r="112">
          <cell r="X112" t="str">
            <v>WILSON</v>
          </cell>
        </row>
        <row r="113">
          <cell r="J113" t="str">
            <v>BALENO</v>
          </cell>
        </row>
        <row r="113">
          <cell r="L113" t="str">
            <v>VIPIN K G</v>
          </cell>
          <cell r="M113" t="str">
            <v>BINOY RAJ</v>
          </cell>
          <cell r="N113" t="str">
            <v>KODUNGALLUR</v>
          </cell>
          <cell r="O113" t="str">
            <v>STUDIO</v>
          </cell>
        </row>
        <row r="113">
          <cell r="Q113" t="str">
            <v>BAJAJ</v>
          </cell>
        </row>
        <row r="113">
          <cell r="X113" t="str">
            <v>JINEESH</v>
          </cell>
        </row>
        <row r="114">
          <cell r="J114" t="str">
            <v>BALENO</v>
          </cell>
        </row>
        <row r="114">
          <cell r="L114" t="str">
            <v>SAJITH V S</v>
          </cell>
          <cell r="M114" t="str">
            <v>VIBIN I B</v>
          </cell>
          <cell r="N114" t="str">
            <v>KAIPAMANGALAM</v>
          </cell>
          <cell r="O114" t="str">
            <v>STUDIO</v>
          </cell>
        </row>
        <row r="114">
          <cell r="Q114" t="str">
            <v>SBI</v>
          </cell>
        </row>
        <row r="114">
          <cell r="X114" t="str">
            <v>JINEESH</v>
          </cell>
        </row>
        <row r="115">
          <cell r="J115" t="str">
            <v>BALENO</v>
          </cell>
        </row>
        <row r="115">
          <cell r="L115" t="str">
            <v>ELSON JACOB</v>
          </cell>
          <cell r="M115" t="str">
            <v>ANAND K V</v>
          </cell>
          <cell r="N115" t="str">
            <v>KOLENCHERY</v>
          </cell>
          <cell r="O115" t="str">
            <v>ARENA</v>
          </cell>
        </row>
        <row r="115">
          <cell r="Q115" t="str">
            <v>SBI</v>
          </cell>
        </row>
        <row r="115">
          <cell r="X115" t="str">
            <v>AMAL</v>
          </cell>
        </row>
        <row r="116">
          <cell r="J116" t="str">
            <v>FRONX</v>
          </cell>
        </row>
        <row r="116">
          <cell r="L116" t="str">
            <v>VINAY T V</v>
          </cell>
          <cell r="M116" t="str">
            <v>RATISH K R</v>
          </cell>
          <cell r="N116" t="str">
            <v>KADAVANTHRA</v>
          </cell>
          <cell r="O116" t="str">
            <v>ARENA</v>
          </cell>
        </row>
        <row r="116">
          <cell r="Q116" t="str">
            <v>SIB</v>
          </cell>
        </row>
        <row r="116">
          <cell r="X116" t="str">
            <v>SALMAN</v>
          </cell>
        </row>
        <row r="117">
          <cell r="J117" t="str">
            <v>BALENO</v>
          </cell>
        </row>
        <row r="117">
          <cell r="L117" t="str">
            <v>SANOOP P S</v>
          </cell>
          <cell r="M117" t="str">
            <v>ARUN K G</v>
          </cell>
          <cell r="N117" t="str">
            <v>NEXA COCHIN</v>
          </cell>
          <cell r="O117" t="str">
            <v>NEXA COCHIN</v>
          </cell>
        </row>
        <row r="117">
          <cell r="Q117" t="str">
            <v>HDFC</v>
          </cell>
        </row>
        <row r="117">
          <cell r="X117" t="str">
            <v>WILSON</v>
          </cell>
        </row>
        <row r="118">
          <cell r="J118" t="str">
            <v>Ignis</v>
          </cell>
        </row>
        <row r="118">
          <cell r="L118" t="str">
            <v>ARVIND SANTHOSH</v>
          </cell>
          <cell r="M118" t="str">
            <v>SANDEEP P</v>
          </cell>
          <cell r="N118" t="str">
            <v>NEXA COCHIN</v>
          </cell>
          <cell r="O118" t="str">
            <v>NEXA COCHIN</v>
          </cell>
        </row>
        <row r="118">
          <cell r="Q118" t="str">
            <v>CASH</v>
          </cell>
        </row>
        <row r="118">
          <cell r="X118" t="str">
            <v>WILSON</v>
          </cell>
        </row>
        <row r="119">
          <cell r="J119" t="str">
            <v>BALENO</v>
          </cell>
        </row>
        <row r="119">
          <cell r="L119" t="str">
            <v>ELDHO SONNY</v>
          </cell>
          <cell r="M119" t="str">
            <v>ARUN K G</v>
          </cell>
          <cell r="N119" t="str">
            <v>NEXA COCHIN</v>
          </cell>
          <cell r="O119" t="str">
            <v>NEXA COCHIN</v>
          </cell>
        </row>
        <row r="119">
          <cell r="Q119" t="str">
            <v>IBL</v>
          </cell>
        </row>
        <row r="119">
          <cell r="X119" t="str">
            <v>WILSON</v>
          </cell>
        </row>
        <row r="120">
          <cell r="J120" t="str">
            <v>BALENO</v>
          </cell>
        </row>
        <row r="120">
          <cell r="L120" t="str">
            <v>ARVIND SANTHOSH</v>
          </cell>
          <cell r="M120" t="str">
            <v>SANDEEP P</v>
          </cell>
          <cell r="N120" t="str">
            <v>NEXA COCHIN</v>
          </cell>
          <cell r="O120" t="str">
            <v>NEXA COCHIN</v>
          </cell>
        </row>
        <row r="120">
          <cell r="Q120" t="str">
            <v>BOB</v>
          </cell>
        </row>
        <row r="120">
          <cell r="X120" t="str">
            <v>WILSON</v>
          </cell>
        </row>
        <row r="121">
          <cell r="J121" t="str">
            <v>Ignis</v>
          </cell>
        </row>
        <row r="121">
          <cell r="L121" t="str">
            <v>ELDHO SONNY</v>
          </cell>
          <cell r="M121" t="str">
            <v>ARUN K G</v>
          </cell>
          <cell r="N121" t="str">
            <v>NEXA COCHIN</v>
          </cell>
          <cell r="O121" t="str">
            <v>NEXA COCHIN</v>
          </cell>
        </row>
        <row r="121">
          <cell r="Q121" t="str">
            <v>SBI</v>
          </cell>
        </row>
        <row r="121">
          <cell r="X121" t="str">
            <v>WILSON</v>
          </cell>
        </row>
        <row r="122">
          <cell r="J122" t="str">
            <v>BALENO</v>
          </cell>
        </row>
        <row r="122">
          <cell r="L122" t="str">
            <v>AGHIL N U</v>
          </cell>
          <cell r="M122" t="str">
            <v>VIBIN I B</v>
          </cell>
          <cell r="N122" t="str">
            <v>KAIPAMANGALAM</v>
          </cell>
          <cell r="O122" t="str">
            <v>STUDIO</v>
          </cell>
        </row>
        <row r="122">
          <cell r="Q122" t="str">
            <v>BAJAJ</v>
          </cell>
        </row>
        <row r="122">
          <cell r="X122" t="str">
            <v>JINEESH</v>
          </cell>
        </row>
        <row r="123">
          <cell r="J123" t="str">
            <v>GRAND VITARA</v>
          </cell>
        </row>
        <row r="123">
          <cell r="L123" t="str">
            <v>ABHILASH A M</v>
          </cell>
          <cell r="M123" t="str">
            <v>NAKUL P</v>
          </cell>
          <cell r="N123" t="str">
            <v>NEXA COCHIN</v>
          </cell>
          <cell r="O123" t="str">
            <v>NEXA COCHIN</v>
          </cell>
        </row>
        <row r="123">
          <cell r="Q123" t="str">
            <v>KGB</v>
          </cell>
        </row>
        <row r="123">
          <cell r="X123" t="str">
            <v>WILSON</v>
          </cell>
        </row>
        <row r="124">
          <cell r="J124" t="str">
            <v>BALENO</v>
          </cell>
        </row>
        <row r="124">
          <cell r="L124" t="str">
            <v>ARUN VISWANATH</v>
          </cell>
          <cell r="M124" t="str">
            <v>SANDEEP P</v>
          </cell>
          <cell r="N124" t="str">
            <v>NEXA COCHIN</v>
          </cell>
          <cell r="O124" t="str">
            <v>NEXA COCHIN</v>
          </cell>
        </row>
        <row r="124">
          <cell r="Q124" t="str">
            <v>SBI</v>
          </cell>
        </row>
        <row r="124">
          <cell r="X124" t="str">
            <v>WILSON</v>
          </cell>
        </row>
        <row r="125">
          <cell r="J125" t="str">
            <v>FRONX</v>
          </cell>
        </row>
        <row r="125">
          <cell r="L125" t="str">
            <v>AJAY MOHAN K</v>
          </cell>
          <cell r="M125" t="str">
            <v>RAHUL P R</v>
          </cell>
          <cell r="N125" t="str">
            <v>NEXA COCHIN</v>
          </cell>
          <cell r="O125" t="str">
            <v>NEXA COCHIN</v>
          </cell>
        </row>
        <row r="125">
          <cell r="Q125" t="str">
            <v>HDFC</v>
          </cell>
        </row>
        <row r="125">
          <cell r="X125" t="str">
            <v>WILSON</v>
          </cell>
        </row>
        <row r="126">
          <cell r="J126" t="str">
            <v>BALENO</v>
          </cell>
        </row>
        <row r="126">
          <cell r="L126" t="str">
            <v>JOSEPH GEORGE</v>
          </cell>
          <cell r="M126" t="str">
            <v>NAKUL P</v>
          </cell>
          <cell r="N126" t="str">
            <v>NEXA COCHIN</v>
          </cell>
          <cell r="O126" t="str">
            <v>NEXA COCHIN</v>
          </cell>
        </row>
        <row r="126">
          <cell r="Q126" t="str">
            <v>BOI</v>
          </cell>
        </row>
        <row r="126">
          <cell r="X126" t="str">
            <v>WILSON</v>
          </cell>
        </row>
        <row r="127">
          <cell r="J127" t="str">
            <v>BALENO</v>
          </cell>
        </row>
        <row r="127">
          <cell r="L127" t="str">
            <v>MANIL C MOHAN</v>
          </cell>
          <cell r="M127" t="str">
            <v>NAKUL P</v>
          </cell>
          <cell r="N127" t="str">
            <v>NEXA COCHIN</v>
          </cell>
          <cell r="O127" t="str">
            <v>NEXA COCHIN</v>
          </cell>
        </row>
        <row r="127">
          <cell r="Q127" t="str">
            <v>CASH</v>
          </cell>
        </row>
        <row r="127">
          <cell r="X127" t="str">
            <v>WILSON</v>
          </cell>
        </row>
        <row r="128">
          <cell r="J128" t="str">
            <v>FRONX</v>
          </cell>
        </row>
        <row r="128">
          <cell r="L128" t="str">
            <v>NEJIL</v>
          </cell>
          <cell r="M128" t="str">
            <v>BINOY RAJ</v>
          </cell>
          <cell r="N128" t="str">
            <v>KODUNGALLUR</v>
          </cell>
          <cell r="O128" t="str">
            <v>STUDIO</v>
          </cell>
        </row>
        <row r="128">
          <cell r="Q128" t="str">
            <v>CASH</v>
          </cell>
        </row>
        <row r="128">
          <cell r="X128" t="str">
            <v>JINEESH</v>
          </cell>
        </row>
        <row r="129">
          <cell r="J129" t="str">
            <v>BALENO</v>
          </cell>
        </row>
        <row r="129">
          <cell r="L129" t="str">
            <v>ADWAITH</v>
          </cell>
          <cell r="M129" t="str">
            <v>VIBIN I B</v>
          </cell>
          <cell r="N129" t="str">
            <v>KAIPAMANGALAM</v>
          </cell>
          <cell r="O129" t="str">
            <v>STUDIO</v>
          </cell>
        </row>
        <row r="129">
          <cell r="Q129" t="str">
            <v>SHRIRAM</v>
          </cell>
        </row>
        <row r="129">
          <cell r="X129" t="str">
            <v>JINEESH</v>
          </cell>
        </row>
      </sheetData>
      <sheetData sheetId="4">
        <row r="1">
          <cell r="G1" t="str">
            <v>VEHICLE</v>
          </cell>
        </row>
        <row r="1">
          <cell r="I1" t="str">
            <v>FINANCE</v>
          </cell>
        </row>
        <row r="1">
          <cell r="K1" t="str">
            <v>RM</v>
          </cell>
          <cell r="L1" t="str">
            <v>SRM</v>
          </cell>
          <cell r="M1" t="str">
            <v>LOCATION</v>
          </cell>
        </row>
        <row r="1">
          <cell r="S1" t="str">
            <v>IH STATUS</v>
          </cell>
        </row>
        <row r="1">
          <cell r="U1" t="str">
            <v>FINANCE CO</v>
          </cell>
        </row>
        <row r="2">
          <cell r="G2" t="str">
            <v>BALENO</v>
          </cell>
        </row>
        <row r="2">
          <cell r="I2" t="str">
            <v>BOM</v>
          </cell>
        </row>
        <row r="2">
          <cell r="K2" t="str">
            <v>SREENATH R PRABHU</v>
          </cell>
          <cell r="L2" t="str">
            <v>NOUFAL T A</v>
          </cell>
          <cell r="M2" t="str">
            <v>EDAPPALLY</v>
          </cell>
        </row>
        <row r="2">
          <cell r="S2" t="str">
            <v>DISBURSED</v>
          </cell>
        </row>
        <row r="2">
          <cell r="U2" t="str">
            <v>SIVAPRASAD</v>
          </cell>
        </row>
        <row r="3">
          <cell r="G3" t="str">
            <v>GRAND VITARA</v>
          </cell>
        </row>
        <row r="3">
          <cell r="I3" t="str">
            <v>CANARA</v>
          </cell>
        </row>
        <row r="3">
          <cell r="K3" t="str">
            <v>ARVIND SANTHOSH</v>
          </cell>
          <cell r="L3" t="str">
            <v>SANDEEP P</v>
          </cell>
          <cell r="M3" t="str">
            <v>NEXA COCHIN</v>
          </cell>
        </row>
        <row r="3">
          <cell r="S3" t="str">
            <v>LOGIN</v>
          </cell>
        </row>
        <row r="3">
          <cell r="U3" t="str">
            <v>WILSON</v>
          </cell>
        </row>
        <row r="4">
          <cell r="G4" t="str">
            <v>IGNIS</v>
          </cell>
        </row>
        <row r="4">
          <cell r="I4" t="str">
            <v>BOM</v>
          </cell>
        </row>
        <row r="4">
          <cell r="K4" t="str">
            <v>SREENATH R PRABHU</v>
          </cell>
          <cell r="L4" t="str">
            <v>NOUFAL T A</v>
          </cell>
          <cell r="M4" t="str">
            <v>EDAPPALLY</v>
          </cell>
        </row>
        <row r="4">
          <cell r="S4" t="str">
            <v>LOGIN</v>
          </cell>
        </row>
        <row r="4">
          <cell r="U4" t="str">
            <v>SIVAPRASAD</v>
          </cell>
        </row>
        <row r="5">
          <cell r="G5" t="str">
            <v>BALENO</v>
          </cell>
        </row>
        <row r="5">
          <cell r="I5" t="str">
            <v>KOTAK</v>
          </cell>
        </row>
        <row r="5">
          <cell r="K5" t="str">
            <v>ARVIND SANTHOSH</v>
          </cell>
          <cell r="L5" t="str">
            <v>SANDEEP P</v>
          </cell>
          <cell r="M5" t="str">
            <v>NEXA COCHIN</v>
          </cell>
        </row>
        <row r="5">
          <cell r="S5" t="str">
            <v>DISBURSED</v>
          </cell>
        </row>
        <row r="5">
          <cell r="U5" t="str">
            <v>WILSON</v>
          </cell>
        </row>
        <row r="6">
          <cell r="G6" t="str">
            <v>IGNIS</v>
          </cell>
        </row>
        <row r="6">
          <cell r="I6" t="str">
            <v>SBI</v>
          </cell>
        </row>
        <row r="6">
          <cell r="K6" t="str">
            <v>VISHNU P V</v>
          </cell>
          <cell r="L6" t="str">
            <v>GEORGE KUTTAN JOY</v>
          </cell>
          <cell r="M6" t="str">
            <v>NEXA COCHIN</v>
          </cell>
        </row>
        <row r="6">
          <cell r="S6" t="str">
            <v>DISBURSED</v>
          </cell>
        </row>
        <row r="6">
          <cell r="U6" t="str">
            <v>WILSON</v>
          </cell>
        </row>
        <row r="7">
          <cell r="G7" t="str">
            <v>BALENO</v>
          </cell>
        </row>
        <row r="7">
          <cell r="I7" t="str">
            <v>BAJAJ</v>
          </cell>
        </row>
        <row r="7">
          <cell r="K7" t="str">
            <v>KRISHNARAJ</v>
          </cell>
          <cell r="L7" t="str">
            <v>SACHIN</v>
          </cell>
          <cell r="M7" t="str">
            <v>KODUNGALLUR</v>
          </cell>
        </row>
        <row r="7">
          <cell r="S7" t="str">
            <v>DISBURSED</v>
          </cell>
        </row>
        <row r="7">
          <cell r="U7" t="str">
            <v>JINEESH</v>
          </cell>
        </row>
        <row r="8">
          <cell r="G8" t="str">
            <v>FRONX</v>
          </cell>
        </row>
        <row r="8">
          <cell r="I8" t="str">
            <v>HDFC</v>
          </cell>
        </row>
        <row r="8">
          <cell r="K8" t="str">
            <v>SREENATH R PRABHU</v>
          </cell>
          <cell r="L8" t="str">
            <v>NOUFAL T A</v>
          </cell>
          <cell r="M8" t="str">
            <v>EDAPPALLY</v>
          </cell>
        </row>
        <row r="8">
          <cell r="S8" t="str">
            <v>LOGIN</v>
          </cell>
        </row>
        <row r="8">
          <cell r="U8" t="str">
            <v>SIVAPRASAD</v>
          </cell>
        </row>
        <row r="9">
          <cell r="G9" t="str">
            <v>BALENO</v>
          </cell>
        </row>
        <row r="9">
          <cell r="I9" t="str">
            <v>HDFC</v>
          </cell>
        </row>
        <row r="9">
          <cell r="K9" t="str">
            <v>ABHIRAMI T J</v>
          </cell>
          <cell r="L9" t="str">
            <v>NAKUL P</v>
          </cell>
          <cell r="M9" t="str">
            <v>NEXA COCHIN</v>
          </cell>
        </row>
        <row r="9">
          <cell r="S9" t="str">
            <v>DISBURSED</v>
          </cell>
        </row>
        <row r="9">
          <cell r="U9" t="str">
            <v>WILSON</v>
          </cell>
        </row>
        <row r="10">
          <cell r="G10" t="str">
            <v>BALENO</v>
          </cell>
        </row>
        <row r="10">
          <cell r="I10" t="str">
            <v>CBI</v>
          </cell>
        </row>
        <row r="10">
          <cell r="K10" t="str">
            <v>SALDATH M S</v>
          </cell>
          <cell r="L10" t="str">
            <v>RIJITH</v>
          </cell>
          <cell r="M10" t="str">
            <v>STUDIO KDLR</v>
          </cell>
        </row>
        <row r="10">
          <cell r="S10" t="str">
            <v>DISBURSED</v>
          </cell>
        </row>
        <row r="10">
          <cell r="U10" t="str">
            <v>JINEESH</v>
          </cell>
        </row>
        <row r="11">
          <cell r="G11" t="str">
            <v>IGNIS</v>
          </cell>
        </row>
        <row r="11">
          <cell r="I11" t="str">
            <v>SBI</v>
          </cell>
        </row>
        <row r="11">
          <cell r="K11" t="str">
            <v>ARVIND SANTHOSH</v>
          </cell>
          <cell r="L11" t="str">
            <v>SANDEEP P</v>
          </cell>
          <cell r="M11" t="str">
            <v>NEXA COCHIN</v>
          </cell>
        </row>
        <row r="11">
          <cell r="S11" t="str">
            <v>DISBURSED</v>
          </cell>
        </row>
        <row r="11">
          <cell r="U11" t="str">
            <v>WILSON</v>
          </cell>
        </row>
        <row r="12">
          <cell r="G12" t="str">
            <v>BALENO</v>
          </cell>
        </row>
        <row r="12">
          <cell r="I12" t="str">
            <v>SFL</v>
          </cell>
        </row>
        <row r="12">
          <cell r="K12" t="str">
            <v>NIKESHKRISHNA P S</v>
          </cell>
          <cell r="L12" t="str">
            <v>BINOY RAJ</v>
          </cell>
          <cell r="M12" t="str">
            <v>KODUNGALLUR</v>
          </cell>
        </row>
        <row r="12">
          <cell r="S12" t="str">
            <v>DISBURSED</v>
          </cell>
        </row>
        <row r="12">
          <cell r="U12" t="str">
            <v>JINEESH</v>
          </cell>
        </row>
        <row r="13">
          <cell r="G13" t="str">
            <v>JIMNY</v>
          </cell>
        </row>
        <row r="13">
          <cell r="I13" t="str">
            <v>ICICI</v>
          </cell>
        </row>
        <row r="13">
          <cell r="K13" t="str">
            <v>SARATH</v>
          </cell>
          <cell r="L13" t="str">
            <v>PRASANTH</v>
          </cell>
          <cell r="M13" t="str">
            <v>STUDIO KPLM</v>
          </cell>
        </row>
        <row r="13">
          <cell r="S13" t="str">
            <v>DISBURSED</v>
          </cell>
        </row>
        <row r="13">
          <cell r="U13" t="str">
            <v>JINEESH</v>
          </cell>
        </row>
        <row r="14">
          <cell r="G14" t="str">
            <v>FRONX</v>
          </cell>
        </row>
        <row r="14">
          <cell r="I14" t="str">
            <v>SBI</v>
          </cell>
        </row>
        <row r="14">
          <cell r="K14" t="str">
            <v>ANANDA KRISHNAN P A</v>
          </cell>
          <cell r="L14" t="str">
            <v>SMITHIN P S</v>
          </cell>
          <cell r="M14" t="str">
            <v>KAIPAMANGALAM</v>
          </cell>
        </row>
        <row r="14">
          <cell r="S14" t="str">
            <v>DISBURSED</v>
          </cell>
        </row>
        <row r="14">
          <cell r="U14" t="str">
            <v>JINEESH</v>
          </cell>
        </row>
        <row r="15">
          <cell r="G15" t="str">
            <v>XL6</v>
          </cell>
        </row>
        <row r="15">
          <cell r="I15" t="str">
            <v>BOB</v>
          </cell>
        </row>
        <row r="15">
          <cell r="K15" t="str">
            <v>HUDSON FRANKLIN</v>
          </cell>
          <cell r="L15" t="str">
            <v>SANDEEP P</v>
          </cell>
          <cell r="M15" t="str">
            <v>NEXA COCHIN</v>
          </cell>
        </row>
        <row r="15">
          <cell r="S15" t="str">
            <v>DISBURSED</v>
          </cell>
        </row>
        <row r="15">
          <cell r="U15" t="str">
            <v>WILSON</v>
          </cell>
        </row>
        <row r="16">
          <cell r="G16" t="str">
            <v>XL6</v>
          </cell>
        </row>
        <row r="16">
          <cell r="I16" t="str">
            <v>BOI</v>
          </cell>
        </row>
        <row r="16">
          <cell r="K16" t="str">
            <v>JINTO THOMAS</v>
          </cell>
          <cell r="L16" t="str">
            <v>SIJO VARGHESE GEORGE</v>
          </cell>
          <cell r="M16" t="str">
            <v>PERUMBAVOOR</v>
          </cell>
        </row>
        <row r="16">
          <cell r="S16" t="str">
            <v>DISBURSED</v>
          </cell>
        </row>
        <row r="16">
          <cell r="U16" t="str">
            <v>SALMAN</v>
          </cell>
        </row>
        <row r="17">
          <cell r="G17" t="str">
            <v>IGNIS</v>
          </cell>
        </row>
        <row r="17">
          <cell r="I17" t="str">
            <v>IBL</v>
          </cell>
        </row>
        <row r="17">
          <cell r="K17" t="str">
            <v>MUHAMMED USMAN</v>
          </cell>
          <cell r="L17" t="str">
            <v>GEORGE KUTTAN JOY</v>
          </cell>
          <cell r="M17" t="str">
            <v>NEXA COCHIN</v>
          </cell>
        </row>
        <row r="17">
          <cell r="S17" t="str">
            <v>DISBURSED</v>
          </cell>
        </row>
        <row r="17">
          <cell r="U17" t="str">
            <v>WILSON</v>
          </cell>
        </row>
        <row r="18">
          <cell r="G18" t="str">
            <v>BALENO</v>
          </cell>
        </row>
        <row r="18">
          <cell r="I18" t="str">
            <v>HDFC</v>
          </cell>
        </row>
        <row r="18">
          <cell r="K18" t="str">
            <v>ANZIL A M</v>
          </cell>
          <cell r="L18" t="str">
            <v>ARUN K G</v>
          </cell>
          <cell r="M18" t="str">
            <v>NEXA COCHIN</v>
          </cell>
        </row>
        <row r="18">
          <cell r="S18" t="str">
            <v>DISBURSED</v>
          </cell>
        </row>
        <row r="18">
          <cell r="U18" t="str">
            <v>WILSON</v>
          </cell>
        </row>
        <row r="19">
          <cell r="G19" t="str">
            <v>IGNIS</v>
          </cell>
        </row>
        <row r="19">
          <cell r="I19" t="str">
            <v>BOB</v>
          </cell>
        </row>
        <row r="19">
          <cell r="K19" t="str">
            <v>AMAL P U</v>
          </cell>
          <cell r="L19" t="str">
            <v>ARUN K G</v>
          </cell>
          <cell r="M19" t="str">
            <v>NEXA COCHIN</v>
          </cell>
        </row>
        <row r="19">
          <cell r="S19" t="str">
            <v>DISBURSED</v>
          </cell>
        </row>
        <row r="19">
          <cell r="U19" t="str">
            <v>WILSON</v>
          </cell>
        </row>
        <row r="20">
          <cell r="G20" t="str">
            <v>FRONX</v>
          </cell>
        </row>
        <row r="20">
          <cell r="I20" t="str">
            <v>SBI</v>
          </cell>
        </row>
        <row r="20">
          <cell r="K20" t="str">
            <v>AMAL P U</v>
          </cell>
          <cell r="L20" t="str">
            <v>ARUN K G</v>
          </cell>
          <cell r="M20" t="str">
            <v>NEXA COCHIN</v>
          </cell>
        </row>
        <row r="20">
          <cell r="S20" t="str">
            <v>DISBURSED</v>
          </cell>
        </row>
        <row r="20">
          <cell r="U20" t="str">
            <v>WILSON</v>
          </cell>
        </row>
        <row r="21">
          <cell r="G21" t="str">
            <v>IGNIS</v>
          </cell>
        </row>
        <row r="21">
          <cell r="I21" t="str">
            <v>HDFC</v>
          </cell>
        </row>
        <row r="21">
          <cell r="K21" t="str">
            <v>ANVAR SADATH</v>
          </cell>
          <cell r="L21" t="str">
            <v>RIJITH</v>
          </cell>
          <cell r="M21" t="str">
            <v>STUDIO KDLR</v>
          </cell>
        </row>
        <row r="21">
          <cell r="S21" t="str">
            <v>DISBURSED</v>
          </cell>
        </row>
        <row r="21">
          <cell r="U21" t="str">
            <v>JINEESH</v>
          </cell>
        </row>
        <row r="22">
          <cell r="G22" t="str">
            <v>BALENO</v>
          </cell>
        </row>
        <row r="22">
          <cell r="I22" t="str">
            <v>BOB</v>
          </cell>
        </row>
        <row r="22">
          <cell r="K22" t="str">
            <v>FAIZAL K N</v>
          </cell>
          <cell r="L22" t="str">
            <v>REJIM GEORGE</v>
          </cell>
          <cell r="M22" t="str">
            <v>FORTKOCHI</v>
          </cell>
        </row>
        <row r="22">
          <cell r="S22" t="str">
            <v>DISBURSED</v>
          </cell>
        </row>
        <row r="22">
          <cell r="U22" t="str">
            <v>SIVAPRASAD</v>
          </cell>
        </row>
        <row r="23">
          <cell r="G23" t="str">
            <v>BALENO</v>
          </cell>
        </row>
        <row r="23">
          <cell r="I23" t="str">
            <v>MAHINDRA</v>
          </cell>
        </row>
        <row r="23">
          <cell r="K23" t="str">
            <v>RISHAD K S</v>
          </cell>
          <cell r="L23" t="str">
            <v>BHAGIESH</v>
          </cell>
          <cell r="M23" t="str">
            <v>CHAVAKKAD</v>
          </cell>
        </row>
        <row r="23">
          <cell r="S23" t="str">
            <v>DISBURSED</v>
          </cell>
        </row>
        <row r="23">
          <cell r="U23" t="str">
            <v>SINTO</v>
          </cell>
        </row>
        <row r="24">
          <cell r="G24" t="str">
            <v>BALENO</v>
          </cell>
        </row>
        <row r="24">
          <cell r="I24" t="str">
            <v>CHOLA</v>
          </cell>
        </row>
        <row r="24">
          <cell r="K24" t="str">
            <v>RISHAD K S</v>
          </cell>
          <cell r="L24" t="str">
            <v>BHAGIESH</v>
          </cell>
          <cell r="M24" t="str">
            <v>CHAVAKKAD</v>
          </cell>
        </row>
        <row r="24">
          <cell r="S24" t="str">
            <v>DISBURSED</v>
          </cell>
        </row>
        <row r="24">
          <cell r="U24" t="str">
            <v>SINTO</v>
          </cell>
        </row>
        <row r="25">
          <cell r="G25" t="str">
            <v>BALENO</v>
          </cell>
        </row>
        <row r="25">
          <cell r="I25" t="str">
            <v>BOM</v>
          </cell>
        </row>
        <row r="25">
          <cell r="K25" t="str">
            <v>VINAY T V</v>
          </cell>
          <cell r="L25" t="str">
            <v>RATISH K R</v>
          </cell>
          <cell r="M25" t="str">
            <v>KADAVANTHRA</v>
          </cell>
        </row>
        <row r="25">
          <cell r="S25" t="str">
            <v>DISBURSED</v>
          </cell>
        </row>
        <row r="25">
          <cell r="U25" t="str">
            <v>SALMAN</v>
          </cell>
        </row>
        <row r="26">
          <cell r="G26" t="str">
            <v>BALENO</v>
          </cell>
        </row>
        <row r="26">
          <cell r="I26" t="str">
            <v>SIB</v>
          </cell>
        </row>
        <row r="26">
          <cell r="K26" t="str">
            <v>SANJAY</v>
          </cell>
          <cell r="L26" t="str">
            <v>SIVAPRAKASH K S</v>
          </cell>
          <cell r="M26" t="str">
            <v>THRISSUR</v>
          </cell>
        </row>
        <row r="26">
          <cell r="S26" t="str">
            <v>DISBURSED</v>
          </cell>
        </row>
        <row r="26">
          <cell r="U26" t="str">
            <v>SINTO</v>
          </cell>
        </row>
        <row r="27">
          <cell r="G27" t="str">
            <v>BALENO</v>
          </cell>
        </row>
        <row r="27">
          <cell r="I27" t="str">
            <v>ICICI</v>
          </cell>
        </row>
        <row r="27">
          <cell r="K27" t="str">
            <v>HUDSON FRANKLIN</v>
          </cell>
          <cell r="L27" t="str">
            <v>SANDEEP P</v>
          </cell>
          <cell r="M27" t="str">
            <v>NEXA COCHIN</v>
          </cell>
        </row>
        <row r="27">
          <cell r="S27" t="str">
            <v>DISBURSED</v>
          </cell>
        </row>
        <row r="27">
          <cell r="U27" t="str">
            <v>WILSON</v>
          </cell>
        </row>
        <row r="28">
          <cell r="G28" t="str">
            <v>GRAND VITARA</v>
          </cell>
        </row>
        <row r="28">
          <cell r="I28" t="str">
            <v>HDFC</v>
          </cell>
        </row>
        <row r="28">
          <cell r="K28" t="str">
            <v>MIDHUN P M</v>
          </cell>
          <cell r="L28" t="str">
            <v>NAKUL P</v>
          </cell>
          <cell r="M28" t="str">
            <v>NEXA COCHIN</v>
          </cell>
        </row>
        <row r="28">
          <cell r="S28" t="str">
            <v>DISBURSED</v>
          </cell>
        </row>
        <row r="28">
          <cell r="U28" t="str">
            <v>WILSON</v>
          </cell>
        </row>
        <row r="29">
          <cell r="G29" t="str">
            <v>BALENO</v>
          </cell>
        </row>
        <row r="29">
          <cell r="I29" t="str">
            <v>BOB</v>
          </cell>
        </row>
        <row r="29">
          <cell r="K29" t="str">
            <v>ARUN VISWANATH</v>
          </cell>
          <cell r="L29" t="str">
            <v>SANDEEP P</v>
          </cell>
          <cell r="M29" t="str">
            <v>NEXA COCHIN</v>
          </cell>
        </row>
        <row r="29">
          <cell r="S29" t="str">
            <v>DISBURSED</v>
          </cell>
        </row>
        <row r="29">
          <cell r="U29" t="str">
            <v>WILSON</v>
          </cell>
        </row>
        <row r="30">
          <cell r="G30" t="str">
            <v>BALENO</v>
          </cell>
        </row>
        <row r="30">
          <cell r="I30" t="str">
            <v>BOB</v>
          </cell>
        </row>
        <row r="30">
          <cell r="K30" t="str">
            <v>ABHILASH A M</v>
          </cell>
          <cell r="L30" t="str">
            <v>NAKUL P</v>
          </cell>
          <cell r="M30" t="str">
            <v>NEXA COCHIN</v>
          </cell>
        </row>
        <row r="30">
          <cell r="S30" t="str">
            <v>DISBURSED</v>
          </cell>
        </row>
        <row r="30">
          <cell r="U30" t="str">
            <v>WILSON</v>
          </cell>
        </row>
        <row r="31">
          <cell r="G31" t="str">
            <v>BALENO</v>
          </cell>
        </row>
        <row r="31">
          <cell r="I31" t="str">
            <v>IBL</v>
          </cell>
        </row>
        <row r="31">
          <cell r="K31" t="str">
            <v>SUDHEESH</v>
          </cell>
          <cell r="L31" t="str">
            <v>SIVAPRAKASH K S</v>
          </cell>
          <cell r="M31" t="str">
            <v>THRISSUR</v>
          </cell>
        </row>
        <row r="31">
          <cell r="S31" t="str">
            <v>DISBURSED</v>
          </cell>
        </row>
        <row r="31">
          <cell r="U31" t="str">
            <v>SINTO</v>
          </cell>
        </row>
        <row r="32">
          <cell r="G32" t="str">
            <v>BALENO</v>
          </cell>
        </row>
        <row r="32">
          <cell r="I32" t="str">
            <v>BAJAJ</v>
          </cell>
        </row>
        <row r="32">
          <cell r="K32" t="str">
            <v>AARJI</v>
          </cell>
          <cell r="L32" t="str">
            <v>SHEMEER A K</v>
          </cell>
          <cell r="M32" t="str">
            <v>EDAPPALLY</v>
          </cell>
        </row>
        <row r="32">
          <cell r="S32" t="str">
            <v>DISBURSED</v>
          </cell>
        </row>
        <row r="32">
          <cell r="U32" t="str">
            <v>SIVAPRASAD</v>
          </cell>
        </row>
        <row r="33">
          <cell r="G33" t="str">
            <v>JIMNY</v>
          </cell>
        </row>
        <row r="33">
          <cell r="I33" t="str">
            <v>SBI</v>
          </cell>
        </row>
        <row r="33">
          <cell r="K33" t="str">
            <v>LANEESH A S</v>
          </cell>
          <cell r="L33" t="str">
            <v>MANU SASI</v>
          </cell>
          <cell r="M33" t="str">
            <v>EDAPPALLY</v>
          </cell>
        </row>
        <row r="33">
          <cell r="S33" t="str">
            <v>DISBURSED</v>
          </cell>
        </row>
        <row r="33">
          <cell r="U33" t="str">
            <v>SIVAPRASAD</v>
          </cell>
        </row>
        <row r="34">
          <cell r="G34" t="str">
            <v>GRAND VITARA</v>
          </cell>
        </row>
        <row r="34">
          <cell r="I34" t="str">
            <v>SIB</v>
          </cell>
        </row>
        <row r="34">
          <cell r="K34" t="str">
            <v>AKSHAY RENJAN</v>
          </cell>
          <cell r="L34" t="str">
            <v>ELDHO A JACOB</v>
          </cell>
          <cell r="M34" t="str">
            <v>ANGAMALY</v>
          </cell>
        </row>
        <row r="34">
          <cell r="S34" t="str">
            <v>DISBURSED</v>
          </cell>
        </row>
        <row r="34">
          <cell r="U34" t="str">
            <v>SALMAN</v>
          </cell>
        </row>
        <row r="35">
          <cell r="G35" t="str">
            <v>IGNIS</v>
          </cell>
        </row>
        <row r="35">
          <cell r="I35" t="str">
            <v>SBI</v>
          </cell>
        </row>
        <row r="35">
          <cell r="K35" t="str">
            <v>MUHAMMED USMAN</v>
          </cell>
          <cell r="L35" t="str">
            <v>GEORGE KUTTAN JOY</v>
          </cell>
          <cell r="M35" t="str">
            <v>NEXA COCHIN</v>
          </cell>
        </row>
        <row r="35">
          <cell r="S35" t="str">
            <v>DISBURSED</v>
          </cell>
        </row>
        <row r="35">
          <cell r="U35" t="str">
            <v>WILSON</v>
          </cell>
        </row>
        <row r="36">
          <cell r="G36" t="str">
            <v>FRONX</v>
          </cell>
        </row>
        <row r="36">
          <cell r="I36" t="str">
            <v>UBI</v>
          </cell>
        </row>
        <row r="36">
          <cell r="K36" t="str">
            <v>ARUN VISWANATH</v>
          </cell>
          <cell r="L36" t="str">
            <v>SANDEEP P</v>
          </cell>
          <cell r="M36" t="str">
            <v>NEXA COCHIN</v>
          </cell>
        </row>
        <row r="36">
          <cell r="S36" t="str">
            <v>DISBURSED</v>
          </cell>
        </row>
        <row r="36">
          <cell r="U36" t="str">
            <v>WILSON</v>
          </cell>
        </row>
        <row r="37">
          <cell r="G37" t="str">
            <v>BALENO</v>
          </cell>
        </row>
        <row r="37">
          <cell r="I37" t="str">
            <v>BOB</v>
          </cell>
        </row>
        <row r="37">
          <cell r="K37" t="str">
            <v>MOHAMMED RIFIN</v>
          </cell>
          <cell r="L37" t="str">
            <v>SANDEEP P</v>
          </cell>
          <cell r="M37" t="str">
            <v>NEXA COCHIN</v>
          </cell>
        </row>
        <row r="37">
          <cell r="S37" t="str">
            <v>DISBURSED</v>
          </cell>
        </row>
        <row r="37">
          <cell r="U37" t="str">
            <v>WILSON</v>
          </cell>
        </row>
        <row r="38">
          <cell r="G38" t="str">
            <v>BALENO</v>
          </cell>
        </row>
        <row r="38">
          <cell r="I38" t="str">
            <v>BAJAJ</v>
          </cell>
        </row>
        <row r="38">
          <cell r="K38" t="str">
            <v>BIJO JOY</v>
          </cell>
          <cell r="L38" t="str">
            <v>SIJO VARGHESE GEORGE</v>
          </cell>
          <cell r="M38" t="str">
            <v>PERUMBAVOOR</v>
          </cell>
        </row>
        <row r="38">
          <cell r="S38" t="str">
            <v>DISBURSED</v>
          </cell>
        </row>
        <row r="38">
          <cell r="U38" t="str">
            <v>SALMAN</v>
          </cell>
        </row>
        <row r="39">
          <cell r="G39" t="str">
            <v>BALENO</v>
          </cell>
        </row>
        <row r="39">
          <cell r="I39" t="str">
            <v>BAJAJ</v>
          </cell>
        </row>
        <row r="39">
          <cell r="K39" t="str">
            <v>DIVYARAJ C B</v>
          </cell>
          <cell r="L39" t="str">
            <v>SACHIN</v>
          </cell>
          <cell r="M39" t="str">
            <v>KODUNGALLUR</v>
          </cell>
        </row>
        <row r="39">
          <cell r="S39" t="str">
            <v>DISBURSED</v>
          </cell>
        </row>
        <row r="39">
          <cell r="U39" t="str">
            <v>JINEESH</v>
          </cell>
        </row>
        <row r="40">
          <cell r="G40" t="str">
            <v>FRONX</v>
          </cell>
        </row>
        <row r="40">
          <cell r="I40" t="str">
            <v>SBI</v>
          </cell>
        </row>
        <row r="40">
          <cell r="K40" t="str">
            <v>ARUN VISWANATH</v>
          </cell>
          <cell r="L40" t="str">
            <v>SANDEEP P</v>
          </cell>
          <cell r="M40" t="str">
            <v>NEXA COCHIN</v>
          </cell>
        </row>
        <row r="40">
          <cell r="S40" t="str">
            <v>DISBURSED</v>
          </cell>
        </row>
        <row r="40">
          <cell r="U40" t="str">
            <v>WILSON</v>
          </cell>
        </row>
        <row r="41">
          <cell r="G41" t="str">
            <v>IGNIS</v>
          </cell>
        </row>
        <row r="41">
          <cell r="I41" t="str">
            <v>BOB</v>
          </cell>
        </row>
        <row r="41">
          <cell r="K41" t="str">
            <v>MUHAMMED USMAN</v>
          </cell>
          <cell r="L41" t="str">
            <v>GEORGE KUTTAN JOY</v>
          </cell>
          <cell r="M41" t="str">
            <v>NEXA COCHIN</v>
          </cell>
        </row>
        <row r="41">
          <cell r="S41" t="str">
            <v>DISBURSED</v>
          </cell>
        </row>
        <row r="41">
          <cell r="U41" t="str">
            <v>WILSON</v>
          </cell>
        </row>
        <row r="42">
          <cell r="G42" t="str">
            <v>IGNIS</v>
          </cell>
        </row>
        <row r="42">
          <cell r="I42" t="str">
            <v>CANARA</v>
          </cell>
        </row>
        <row r="42">
          <cell r="K42" t="str">
            <v>MANIL C MOHAN</v>
          </cell>
          <cell r="L42" t="str">
            <v>NAKUL P</v>
          </cell>
          <cell r="M42" t="str">
            <v>NEXA COCHIN</v>
          </cell>
        </row>
        <row r="42">
          <cell r="S42" t="str">
            <v>DISBURSED</v>
          </cell>
        </row>
        <row r="42">
          <cell r="U42" t="str">
            <v>WILSON</v>
          </cell>
        </row>
        <row r="43">
          <cell r="G43" t="str">
            <v>FRONX</v>
          </cell>
        </row>
        <row r="43">
          <cell r="I43" t="str">
            <v>BAJAJ</v>
          </cell>
        </row>
        <row r="43">
          <cell r="K43" t="str">
            <v>NEJIL</v>
          </cell>
          <cell r="L43" t="str">
            <v>BINOY RAJ</v>
          </cell>
          <cell r="M43" t="str">
            <v>KODUNGALLUR</v>
          </cell>
        </row>
        <row r="43">
          <cell r="S43" t="str">
            <v>DISBURSED</v>
          </cell>
        </row>
        <row r="43">
          <cell r="U43" t="str">
            <v>JINEESH</v>
          </cell>
        </row>
        <row r="44">
          <cell r="G44" t="str">
            <v>BALENO</v>
          </cell>
        </row>
        <row r="44">
          <cell r="I44" t="str">
            <v>CANARA</v>
          </cell>
        </row>
        <row r="44">
          <cell r="K44" t="str">
            <v>ELSON JACOB</v>
          </cell>
          <cell r="L44" t="str">
            <v>ANAND K V</v>
          </cell>
          <cell r="M44" t="str">
            <v>KOLENCHERY</v>
          </cell>
        </row>
        <row r="44">
          <cell r="S44" t="str">
            <v>DISBURSED</v>
          </cell>
        </row>
        <row r="44">
          <cell r="U44" t="str">
            <v>AMAL</v>
          </cell>
        </row>
        <row r="45">
          <cell r="G45" t="str">
            <v>GRAND VITARA</v>
          </cell>
        </row>
        <row r="45">
          <cell r="I45" t="str">
            <v>KGB</v>
          </cell>
        </row>
        <row r="45">
          <cell r="K45" t="str">
            <v>ABHILASH A M</v>
          </cell>
          <cell r="L45" t="str">
            <v>NAKUL P</v>
          </cell>
          <cell r="M45" t="str">
            <v>NEXA COCHIN</v>
          </cell>
        </row>
        <row r="45">
          <cell r="S45" t="str">
            <v>LOGIN</v>
          </cell>
        </row>
        <row r="45">
          <cell r="U45" t="str">
            <v>WILSON</v>
          </cell>
        </row>
        <row r="46">
          <cell r="G46" t="str">
            <v>FRONX</v>
          </cell>
        </row>
        <row r="46">
          <cell r="I46" t="str">
            <v>HDFC</v>
          </cell>
        </row>
        <row r="46">
          <cell r="K46" t="str">
            <v>HUDSON FRANKLIN</v>
          </cell>
          <cell r="L46" t="str">
            <v>SANDEEP P</v>
          </cell>
          <cell r="M46" t="str">
            <v>NEXA COCHIN</v>
          </cell>
        </row>
        <row r="46">
          <cell r="S46" t="str">
            <v>DISBURSED</v>
          </cell>
        </row>
        <row r="46">
          <cell r="U46" t="str">
            <v>WILSON</v>
          </cell>
        </row>
        <row r="47">
          <cell r="G47" t="str">
            <v>BALENO</v>
          </cell>
        </row>
        <row r="47">
          <cell r="I47" t="str">
            <v>BOB</v>
          </cell>
        </row>
        <row r="47">
          <cell r="K47" t="str">
            <v>ELDHO SONNY</v>
          </cell>
          <cell r="L47" t="str">
            <v>ARUN K G</v>
          </cell>
          <cell r="M47" t="str">
            <v>NEXA COCHIN</v>
          </cell>
        </row>
        <row r="47">
          <cell r="S47" t="str">
            <v>DISBURSED</v>
          </cell>
        </row>
        <row r="47">
          <cell r="U47" t="str">
            <v>WILSON</v>
          </cell>
        </row>
        <row r="48">
          <cell r="G48" t="str">
            <v>BALENO</v>
          </cell>
        </row>
        <row r="48">
          <cell r="I48" t="str">
            <v>SBI</v>
          </cell>
        </row>
        <row r="48">
          <cell r="K48" t="str">
            <v>ABHIRAMI T J</v>
          </cell>
          <cell r="L48" t="str">
            <v>NAKUL P</v>
          </cell>
          <cell r="M48" t="str">
            <v>NEXA COCHIN</v>
          </cell>
        </row>
        <row r="48">
          <cell r="S48" t="str">
            <v>DISBURSED</v>
          </cell>
        </row>
        <row r="48">
          <cell r="U48" t="str">
            <v>WILSON</v>
          </cell>
        </row>
        <row r="49">
          <cell r="G49" t="str">
            <v>BALENO</v>
          </cell>
        </row>
        <row r="49">
          <cell r="I49" t="str">
            <v>SFL</v>
          </cell>
        </row>
        <row r="49">
          <cell r="K49" t="str">
            <v>NUMAN ZAINUDHEEN</v>
          </cell>
          <cell r="L49" t="str">
            <v>BHAGIESH</v>
          </cell>
          <cell r="M49" t="str">
            <v>CHAVAKKAD</v>
          </cell>
        </row>
        <row r="49">
          <cell r="S49" t="str">
            <v>DISBURSED</v>
          </cell>
        </row>
        <row r="49">
          <cell r="U49" t="str">
            <v>SINTO</v>
          </cell>
        </row>
        <row r="50">
          <cell r="G50" t="str">
            <v>BALENO</v>
          </cell>
        </row>
        <row r="50">
          <cell r="I50" t="str">
            <v>SBI</v>
          </cell>
        </row>
        <row r="50">
          <cell r="K50" t="str">
            <v>SINIYYA P K</v>
          </cell>
          <cell r="L50" t="str">
            <v>ARUN K G</v>
          </cell>
          <cell r="M50" t="str">
            <v>NEXA COCHIN</v>
          </cell>
        </row>
        <row r="50">
          <cell r="S50" t="str">
            <v>DISBURSED</v>
          </cell>
        </row>
        <row r="50">
          <cell r="U50" t="str">
            <v>WILSON</v>
          </cell>
        </row>
        <row r="51">
          <cell r="G51" t="str">
            <v>IGNIS</v>
          </cell>
        </row>
        <row r="51">
          <cell r="I51" t="str">
            <v>IBL</v>
          </cell>
        </row>
        <row r="51">
          <cell r="K51" t="str">
            <v>ELDHO SONNY</v>
          </cell>
          <cell r="L51" t="str">
            <v>ARUN K G</v>
          </cell>
          <cell r="M51" t="str">
            <v>NEXA COCHIN</v>
          </cell>
        </row>
        <row r="51">
          <cell r="S51" t="str">
            <v>DISBURSED</v>
          </cell>
        </row>
        <row r="51">
          <cell r="U51" t="str">
            <v>WILSON</v>
          </cell>
        </row>
        <row r="52">
          <cell r="G52" t="str">
            <v>BALENO</v>
          </cell>
        </row>
        <row r="52">
          <cell r="I52" t="str">
            <v>HDFC</v>
          </cell>
        </row>
        <row r="52">
          <cell r="K52" t="str">
            <v>ANVAR SADATH</v>
          </cell>
          <cell r="L52" t="str">
            <v>RIJITH</v>
          </cell>
          <cell r="M52" t="str">
            <v>STUDIO KDLR</v>
          </cell>
        </row>
        <row r="52">
          <cell r="S52" t="str">
            <v>DISBURSED</v>
          </cell>
        </row>
        <row r="52">
          <cell r="U52" t="str">
            <v>JINEESH</v>
          </cell>
        </row>
        <row r="53">
          <cell r="G53" t="str">
            <v>GRAND VITARA</v>
          </cell>
        </row>
        <row r="53">
          <cell r="I53" t="str">
            <v>KGB</v>
          </cell>
        </row>
        <row r="53">
          <cell r="K53" t="str">
            <v>PRAVEEN KUMAR B</v>
          </cell>
          <cell r="L53" t="str">
            <v>ELDHO A JACOB</v>
          </cell>
          <cell r="M53" t="str">
            <v>ANGAMALY</v>
          </cell>
        </row>
        <row r="53">
          <cell r="S53" t="str">
            <v>DISBURSED</v>
          </cell>
        </row>
        <row r="53">
          <cell r="U53" t="str">
            <v>SALMAN</v>
          </cell>
        </row>
        <row r="54">
          <cell r="G54" t="str">
            <v>FRONX</v>
          </cell>
        </row>
        <row r="54">
          <cell r="I54" t="str">
            <v>HDFC</v>
          </cell>
        </row>
        <row r="54">
          <cell r="K54" t="str">
            <v>ELDHO SONNY</v>
          </cell>
          <cell r="L54" t="str">
            <v>ARUN K G</v>
          </cell>
          <cell r="M54" t="str">
            <v>NEXA COCHIN</v>
          </cell>
        </row>
        <row r="54">
          <cell r="S54" t="str">
            <v>DISBURSED</v>
          </cell>
        </row>
        <row r="54">
          <cell r="U54" t="str">
            <v>WILSON</v>
          </cell>
        </row>
        <row r="55">
          <cell r="G55" t="str">
            <v>BALENO</v>
          </cell>
        </row>
        <row r="55">
          <cell r="I55" t="str">
            <v>UCO</v>
          </cell>
        </row>
        <row r="55">
          <cell r="K55" t="str">
            <v>ANSAR V I</v>
          </cell>
          <cell r="L55" t="str">
            <v>RAHUL P R</v>
          </cell>
          <cell r="M55" t="str">
            <v>NEXA COCHIN</v>
          </cell>
        </row>
        <row r="55">
          <cell r="S55" t="str">
            <v>DISBURSED</v>
          </cell>
        </row>
        <row r="55">
          <cell r="U55" t="str">
            <v>WILSON</v>
          </cell>
        </row>
        <row r="56">
          <cell r="G56" t="str">
            <v>BALENO</v>
          </cell>
        </row>
        <row r="56">
          <cell r="I56" t="str">
            <v>BOI</v>
          </cell>
        </row>
        <row r="56">
          <cell r="K56" t="str">
            <v>KRISHNARAJ</v>
          </cell>
          <cell r="L56" t="str">
            <v>SACHIN</v>
          </cell>
          <cell r="M56" t="str">
            <v>KODUNGALLUR</v>
          </cell>
        </row>
        <row r="56">
          <cell r="S56" t="str">
            <v>DISBURSED</v>
          </cell>
        </row>
        <row r="56">
          <cell r="U56" t="str">
            <v>JINEESH</v>
          </cell>
        </row>
        <row r="57">
          <cell r="G57" t="str">
            <v>IGNIS</v>
          </cell>
        </row>
        <row r="57">
          <cell r="I57" t="str">
            <v>ICICI</v>
          </cell>
        </row>
        <row r="57">
          <cell r="K57" t="str">
            <v>HUDSON FRANKLIN</v>
          </cell>
          <cell r="L57" t="str">
            <v>SANDEEP P</v>
          </cell>
          <cell r="M57" t="str">
            <v>NEXA COCHIN</v>
          </cell>
        </row>
        <row r="57">
          <cell r="S57" t="str">
            <v>DISBURSED</v>
          </cell>
        </row>
        <row r="57">
          <cell r="U57" t="str">
            <v>WILSON</v>
          </cell>
        </row>
        <row r="58">
          <cell r="G58" t="str">
            <v>BALENO</v>
          </cell>
        </row>
        <row r="58">
          <cell r="I58" t="str">
            <v>SFL</v>
          </cell>
        </row>
        <row r="58">
          <cell r="K58" t="str">
            <v>ANVAR SADATH</v>
          </cell>
          <cell r="L58" t="str">
            <v>RIJITH</v>
          </cell>
          <cell r="M58" t="str">
            <v>STUDIO KDLR</v>
          </cell>
        </row>
        <row r="58">
          <cell r="S58" t="str">
            <v>DISBURSED</v>
          </cell>
        </row>
        <row r="58">
          <cell r="U58" t="str">
            <v>JINEESH</v>
          </cell>
        </row>
        <row r="59">
          <cell r="G59" t="str">
            <v>BALENO</v>
          </cell>
        </row>
        <row r="59">
          <cell r="I59" t="str">
            <v>BOB</v>
          </cell>
        </row>
        <row r="59">
          <cell r="K59" t="str">
            <v>AMAL K SAJU</v>
          </cell>
          <cell r="L59" t="str">
            <v>ANAND K V</v>
          </cell>
          <cell r="M59" t="str">
            <v>KOLENCHERY</v>
          </cell>
        </row>
        <row r="59">
          <cell r="S59" t="str">
            <v>DISBURSED</v>
          </cell>
        </row>
        <row r="59">
          <cell r="U59" t="str">
            <v>AMAL</v>
          </cell>
        </row>
        <row r="60">
          <cell r="G60" t="str">
            <v>BALENO</v>
          </cell>
        </row>
        <row r="60">
          <cell r="I60" t="str">
            <v>KOTAK</v>
          </cell>
        </row>
        <row r="60">
          <cell r="K60" t="str">
            <v>SALAS JUDE</v>
          </cell>
          <cell r="L60" t="str">
            <v>NOUFAL T A</v>
          </cell>
          <cell r="M60" t="str">
            <v>EDAPPALLY</v>
          </cell>
        </row>
        <row r="60">
          <cell r="S60" t="str">
            <v>DISBURSED</v>
          </cell>
        </row>
        <row r="60">
          <cell r="U60" t="str">
            <v>SIVAPRASAD</v>
          </cell>
        </row>
        <row r="61">
          <cell r="G61" t="str">
            <v>FRONX</v>
          </cell>
        </row>
        <row r="61">
          <cell r="I61" t="str">
            <v>BOB</v>
          </cell>
        </row>
        <row r="61">
          <cell r="K61" t="str">
            <v>AMAL RAJ ANTHONY</v>
          </cell>
          <cell r="L61" t="str">
            <v>RATISH K R</v>
          </cell>
          <cell r="M61" t="str">
            <v>KADAVANTHRA</v>
          </cell>
        </row>
        <row r="61">
          <cell r="S61" t="str">
            <v>DISBURSED</v>
          </cell>
        </row>
        <row r="61">
          <cell r="U61" t="str">
            <v>SALMAN</v>
          </cell>
        </row>
        <row r="62">
          <cell r="G62" t="str">
            <v>BALENO</v>
          </cell>
        </row>
        <row r="62">
          <cell r="I62" t="str">
            <v>IBL</v>
          </cell>
        </row>
        <row r="62">
          <cell r="K62" t="str">
            <v>VISHNU P V</v>
          </cell>
          <cell r="L62" t="str">
            <v>GEORGE KUTTAN JOY</v>
          </cell>
          <cell r="M62" t="str">
            <v>NEXA COCHIN</v>
          </cell>
        </row>
        <row r="62">
          <cell r="S62" t="str">
            <v>DISBURSED</v>
          </cell>
        </row>
        <row r="62">
          <cell r="U62" t="str">
            <v>WILSON</v>
          </cell>
        </row>
        <row r="63">
          <cell r="G63" t="str">
            <v>BALENO</v>
          </cell>
        </row>
        <row r="63">
          <cell r="I63" t="str">
            <v>UCO</v>
          </cell>
        </row>
        <row r="63">
          <cell r="K63" t="str">
            <v>JOSEPH GEORGE</v>
          </cell>
          <cell r="L63" t="str">
            <v>NAKUL P</v>
          </cell>
          <cell r="M63" t="str">
            <v>NEXA COCHIN</v>
          </cell>
        </row>
        <row r="63">
          <cell r="S63" t="str">
            <v>DISBURSED</v>
          </cell>
        </row>
        <row r="63">
          <cell r="U63" t="str">
            <v>WILSON</v>
          </cell>
        </row>
        <row r="64">
          <cell r="G64" t="str">
            <v>BALENO</v>
          </cell>
        </row>
        <row r="64">
          <cell r="I64" t="str">
            <v>BOB</v>
          </cell>
        </row>
        <row r="64">
          <cell r="K64" t="str">
            <v>JERRIN ROY</v>
          </cell>
          <cell r="L64" t="str">
            <v>PRANOOB V NAIR</v>
          </cell>
          <cell r="M64" t="str">
            <v>TRIPPUNITHURA</v>
          </cell>
        </row>
        <row r="64">
          <cell r="S64" t="str">
            <v>DISBURSED</v>
          </cell>
        </row>
        <row r="64">
          <cell r="U64" t="str">
            <v>SIVAPRASAD</v>
          </cell>
        </row>
        <row r="65">
          <cell r="G65" t="str">
            <v>GRAND VITARA</v>
          </cell>
        </row>
        <row r="65">
          <cell r="I65" t="str">
            <v>PNB</v>
          </cell>
        </row>
        <row r="65">
          <cell r="K65" t="str">
            <v>ELDHO SONNY</v>
          </cell>
          <cell r="L65" t="str">
            <v>ARUN K G</v>
          </cell>
          <cell r="M65" t="str">
            <v>NEXA COCHIN</v>
          </cell>
        </row>
        <row r="65">
          <cell r="S65" t="str">
            <v>DISBURSED</v>
          </cell>
        </row>
        <row r="65">
          <cell r="U65" t="str">
            <v>WILSON</v>
          </cell>
        </row>
        <row r="66">
          <cell r="G66" t="str">
            <v>FRONX</v>
          </cell>
        </row>
        <row r="66">
          <cell r="I66" t="str">
            <v>BOB</v>
          </cell>
        </row>
        <row r="66">
          <cell r="K66" t="str">
            <v>MOHAMMED RIFIN</v>
          </cell>
          <cell r="L66" t="str">
            <v>SANDEEP P</v>
          </cell>
          <cell r="M66" t="str">
            <v>NEXA COCHIN</v>
          </cell>
        </row>
        <row r="66">
          <cell r="S66" t="str">
            <v>DISBURSED</v>
          </cell>
        </row>
        <row r="66">
          <cell r="U66" t="str">
            <v>WILSON</v>
          </cell>
        </row>
        <row r="67">
          <cell r="G67" t="str">
            <v>BALENO</v>
          </cell>
        </row>
        <row r="67">
          <cell r="I67" t="str">
            <v>HDFC</v>
          </cell>
        </row>
        <row r="67">
          <cell r="K67" t="str">
            <v>LANEESH A S</v>
          </cell>
          <cell r="L67" t="str">
            <v>MANU SASI</v>
          </cell>
          <cell r="M67" t="str">
            <v>EDAPPALLY</v>
          </cell>
        </row>
        <row r="67">
          <cell r="S67" t="str">
            <v>DISBURSED</v>
          </cell>
        </row>
        <row r="67">
          <cell r="U67" t="str">
            <v>SIVAPRASAD</v>
          </cell>
        </row>
        <row r="68">
          <cell r="G68" t="str">
            <v>BALENO</v>
          </cell>
        </row>
        <row r="68">
          <cell r="I68" t="str">
            <v>BAJAJ</v>
          </cell>
        </row>
        <row r="68">
          <cell r="K68" t="str">
            <v>VIPIN K G</v>
          </cell>
          <cell r="L68" t="str">
            <v>BINOY RAJ</v>
          </cell>
          <cell r="M68" t="str">
            <v>KODUNGALLUR</v>
          </cell>
        </row>
        <row r="68">
          <cell r="S68" t="str">
            <v>DISBURSED</v>
          </cell>
        </row>
        <row r="68">
          <cell r="U68" t="str">
            <v>JINEESH</v>
          </cell>
        </row>
        <row r="69">
          <cell r="G69" t="str">
            <v>FRONX</v>
          </cell>
        </row>
        <row r="69">
          <cell r="I69" t="str">
            <v>ICICI</v>
          </cell>
        </row>
        <row r="69">
          <cell r="K69" t="str">
            <v>VISHNU RAJU</v>
          </cell>
          <cell r="L69" t="str">
            <v>SIJO VARGHESE GEORGE</v>
          </cell>
          <cell r="M69" t="str">
            <v>PERUMBAVOOR</v>
          </cell>
        </row>
        <row r="69">
          <cell r="S69" t="str">
            <v>DISBURSED</v>
          </cell>
        </row>
        <row r="69">
          <cell r="U69" t="str">
            <v>SALMAN</v>
          </cell>
        </row>
        <row r="70">
          <cell r="G70" t="str">
            <v>BALENO</v>
          </cell>
        </row>
        <row r="70">
          <cell r="I70" t="str">
            <v>BAJAJ</v>
          </cell>
        </row>
        <row r="70">
          <cell r="K70" t="str">
            <v>AMITH JACOB</v>
          </cell>
          <cell r="L70" t="str">
            <v>ANAND K V</v>
          </cell>
          <cell r="M70" t="str">
            <v>KOLENCHERY</v>
          </cell>
        </row>
        <row r="70">
          <cell r="S70" t="str">
            <v>DISBURSED</v>
          </cell>
        </row>
        <row r="70">
          <cell r="U70" t="str">
            <v>AMAL</v>
          </cell>
        </row>
        <row r="71">
          <cell r="G71" t="str">
            <v>BALENO</v>
          </cell>
        </row>
        <row r="71">
          <cell r="I71" t="str">
            <v>SIB</v>
          </cell>
        </row>
        <row r="71">
          <cell r="K71" t="str">
            <v>RAGIL N R</v>
          </cell>
          <cell r="L71" t="str">
            <v>VIBIN I B</v>
          </cell>
          <cell r="M71" t="str">
            <v>KAIPAMANGALAM</v>
          </cell>
        </row>
        <row r="71">
          <cell r="S71" t="str">
            <v>DISBURSED</v>
          </cell>
        </row>
        <row r="71">
          <cell r="U71" t="str">
            <v>JINEESH</v>
          </cell>
        </row>
        <row r="72">
          <cell r="G72" t="str">
            <v>FRONX</v>
          </cell>
        </row>
        <row r="72">
          <cell r="I72" t="str">
            <v>FBL</v>
          </cell>
        </row>
        <row r="72">
          <cell r="K72" t="str">
            <v>NISSAR M A</v>
          </cell>
          <cell r="L72" t="str">
            <v>RAHUL P R</v>
          </cell>
          <cell r="M72" t="str">
            <v>NEXA COCHIN</v>
          </cell>
        </row>
        <row r="72">
          <cell r="S72" t="str">
            <v>DISBURSED</v>
          </cell>
        </row>
        <row r="72">
          <cell r="U72" t="str">
            <v>WILSON</v>
          </cell>
        </row>
        <row r="73">
          <cell r="G73" t="str">
            <v>BALENO</v>
          </cell>
        </row>
        <row r="73">
          <cell r="I73" t="str">
            <v>BAJAJ</v>
          </cell>
        </row>
        <row r="73">
          <cell r="K73" t="str">
            <v>ELSON JACOB</v>
          </cell>
          <cell r="L73" t="str">
            <v>ANAND K V</v>
          </cell>
          <cell r="M73" t="str">
            <v>KOLENCHERY</v>
          </cell>
        </row>
        <row r="73">
          <cell r="S73" t="str">
            <v>LOGIN</v>
          </cell>
        </row>
        <row r="73">
          <cell r="U73" t="str">
            <v>AMAL</v>
          </cell>
        </row>
        <row r="74">
          <cell r="G74" t="str">
            <v>FRONX</v>
          </cell>
        </row>
        <row r="74">
          <cell r="I74" t="str">
            <v>INDIAN</v>
          </cell>
        </row>
        <row r="74">
          <cell r="K74" t="str">
            <v>UBAIS</v>
          </cell>
          <cell r="L74" t="str">
            <v>BINOY RAJ</v>
          </cell>
          <cell r="M74" t="str">
            <v>KODUNGALLUR</v>
          </cell>
        </row>
        <row r="74">
          <cell r="S74" t="str">
            <v>DISBURSED</v>
          </cell>
        </row>
        <row r="74">
          <cell r="U74" t="str">
            <v>JINEESH</v>
          </cell>
        </row>
        <row r="75">
          <cell r="G75" t="str">
            <v>BALENO</v>
          </cell>
        </row>
        <row r="75">
          <cell r="I75" t="str">
            <v>KOTAK</v>
          </cell>
        </row>
        <row r="75">
          <cell r="K75" t="str">
            <v>AMITH JACOB</v>
          </cell>
          <cell r="L75" t="str">
            <v>ANAND K V</v>
          </cell>
          <cell r="M75" t="str">
            <v>KOLENCHERY</v>
          </cell>
        </row>
        <row r="75">
          <cell r="S75" t="str">
            <v>DISBURSED</v>
          </cell>
        </row>
        <row r="75">
          <cell r="U75" t="str">
            <v>AMAL</v>
          </cell>
        </row>
        <row r="76">
          <cell r="G76" t="str">
            <v>IGNIS</v>
          </cell>
        </row>
        <row r="76">
          <cell r="I76" t="str">
            <v>BOB</v>
          </cell>
        </row>
        <row r="76">
          <cell r="K76" t="str">
            <v>NISSAR M A</v>
          </cell>
          <cell r="L76" t="str">
            <v>RAHUL P R</v>
          </cell>
          <cell r="M76" t="str">
            <v>NEXA COCHIN</v>
          </cell>
        </row>
        <row r="76">
          <cell r="S76" t="str">
            <v>DISBURSED</v>
          </cell>
        </row>
        <row r="76">
          <cell r="U76" t="str">
            <v>WILSON</v>
          </cell>
        </row>
        <row r="77">
          <cell r="G77" t="str">
            <v>BALENO</v>
          </cell>
        </row>
        <row r="77">
          <cell r="I77" t="str">
            <v>UBI</v>
          </cell>
        </row>
        <row r="77">
          <cell r="K77" t="str">
            <v>MOHAMMED RIFIN</v>
          </cell>
          <cell r="L77" t="str">
            <v>SANDEEP P</v>
          </cell>
          <cell r="M77" t="str">
            <v>NEXA COCHIN</v>
          </cell>
        </row>
        <row r="77">
          <cell r="S77" t="str">
            <v>DISBURSED</v>
          </cell>
        </row>
        <row r="77">
          <cell r="U77" t="str">
            <v>WILSON</v>
          </cell>
        </row>
        <row r="78">
          <cell r="G78" t="str">
            <v>BALENO</v>
          </cell>
        </row>
        <row r="78">
          <cell r="I78" t="str">
            <v>BAJAJ</v>
          </cell>
        </row>
        <row r="78">
          <cell r="K78" t="str">
            <v>AGHIL N U</v>
          </cell>
          <cell r="L78" t="str">
            <v>VIBIN I B</v>
          </cell>
          <cell r="M78" t="str">
            <v>KAIPAMANGALAM</v>
          </cell>
        </row>
        <row r="78">
          <cell r="S78" t="str">
            <v>DISBURSED</v>
          </cell>
        </row>
        <row r="78">
          <cell r="U78" t="str">
            <v>JINEESH</v>
          </cell>
        </row>
        <row r="79">
          <cell r="G79" t="str">
            <v>FRONX</v>
          </cell>
        </row>
        <row r="79">
          <cell r="I79" t="str">
            <v>BAJAJ</v>
          </cell>
        </row>
        <row r="79">
          <cell r="K79" t="str">
            <v>AGHIL N U</v>
          </cell>
          <cell r="L79" t="str">
            <v>VIBIN I B</v>
          </cell>
          <cell r="M79" t="str">
            <v>KAIPAMANGALAM</v>
          </cell>
        </row>
        <row r="79">
          <cell r="S79" t="str">
            <v>DISBURSED</v>
          </cell>
        </row>
        <row r="79">
          <cell r="U79" t="str">
            <v>JINEESH</v>
          </cell>
        </row>
        <row r="80">
          <cell r="G80" t="str">
            <v>BALENO</v>
          </cell>
        </row>
        <row r="80">
          <cell r="I80" t="str">
            <v>CHOLA</v>
          </cell>
        </row>
        <row r="80">
          <cell r="K80" t="str">
            <v>RAGIL N R</v>
          </cell>
          <cell r="L80" t="str">
            <v>VIBIN I B</v>
          </cell>
          <cell r="M80" t="str">
            <v>KAIPAMANGALAM</v>
          </cell>
        </row>
        <row r="80">
          <cell r="S80" t="str">
            <v>DISBURSED</v>
          </cell>
        </row>
        <row r="80">
          <cell r="U80" t="str">
            <v>JINEESH</v>
          </cell>
        </row>
        <row r="81">
          <cell r="G81" t="str">
            <v>BALENO</v>
          </cell>
        </row>
        <row r="81">
          <cell r="I81" t="str">
            <v>CHOLA</v>
          </cell>
        </row>
        <row r="81">
          <cell r="K81" t="str">
            <v>VISHNUDAS P D</v>
          </cell>
          <cell r="L81" t="str">
            <v>SIVAPRAKASH K S</v>
          </cell>
          <cell r="M81" t="str">
            <v>THRISSUR</v>
          </cell>
        </row>
        <row r="81">
          <cell r="S81" t="str">
            <v>DISBURSED</v>
          </cell>
        </row>
        <row r="81">
          <cell r="U81" t="str">
            <v>SINTO</v>
          </cell>
        </row>
        <row r="82">
          <cell r="G82" t="str">
            <v>IGNIS</v>
          </cell>
        </row>
        <row r="82">
          <cell r="I82" t="str">
            <v>SBI</v>
          </cell>
        </row>
        <row r="82">
          <cell r="K82" t="str">
            <v>ELDHO SONNY</v>
          </cell>
          <cell r="L82" t="str">
            <v>ARUN K G</v>
          </cell>
          <cell r="M82" t="str">
            <v>NEXA COCHIN</v>
          </cell>
        </row>
        <row r="82">
          <cell r="S82" t="str">
            <v>DISBURSED</v>
          </cell>
        </row>
        <row r="82">
          <cell r="U82" t="str">
            <v>WILSON</v>
          </cell>
        </row>
        <row r="83">
          <cell r="G83" t="str">
            <v>GRAND VITARA</v>
          </cell>
        </row>
        <row r="83">
          <cell r="I83" t="str">
            <v>BOB</v>
          </cell>
        </row>
        <row r="83">
          <cell r="K83" t="str">
            <v>MANIL C MOHAN</v>
          </cell>
          <cell r="L83" t="str">
            <v>NAKUL P</v>
          </cell>
          <cell r="M83" t="str">
            <v>NEXA COCHIN</v>
          </cell>
        </row>
        <row r="83">
          <cell r="S83" t="str">
            <v>DISBURSED</v>
          </cell>
        </row>
        <row r="83">
          <cell r="U83" t="str">
            <v>WILSON</v>
          </cell>
        </row>
        <row r="84">
          <cell r="G84" t="str">
            <v>FRONX</v>
          </cell>
        </row>
        <row r="84">
          <cell r="I84" t="str">
            <v>HDFC</v>
          </cell>
        </row>
        <row r="84">
          <cell r="K84" t="str">
            <v>ARVIND SANTHOSH</v>
          </cell>
          <cell r="L84" t="str">
            <v>SANDEEP P</v>
          </cell>
          <cell r="M84" t="str">
            <v>NEXA COCHIN</v>
          </cell>
        </row>
        <row r="84">
          <cell r="S84" t="str">
            <v>DISBURSED</v>
          </cell>
        </row>
        <row r="84">
          <cell r="U84" t="str">
            <v>WILSON</v>
          </cell>
        </row>
        <row r="85">
          <cell r="G85" t="str">
            <v>BALENO</v>
          </cell>
        </row>
        <row r="85">
          <cell r="I85" t="str">
            <v>HDFC</v>
          </cell>
        </row>
        <row r="85">
          <cell r="K85" t="str">
            <v>MIDHUN P M</v>
          </cell>
          <cell r="L85" t="str">
            <v>NAKUL P</v>
          </cell>
          <cell r="M85" t="str">
            <v>NEXA COCHIN</v>
          </cell>
        </row>
        <row r="85">
          <cell r="S85" t="str">
            <v>DISBURSED</v>
          </cell>
        </row>
        <row r="85">
          <cell r="U85" t="str">
            <v>WILSON</v>
          </cell>
        </row>
        <row r="86">
          <cell r="G86" t="str">
            <v>BALENO</v>
          </cell>
        </row>
        <row r="86">
          <cell r="I86" t="str">
            <v>BOB</v>
          </cell>
        </row>
        <row r="86">
          <cell r="K86" t="str">
            <v>MUHAMMED USMAN</v>
          </cell>
          <cell r="L86" t="str">
            <v>GEORGE KUTTAN JOY</v>
          </cell>
          <cell r="M86" t="str">
            <v>NEXA COCHIN</v>
          </cell>
        </row>
        <row r="86">
          <cell r="S86" t="str">
            <v>DISBURSED</v>
          </cell>
        </row>
        <row r="86">
          <cell r="U86" t="str">
            <v>WILSON</v>
          </cell>
        </row>
        <row r="87">
          <cell r="G87" t="str">
            <v>BALENO</v>
          </cell>
        </row>
        <row r="87">
          <cell r="I87" t="str">
            <v>SBI</v>
          </cell>
        </row>
        <row r="87">
          <cell r="K87" t="str">
            <v>SAJITH V S</v>
          </cell>
          <cell r="L87" t="str">
            <v>VIBIN I B</v>
          </cell>
          <cell r="M87" t="str">
            <v>KAIPAMANGALAM</v>
          </cell>
        </row>
        <row r="87">
          <cell r="S87" t="str">
            <v>DISBURSED</v>
          </cell>
        </row>
        <row r="87">
          <cell r="U87" t="str">
            <v>JINEESH</v>
          </cell>
        </row>
        <row r="88">
          <cell r="G88" t="str">
            <v>FRONX</v>
          </cell>
        </row>
        <row r="88">
          <cell r="I88" t="str">
            <v>SIB</v>
          </cell>
        </row>
        <row r="88">
          <cell r="K88" t="str">
            <v>VINAY T V</v>
          </cell>
          <cell r="L88" t="str">
            <v>RATISH K R</v>
          </cell>
          <cell r="M88" t="str">
            <v>KADAVANTHRA</v>
          </cell>
        </row>
        <row r="88">
          <cell r="S88" t="str">
            <v>DISBURSED</v>
          </cell>
        </row>
        <row r="88">
          <cell r="U88" t="str">
            <v>SALMAN</v>
          </cell>
        </row>
        <row r="89">
          <cell r="G89" t="str">
            <v>BALENO</v>
          </cell>
        </row>
        <row r="89">
          <cell r="I89" t="str">
            <v>SBI</v>
          </cell>
        </row>
        <row r="89">
          <cell r="K89" t="str">
            <v>ARUN VISWANATH</v>
          </cell>
          <cell r="L89" t="str">
            <v>SANDEEP P</v>
          </cell>
          <cell r="M89" t="str">
            <v>NEXA COCHIN</v>
          </cell>
        </row>
        <row r="89">
          <cell r="S89" t="str">
            <v>DISBURSED</v>
          </cell>
        </row>
        <row r="89">
          <cell r="U89" t="str">
            <v>WILSON</v>
          </cell>
        </row>
        <row r="90">
          <cell r="G90" t="str">
            <v>e VITARA</v>
          </cell>
        </row>
        <row r="90">
          <cell r="I90" t="str">
            <v>HDFC</v>
          </cell>
        </row>
        <row r="90">
          <cell r="K90" t="str">
            <v>ARVIND SANTHOSH</v>
          </cell>
          <cell r="L90" t="str">
            <v>SANDEEP P</v>
          </cell>
          <cell r="M90" t="str">
            <v>NEXA COCHIN</v>
          </cell>
        </row>
        <row r="90">
          <cell r="S90" t="str">
            <v>DISBURSED</v>
          </cell>
        </row>
        <row r="90">
          <cell r="U90" t="str">
            <v>WILSON</v>
          </cell>
        </row>
        <row r="91">
          <cell r="G91" t="str">
            <v>BALENO</v>
          </cell>
        </row>
        <row r="91">
          <cell r="I91" t="str">
            <v>BOB</v>
          </cell>
        </row>
        <row r="91">
          <cell r="K91" t="str">
            <v>ARVIND SANTHOSH</v>
          </cell>
          <cell r="L91" t="str">
            <v>SANDEEP P</v>
          </cell>
          <cell r="M91" t="str">
            <v>NEXA COCHIN</v>
          </cell>
        </row>
        <row r="91">
          <cell r="S91" t="str">
            <v>DISBURSED</v>
          </cell>
        </row>
        <row r="91">
          <cell r="U91" t="str">
            <v>WILSON</v>
          </cell>
        </row>
        <row r="92">
          <cell r="G92" t="str">
            <v>IGNIS</v>
          </cell>
        </row>
        <row r="92">
          <cell r="I92" t="str">
            <v>IBL</v>
          </cell>
        </row>
        <row r="92">
          <cell r="K92" t="str">
            <v>MUHAMMED USMAN</v>
          </cell>
          <cell r="L92" t="str">
            <v>GEORGE KUTTAN JOY</v>
          </cell>
          <cell r="M92" t="str">
            <v>NEXA COCHIN</v>
          </cell>
        </row>
        <row r="92">
          <cell r="S92" t="str">
            <v>DISBURSED</v>
          </cell>
        </row>
        <row r="92">
          <cell r="U92" t="str">
            <v>WILSON</v>
          </cell>
        </row>
        <row r="93">
          <cell r="G93" t="str">
            <v>FRONX</v>
          </cell>
        </row>
        <row r="93">
          <cell r="I93" t="str">
            <v>BOB</v>
          </cell>
        </row>
        <row r="93">
          <cell r="K93" t="str">
            <v>AARJI</v>
          </cell>
          <cell r="L93" t="str">
            <v>SHEMEER A K</v>
          </cell>
          <cell r="M93" t="str">
            <v>EDAPPALLY</v>
          </cell>
        </row>
        <row r="93">
          <cell r="S93" t="str">
            <v>LOGIN</v>
          </cell>
        </row>
        <row r="93">
          <cell r="U93" t="str">
            <v>SIVAPRASAD</v>
          </cell>
        </row>
        <row r="94">
          <cell r="G94" t="str">
            <v>BALENO</v>
          </cell>
        </row>
        <row r="94">
          <cell r="I94" t="str">
            <v>BOI</v>
          </cell>
        </row>
        <row r="94">
          <cell r="K94" t="str">
            <v>JOSEPH GEORGE</v>
          </cell>
          <cell r="L94" t="str">
            <v>NAKUL P</v>
          </cell>
          <cell r="M94" t="str">
            <v>NEXA COCHIN</v>
          </cell>
        </row>
        <row r="94">
          <cell r="S94" t="str">
            <v>DISBURSED</v>
          </cell>
        </row>
        <row r="94">
          <cell r="U94" t="str">
            <v>WILSON</v>
          </cell>
        </row>
        <row r="95">
          <cell r="G95" t="str">
            <v>BALENO</v>
          </cell>
        </row>
        <row r="95">
          <cell r="I95" t="str">
            <v>SBI</v>
          </cell>
        </row>
        <row r="95">
          <cell r="K95" t="str">
            <v>ARUN VISWANATH</v>
          </cell>
          <cell r="L95" t="str">
            <v>SANDEEP P</v>
          </cell>
          <cell r="M95" t="str">
            <v>NEXA COCHIN</v>
          </cell>
        </row>
        <row r="95">
          <cell r="S95" t="str">
            <v>LOGIN</v>
          </cell>
        </row>
        <row r="95">
          <cell r="U95" t="str">
            <v>WILSON</v>
          </cell>
        </row>
        <row r="96">
          <cell r="G96" t="str">
            <v>BALENO</v>
          </cell>
        </row>
        <row r="96">
          <cell r="I96" t="str">
            <v>BOB</v>
          </cell>
        </row>
        <row r="96">
          <cell r="K96" t="str">
            <v>ABHILASH A M</v>
          </cell>
          <cell r="L96" t="str">
            <v>NAKUL P</v>
          </cell>
          <cell r="M96" t="str">
            <v>NEXA COCHIN</v>
          </cell>
        </row>
        <row r="96">
          <cell r="S96" t="str">
            <v>DISBURSED</v>
          </cell>
        </row>
        <row r="96">
          <cell r="U96" t="str">
            <v>WILSON</v>
          </cell>
        </row>
      </sheetData>
      <sheetData sheetId="5"/>
      <sheetData sheetId="6"/>
      <sheetData sheetId="7"/>
      <sheetData sheetId="8"/>
      <sheetData sheetId="9">
        <row r="17">
          <cell r="M17">
            <v>189</v>
          </cell>
          <cell r="N17">
            <v>32</v>
          </cell>
          <cell r="O17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R"/>
      <sheetName val="Sheet1"/>
    </sheetNames>
    <sheetDataSet>
      <sheetData sheetId="0">
        <row r="1">
          <cell r="F1" t="str">
            <v>LOAN APPLICATION ID</v>
          </cell>
        </row>
        <row r="1">
          <cell r="H1" t="str">
            <v>LOAN STATUS</v>
          </cell>
        </row>
        <row r="2">
          <cell r="F2">
            <v>169077417</v>
          </cell>
        </row>
        <row r="2">
          <cell r="H2" t="str">
            <v>DISBURSED</v>
          </cell>
        </row>
        <row r="3">
          <cell r="F3">
            <v>169108695</v>
          </cell>
        </row>
        <row r="3">
          <cell r="H3" t="str">
            <v>DISBURSED</v>
          </cell>
        </row>
        <row r="4">
          <cell r="F4" t="str">
            <v>EQ01962620684</v>
          </cell>
        </row>
        <row r="4">
          <cell r="H4" t="str">
            <v>DISBURSED</v>
          </cell>
        </row>
        <row r="5">
          <cell r="F5">
            <v>168762808</v>
          </cell>
        </row>
        <row r="5">
          <cell r="H5" t="str">
            <v>REJECTED</v>
          </cell>
        </row>
        <row r="6">
          <cell r="F6">
            <v>168745601</v>
          </cell>
        </row>
        <row r="6">
          <cell r="H6" t="str">
            <v>REJECTED</v>
          </cell>
        </row>
        <row r="7">
          <cell r="F7">
            <v>168776574</v>
          </cell>
        </row>
        <row r="7">
          <cell r="H7" t="str">
            <v>DISBURSED</v>
          </cell>
        </row>
        <row r="8">
          <cell r="F8">
            <v>47489181</v>
          </cell>
        </row>
        <row r="8">
          <cell r="H8" t="str">
            <v>DISBURSED</v>
          </cell>
        </row>
        <row r="9">
          <cell r="F9" t="str">
            <v>EQ01962620751</v>
          </cell>
        </row>
        <row r="9">
          <cell r="H9" t="str">
            <v>UNDER PROCESS</v>
          </cell>
        </row>
        <row r="10">
          <cell r="F10" t="str">
            <v>FBL04260000074592</v>
          </cell>
        </row>
        <row r="10">
          <cell r="H10" t="str">
            <v>DISBURSED</v>
          </cell>
        </row>
        <row r="11">
          <cell r="F11" t="str">
            <v>DA1109882</v>
          </cell>
        </row>
        <row r="11">
          <cell r="H11" t="str">
            <v>DISBURSED</v>
          </cell>
        </row>
        <row r="12">
          <cell r="F12" t="str">
            <v>DA1109774</v>
          </cell>
        </row>
        <row r="12">
          <cell r="H12" t="str">
            <v>CANCELLED</v>
          </cell>
        </row>
        <row r="13">
          <cell r="F13" t="str">
            <v>DA1109837</v>
          </cell>
        </row>
        <row r="13">
          <cell r="H13" t="str">
            <v>DISBURSED</v>
          </cell>
        </row>
        <row r="14">
          <cell r="F14">
            <v>169622896</v>
          </cell>
        </row>
        <row r="14">
          <cell r="H14" t="str">
            <v>SANCTIONED</v>
          </cell>
        </row>
        <row r="15">
          <cell r="F15" t="str">
            <v>R-07345574-L</v>
          </cell>
        </row>
        <row r="15">
          <cell r="H15" t="str">
            <v>REJECTED</v>
          </cell>
        </row>
        <row r="16">
          <cell r="F16">
            <v>167806358</v>
          </cell>
        </row>
        <row r="16">
          <cell r="H16" t="str">
            <v>DISBURSED</v>
          </cell>
        </row>
        <row r="17">
          <cell r="F17" t="str">
            <v>FBL04260000075373</v>
          </cell>
        </row>
        <row r="17">
          <cell r="H17" t="str">
            <v>DISBURSED</v>
          </cell>
        </row>
        <row r="18">
          <cell r="F18" t="str">
            <v>WHL000002772956</v>
          </cell>
        </row>
        <row r="18">
          <cell r="H18" t="str">
            <v>APPLIED</v>
          </cell>
        </row>
        <row r="19">
          <cell r="F19">
            <v>19483942</v>
          </cell>
        </row>
        <row r="19">
          <cell r="H19" t="str">
            <v>DISBURSED</v>
          </cell>
        </row>
        <row r="20">
          <cell r="F20">
            <v>19521402</v>
          </cell>
        </row>
        <row r="20">
          <cell r="H20" t="str">
            <v>APPLIED</v>
          </cell>
        </row>
        <row r="21">
          <cell r="F21" t="str">
            <v>EQ0135269513</v>
          </cell>
        </row>
        <row r="21">
          <cell r="H21" t="str">
            <v>REJECTED</v>
          </cell>
        </row>
        <row r="22">
          <cell r="F22" t="str">
            <v>EQ0135269517</v>
          </cell>
        </row>
        <row r="22">
          <cell r="H22" t="str">
            <v>CANCELLED</v>
          </cell>
        </row>
        <row r="23">
          <cell r="F23" t="str">
            <v>EQ0135269522</v>
          </cell>
        </row>
        <row r="23">
          <cell r="H23" t="str">
            <v>UNDER PROCESS</v>
          </cell>
        </row>
        <row r="24">
          <cell r="F24" t="str">
            <v>UBI1773734556954</v>
          </cell>
        </row>
        <row r="24">
          <cell r="H24" t="str">
            <v>DISBURSED</v>
          </cell>
        </row>
        <row r="25">
          <cell r="F25" t="str">
            <v>EQ0135269490</v>
          </cell>
        </row>
        <row r="25">
          <cell r="H25" t="str">
            <v>DISBURSED</v>
          </cell>
        </row>
        <row r="26">
          <cell r="F26" t="str">
            <v>EQ0135269492</v>
          </cell>
        </row>
        <row r="26">
          <cell r="H26" t="str">
            <v>REJECTED</v>
          </cell>
        </row>
        <row r="27">
          <cell r="F27" t="str">
            <v>EQ0135269539</v>
          </cell>
        </row>
        <row r="27">
          <cell r="H27" t="str">
            <v>UNDER PROCESS</v>
          </cell>
        </row>
        <row r="28">
          <cell r="F28">
            <v>169227652</v>
          </cell>
        </row>
        <row r="28">
          <cell r="H28" t="str">
            <v>SANCTIONED</v>
          </cell>
        </row>
        <row r="29">
          <cell r="F29">
            <v>168760301</v>
          </cell>
        </row>
        <row r="29">
          <cell r="H29" t="str">
            <v>SANCTIONED</v>
          </cell>
        </row>
        <row r="30">
          <cell r="F30">
            <v>19631726</v>
          </cell>
        </row>
        <row r="30">
          <cell r="H30" t="str">
            <v>DISBURSED</v>
          </cell>
        </row>
        <row r="31">
          <cell r="F31" t="str">
            <v>DA1110193</v>
          </cell>
        </row>
        <row r="31">
          <cell r="H31" t="str">
            <v>CANCELLED</v>
          </cell>
        </row>
        <row r="32">
          <cell r="F32">
            <v>169191738</v>
          </cell>
        </row>
        <row r="32">
          <cell r="H32" t="str">
            <v>UNDER PROCESS</v>
          </cell>
        </row>
        <row r="33">
          <cell r="F33">
            <v>19727673</v>
          </cell>
        </row>
        <row r="33">
          <cell r="H33" t="str">
            <v>DISBURSED</v>
          </cell>
        </row>
        <row r="34">
          <cell r="F34" t="str">
            <v>EQ1055264968</v>
          </cell>
        </row>
        <row r="34">
          <cell r="H34" t="str">
            <v>UNDER PROCESS</v>
          </cell>
        </row>
        <row r="35">
          <cell r="F35" t="str">
            <v>R-07338468-L</v>
          </cell>
        </row>
        <row r="35">
          <cell r="H35" t="str">
            <v>REJECTED</v>
          </cell>
        </row>
        <row r="36">
          <cell r="F36">
            <v>169041183</v>
          </cell>
        </row>
        <row r="36">
          <cell r="H36" t="str">
            <v>DISBURSED</v>
          </cell>
        </row>
        <row r="37">
          <cell r="F37">
            <v>169116591</v>
          </cell>
        </row>
        <row r="37">
          <cell r="H37" t="str">
            <v>DISBURSED</v>
          </cell>
        </row>
        <row r="38">
          <cell r="F38" t="str">
            <v>EQ00552622558</v>
          </cell>
        </row>
        <row r="38">
          <cell r="H38" t="str">
            <v>DISBURSED</v>
          </cell>
        </row>
        <row r="39">
          <cell r="F39">
            <v>19558752</v>
          </cell>
        </row>
        <row r="39">
          <cell r="H39" t="str">
            <v>DISBURSED</v>
          </cell>
        </row>
        <row r="40">
          <cell r="F40" t="str">
            <v>KGB_40281_0000042</v>
          </cell>
        </row>
        <row r="40">
          <cell r="H40" t="str">
            <v>APPLIED</v>
          </cell>
        </row>
        <row r="41">
          <cell r="F41" t="str">
            <v>EQ1055264944</v>
          </cell>
        </row>
        <row r="41">
          <cell r="H41" t="str">
            <v>CANCELLED</v>
          </cell>
        </row>
        <row r="42">
          <cell r="F42">
            <v>168832412</v>
          </cell>
        </row>
        <row r="42">
          <cell r="H42" t="str">
            <v>REJECTED</v>
          </cell>
        </row>
        <row r="43">
          <cell r="F43">
            <v>19650923</v>
          </cell>
        </row>
        <row r="43">
          <cell r="H43" t="str">
            <v>UNDER PROCESS</v>
          </cell>
        </row>
        <row r="44">
          <cell r="F44" t="str">
            <v>R-07335599-L</v>
          </cell>
        </row>
        <row r="44">
          <cell r="H44" t="str">
            <v>SANCTIONED</v>
          </cell>
        </row>
        <row r="45">
          <cell r="F45" t="str">
            <v>EQ1055264951</v>
          </cell>
        </row>
        <row r="45">
          <cell r="H45" t="str">
            <v>UNDER PROCESS</v>
          </cell>
        </row>
        <row r="46">
          <cell r="F46" t="str">
            <v>EQ1055264947</v>
          </cell>
        </row>
        <row r="46">
          <cell r="H46" t="str">
            <v>DISBURSED</v>
          </cell>
        </row>
        <row r="47">
          <cell r="F47" t="str">
            <v>EQ1055264950</v>
          </cell>
        </row>
        <row r="47">
          <cell r="H47" t="str">
            <v>UNDER PROCESS</v>
          </cell>
        </row>
        <row r="48">
          <cell r="F48" t="str">
            <v>R-07346497-L</v>
          </cell>
        </row>
        <row r="48">
          <cell r="H48" t="str">
            <v>DISBURSED</v>
          </cell>
        </row>
        <row r="49">
          <cell r="F49" t="str">
            <v>WHL000002696218</v>
          </cell>
        </row>
        <row r="49">
          <cell r="H49" t="str">
            <v>DISBURSED</v>
          </cell>
        </row>
        <row r="50">
          <cell r="F50">
            <v>168960707</v>
          </cell>
        </row>
        <row r="50">
          <cell r="H50" t="str">
            <v>DISBURSED</v>
          </cell>
        </row>
        <row r="51">
          <cell r="F51">
            <v>167767736</v>
          </cell>
        </row>
        <row r="51">
          <cell r="H51" t="str">
            <v>UNDER PROCESS</v>
          </cell>
        </row>
        <row r="52">
          <cell r="F52" t="str">
            <v>260265068909</v>
          </cell>
        </row>
        <row r="52">
          <cell r="H52" t="str">
            <v>DISBURSED</v>
          </cell>
        </row>
        <row r="53">
          <cell r="F53" t="str">
            <v>EQ1055264964</v>
          </cell>
        </row>
        <row r="53">
          <cell r="H53" t="str">
            <v>REJECTED</v>
          </cell>
        </row>
        <row r="54">
          <cell r="F54">
            <v>19499583</v>
          </cell>
        </row>
        <row r="54">
          <cell r="H54" t="str">
            <v>DISBURSED</v>
          </cell>
        </row>
        <row r="55">
          <cell r="F55" t="str">
            <v>WHL000002734482</v>
          </cell>
        </row>
        <row r="55">
          <cell r="H55" t="str">
            <v>APPLIED</v>
          </cell>
        </row>
        <row r="56">
          <cell r="F56" t="str">
            <v>FBL04260000074294</v>
          </cell>
        </row>
        <row r="56">
          <cell r="H56" t="str">
            <v>DISBURSED</v>
          </cell>
        </row>
        <row r="57">
          <cell r="F57" t="str">
            <v>DA1106859</v>
          </cell>
        </row>
        <row r="57">
          <cell r="H57" t="str">
            <v>DISBURSED</v>
          </cell>
        </row>
        <row r="58">
          <cell r="F58">
            <v>47444007</v>
          </cell>
        </row>
        <row r="58">
          <cell r="H58" t="str">
            <v>UNDER PROCESS</v>
          </cell>
        </row>
        <row r="59">
          <cell r="F59" t="str">
            <v>FBL04260000074381</v>
          </cell>
        </row>
        <row r="59">
          <cell r="H59" t="str">
            <v>REJECTED</v>
          </cell>
        </row>
        <row r="60">
          <cell r="F60" t="str">
            <v>FBL04260000077534</v>
          </cell>
        </row>
        <row r="60">
          <cell r="H60" t="str">
            <v>DISBURSED</v>
          </cell>
        </row>
        <row r="61">
          <cell r="F61">
            <v>47609815</v>
          </cell>
        </row>
        <row r="61">
          <cell r="H61" t="str">
            <v>APPLIED</v>
          </cell>
        </row>
        <row r="62">
          <cell r="F62">
            <v>47659352</v>
          </cell>
        </row>
        <row r="62">
          <cell r="H62" t="str">
            <v>APPLIED</v>
          </cell>
        </row>
        <row r="63">
          <cell r="F63" t="str">
            <v>WHL000002707514</v>
          </cell>
        </row>
        <row r="63">
          <cell r="H63" t="str">
            <v>DISBURSED</v>
          </cell>
        </row>
        <row r="64">
          <cell r="F64">
            <v>168731458</v>
          </cell>
        </row>
        <row r="64">
          <cell r="H64" t="str">
            <v>UNDER PROCESS</v>
          </cell>
        </row>
        <row r="65">
          <cell r="F65" t="str">
            <v>260365370411</v>
          </cell>
        </row>
        <row r="65">
          <cell r="H65" t="str">
            <v>DISBURSED</v>
          </cell>
        </row>
        <row r="66">
          <cell r="F66" t="str">
            <v>260365784913</v>
          </cell>
        </row>
        <row r="66">
          <cell r="H66" t="str">
            <v>APPLIED</v>
          </cell>
        </row>
        <row r="67">
          <cell r="F67">
            <v>168889485</v>
          </cell>
        </row>
        <row r="67">
          <cell r="H67" t="str">
            <v>DISBURSED</v>
          </cell>
        </row>
        <row r="68">
          <cell r="F68" t="str">
            <v>R-07339100-L</v>
          </cell>
        </row>
        <row r="68">
          <cell r="H68" t="str">
            <v>DISBURSED</v>
          </cell>
        </row>
        <row r="69">
          <cell r="F69" t="str">
            <v>R-07341342-L</v>
          </cell>
        </row>
        <row r="69">
          <cell r="H69" t="str">
            <v>APPLIED</v>
          </cell>
        </row>
        <row r="70">
          <cell r="F70" t="str">
            <v>EQ1055265011</v>
          </cell>
        </row>
        <row r="70">
          <cell r="H70" t="str">
            <v>UNDER PROCESS</v>
          </cell>
        </row>
        <row r="71">
          <cell r="F71" t="str">
            <v>R-07345943-L</v>
          </cell>
        </row>
        <row r="71">
          <cell r="H71" t="str">
            <v>REJECTED</v>
          </cell>
        </row>
        <row r="72">
          <cell r="F72" t="str">
            <v>R-07336705-L</v>
          </cell>
        </row>
        <row r="72">
          <cell r="H72" t="str">
            <v>REJECTED</v>
          </cell>
        </row>
        <row r="73">
          <cell r="F73" t="str">
            <v>R-07337294-L</v>
          </cell>
        </row>
        <row r="73">
          <cell r="H73" t="str">
            <v>DISBURSED</v>
          </cell>
        </row>
        <row r="74">
          <cell r="F74" t="str">
            <v>R-07348488-L</v>
          </cell>
        </row>
        <row r="74">
          <cell r="H74" t="str">
            <v>APPLIED</v>
          </cell>
        </row>
        <row r="75">
          <cell r="F75" t="str">
            <v>R-07348477-L</v>
          </cell>
        </row>
        <row r="75">
          <cell r="H75" t="str">
            <v>APPLIED</v>
          </cell>
        </row>
        <row r="76">
          <cell r="F76" t="str">
            <v>R-07338244-L</v>
          </cell>
        </row>
        <row r="76">
          <cell r="H76" t="str">
            <v>DISBURSED</v>
          </cell>
        </row>
        <row r="77">
          <cell r="F77">
            <v>169061901</v>
          </cell>
        </row>
        <row r="77">
          <cell r="H77" t="str">
            <v>REJECTED</v>
          </cell>
        </row>
        <row r="78">
          <cell r="F78" t="str">
            <v>DILALMS118653774</v>
          </cell>
        </row>
        <row r="78">
          <cell r="H78" t="str">
            <v>DISBURSED</v>
          </cell>
        </row>
        <row r="79">
          <cell r="F79">
            <v>169043205</v>
          </cell>
        </row>
        <row r="79">
          <cell r="H79" t="str">
            <v>DISBURSED</v>
          </cell>
        </row>
        <row r="80">
          <cell r="H80" t="str">
            <v>RETRY OPT OUT</v>
          </cell>
        </row>
        <row r="81">
          <cell r="H81" t="str">
            <v>RETRY OPT OUT</v>
          </cell>
        </row>
        <row r="82">
          <cell r="F82">
            <v>169061469</v>
          </cell>
        </row>
        <row r="82">
          <cell r="H82" t="str">
            <v>DISBURSED</v>
          </cell>
        </row>
        <row r="83">
          <cell r="H83" t="str">
            <v>RETRY OPT OUT</v>
          </cell>
        </row>
        <row r="84">
          <cell r="F84">
            <v>47833260</v>
          </cell>
        </row>
        <row r="84">
          <cell r="H84" t="str">
            <v>UNDER PROCESS</v>
          </cell>
        </row>
        <row r="85">
          <cell r="H85" t="str">
            <v>RETRY OPT OUT</v>
          </cell>
        </row>
        <row r="86">
          <cell r="F86">
            <v>47829847</v>
          </cell>
        </row>
        <row r="86">
          <cell r="H86" t="str">
            <v>DISBURSED</v>
          </cell>
        </row>
        <row r="87">
          <cell r="H87" t="str">
            <v>RETRY OPT OUT</v>
          </cell>
        </row>
        <row r="88">
          <cell r="F88" t="str">
            <v>APP1858801174102901</v>
          </cell>
        </row>
        <row r="88">
          <cell r="H88" t="str">
            <v>SANCTIONED</v>
          </cell>
        </row>
        <row r="89">
          <cell r="F89">
            <v>47851548</v>
          </cell>
        </row>
        <row r="89">
          <cell r="H89" t="str">
            <v>REJECTED</v>
          </cell>
        </row>
        <row r="90">
          <cell r="F90" t="str">
            <v>R-07340114-L</v>
          </cell>
        </row>
        <row r="90">
          <cell r="H90" t="str">
            <v>REJECTED</v>
          </cell>
        </row>
        <row r="91">
          <cell r="F91">
            <v>169106764</v>
          </cell>
        </row>
        <row r="91">
          <cell r="H91" t="str">
            <v>SANCTIONED</v>
          </cell>
        </row>
        <row r="92">
          <cell r="F92" t="str">
            <v>CF03989641</v>
          </cell>
        </row>
        <row r="92">
          <cell r="H92" t="str">
            <v>SANCTIONED</v>
          </cell>
        </row>
        <row r="93">
          <cell r="F93" t="str">
            <v>DA1113397</v>
          </cell>
        </row>
        <row r="93">
          <cell r="H93" t="str">
            <v>DISBURSED</v>
          </cell>
        </row>
        <row r="94">
          <cell r="F94" t="str">
            <v>EQ1264260903</v>
          </cell>
        </row>
        <row r="94">
          <cell r="H94" t="str">
            <v>DISBURSED</v>
          </cell>
        </row>
        <row r="95">
          <cell r="F95">
            <v>169099663</v>
          </cell>
        </row>
        <row r="95">
          <cell r="H95" t="str">
            <v>DISBURSED</v>
          </cell>
        </row>
        <row r="96">
          <cell r="F96">
            <v>47874801</v>
          </cell>
        </row>
        <row r="96">
          <cell r="H96" t="str">
            <v>DISBURSED</v>
          </cell>
        </row>
        <row r="97">
          <cell r="F97">
            <v>169121863</v>
          </cell>
        </row>
        <row r="97">
          <cell r="H97" t="str">
            <v>REJECTED</v>
          </cell>
        </row>
        <row r="98">
          <cell r="H98" t="str">
            <v>RETRY OPT OUT</v>
          </cell>
        </row>
        <row r="99">
          <cell r="F99">
            <v>47914218</v>
          </cell>
        </row>
        <row r="99">
          <cell r="H99" t="str">
            <v>DISBURSED</v>
          </cell>
        </row>
        <row r="100">
          <cell r="F100">
            <v>169202069</v>
          </cell>
        </row>
        <row r="100">
          <cell r="H100" t="str">
            <v>DISBURSED</v>
          </cell>
        </row>
        <row r="101">
          <cell r="F101" t="str">
            <v>FBL04260000076488</v>
          </cell>
        </row>
        <row r="101">
          <cell r="H101" t="str">
            <v>DISBURSED</v>
          </cell>
        </row>
        <row r="102">
          <cell r="F102">
            <v>169591490</v>
          </cell>
        </row>
        <row r="102">
          <cell r="H102" t="str">
            <v>SANCTIONED</v>
          </cell>
        </row>
        <row r="103">
          <cell r="F103" t="str">
            <v>R-07341672-L</v>
          </cell>
        </row>
        <row r="103">
          <cell r="H103" t="str">
            <v>DISBURSED</v>
          </cell>
        </row>
        <row r="104">
          <cell r="F104" t="str">
            <v>CF03997417</v>
          </cell>
        </row>
        <row r="104">
          <cell r="H104" t="str">
            <v>UNDER PROCESS</v>
          </cell>
        </row>
        <row r="105">
          <cell r="F105" t="str">
            <v>EQ0951261689</v>
          </cell>
        </row>
        <row r="105">
          <cell r="H105" t="str">
            <v>SANCTIONED</v>
          </cell>
        </row>
        <row r="106">
          <cell r="F106">
            <v>169220048</v>
          </cell>
        </row>
        <row r="106">
          <cell r="H106" t="str">
            <v>DISBURSED</v>
          </cell>
        </row>
        <row r="107">
          <cell r="F107" t="str">
            <v>EQ01962620946</v>
          </cell>
        </row>
        <row r="107">
          <cell r="H107" t="str">
            <v>CANCELLED</v>
          </cell>
        </row>
        <row r="108">
          <cell r="F108" t="str">
            <v>DILALMS118747343</v>
          </cell>
        </row>
        <row r="108">
          <cell r="H108" t="str">
            <v>DISBURSED</v>
          </cell>
        </row>
        <row r="109">
          <cell r="F109" t="str">
            <v>WHL000002732939</v>
          </cell>
        </row>
        <row r="109">
          <cell r="H109" t="str">
            <v>REJECTED</v>
          </cell>
        </row>
        <row r="110">
          <cell r="F110">
            <v>169254448</v>
          </cell>
        </row>
        <row r="110">
          <cell r="H110" t="str">
            <v>DISBURSED</v>
          </cell>
        </row>
        <row r="111">
          <cell r="F111" t="str">
            <v>DILALMS118744861</v>
          </cell>
        </row>
        <row r="111">
          <cell r="H111" t="str">
            <v>DISBURSED</v>
          </cell>
        </row>
        <row r="112">
          <cell r="F112" t="str">
            <v>CF04007027</v>
          </cell>
        </row>
        <row r="112">
          <cell r="H112" t="str">
            <v>SANCTIONED</v>
          </cell>
        </row>
        <row r="113">
          <cell r="F113">
            <v>169260333</v>
          </cell>
        </row>
        <row r="113">
          <cell r="H113" t="str">
            <v>SANCTIONED</v>
          </cell>
        </row>
        <row r="114">
          <cell r="F114">
            <v>19603395</v>
          </cell>
        </row>
        <row r="114">
          <cell r="H114" t="str">
            <v>APPLIED</v>
          </cell>
        </row>
        <row r="115">
          <cell r="F115" t="str">
            <v>EQ1264260912</v>
          </cell>
        </row>
        <row r="115">
          <cell r="H115" t="str">
            <v>CANCELLED</v>
          </cell>
        </row>
        <row r="116">
          <cell r="F116">
            <v>47991340</v>
          </cell>
        </row>
        <row r="116">
          <cell r="H116" t="str">
            <v>APPLIED</v>
          </cell>
        </row>
        <row r="117">
          <cell r="F117" t="str">
            <v>R-07332982-L</v>
          </cell>
        </row>
        <row r="117">
          <cell r="H117" t="str">
            <v>DISBURSED</v>
          </cell>
        </row>
        <row r="118">
          <cell r="F118" t="str">
            <v>DA1106357</v>
          </cell>
        </row>
        <row r="118">
          <cell r="H118" t="str">
            <v>APPLIED</v>
          </cell>
        </row>
        <row r="119">
          <cell r="F119">
            <v>168894326</v>
          </cell>
        </row>
        <row r="119">
          <cell r="H119" t="str">
            <v>DISBURSED</v>
          </cell>
        </row>
        <row r="120">
          <cell r="F120">
            <v>168997314</v>
          </cell>
        </row>
        <row r="120">
          <cell r="H120" t="str">
            <v>UNDER PROCESS</v>
          </cell>
        </row>
        <row r="121">
          <cell r="F121">
            <v>48006661</v>
          </cell>
        </row>
        <row r="121">
          <cell r="H121" t="str">
            <v>SANCTIONED</v>
          </cell>
        </row>
        <row r="122">
          <cell r="F122" t="str">
            <v>EQ1264260914</v>
          </cell>
        </row>
        <row r="122">
          <cell r="H122" t="str">
            <v>DISBURSED</v>
          </cell>
        </row>
        <row r="123">
          <cell r="F123" t="str">
            <v>WHL000002738393</v>
          </cell>
        </row>
        <row r="123">
          <cell r="H123" t="str">
            <v>DISBURSED</v>
          </cell>
        </row>
        <row r="124">
          <cell r="F124" t="str">
            <v>CF03927100</v>
          </cell>
        </row>
        <row r="124">
          <cell r="H124" t="str">
            <v>DISBURSED</v>
          </cell>
        </row>
        <row r="125">
          <cell r="F125" t="str">
            <v>DILALMS118538832</v>
          </cell>
        </row>
        <row r="125">
          <cell r="H125" t="str">
            <v>DISBURSED</v>
          </cell>
        </row>
        <row r="126">
          <cell r="F126">
            <v>167612153</v>
          </cell>
        </row>
        <row r="126">
          <cell r="H126" t="str">
            <v>DISBURSED</v>
          </cell>
        </row>
        <row r="127">
          <cell r="F127">
            <v>168722479</v>
          </cell>
        </row>
        <row r="127">
          <cell r="H127" t="str">
            <v>REJECTED</v>
          </cell>
        </row>
        <row r="128">
          <cell r="H128" t="str">
            <v>RETRY OPT OUT</v>
          </cell>
        </row>
        <row r="129">
          <cell r="F129" t="str">
            <v>DILALMS118543691</v>
          </cell>
        </row>
        <row r="129">
          <cell r="H129" t="str">
            <v>UNDER PROCESS</v>
          </cell>
        </row>
        <row r="130">
          <cell r="F130">
            <v>47447090</v>
          </cell>
        </row>
        <row r="130">
          <cell r="H130" t="str">
            <v>DISBURSED</v>
          </cell>
        </row>
        <row r="131">
          <cell r="F131">
            <v>48038771</v>
          </cell>
        </row>
        <row r="131">
          <cell r="H131" t="str">
            <v>DISBURSED</v>
          </cell>
        </row>
        <row r="132">
          <cell r="F132" t="str">
            <v>DA1116916</v>
          </cell>
        </row>
        <row r="132">
          <cell r="H132" t="str">
            <v>DISBURSED</v>
          </cell>
        </row>
        <row r="133">
          <cell r="F133" t="str">
            <v>UBI1773671873735</v>
          </cell>
        </row>
        <row r="133">
          <cell r="H133" t="str">
            <v>DISBURSED</v>
          </cell>
        </row>
        <row r="134">
          <cell r="F134" t="str">
            <v>MSF-000000000726</v>
          </cell>
        </row>
        <row r="134">
          <cell r="H134" t="str">
            <v>DISBURSED</v>
          </cell>
        </row>
        <row r="135">
          <cell r="F135">
            <v>169023970</v>
          </cell>
        </row>
        <row r="135">
          <cell r="H135" t="str">
            <v>REJECTED</v>
          </cell>
        </row>
        <row r="136">
          <cell r="F136" t="str">
            <v>WHL000002742513</v>
          </cell>
        </row>
        <row r="136">
          <cell r="H136" t="str">
            <v>APPLIED</v>
          </cell>
        </row>
        <row r="137">
          <cell r="F137" t="str">
            <v>R-07344010-L</v>
          </cell>
        </row>
        <row r="137">
          <cell r="H137" t="str">
            <v>SANCTIONED</v>
          </cell>
        </row>
        <row r="138">
          <cell r="F138" t="str">
            <v>WHL000002744580</v>
          </cell>
        </row>
        <row r="138">
          <cell r="H138" t="str">
            <v>DISBURSED</v>
          </cell>
        </row>
        <row r="139">
          <cell r="F139" t="str">
            <v>DA1116671</v>
          </cell>
        </row>
        <row r="139">
          <cell r="H139" t="str">
            <v>DISBURSED</v>
          </cell>
        </row>
        <row r="140">
          <cell r="F140">
            <v>168758837</v>
          </cell>
        </row>
        <row r="140">
          <cell r="H140" t="str">
            <v>DISBURSED</v>
          </cell>
        </row>
        <row r="141">
          <cell r="F141">
            <v>19326623</v>
          </cell>
        </row>
        <row r="141">
          <cell r="H141" t="str">
            <v>CANCELLED</v>
          </cell>
        </row>
        <row r="142">
          <cell r="F142" t="str">
            <v>PV04033413</v>
          </cell>
        </row>
        <row r="142">
          <cell r="H142" t="str">
            <v>SANCTIONED</v>
          </cell>
        </row>
        <row r="143">
          <cell r="F143" t="str">
            <v>WHL000002745962</v>
          </cell>
        </row>
        <row r="143">
          <cell r="H143" t="str">
            <v>SANCTIONED</v>
          </cell>
        </row>
        <row r="144">
          <cell r="F144" t="str">
            <v>R-07344224-L</v>
          </cell>
        </row>
        <row r="144">
          <cell r="H144" t="str">
            <v>APPLIED</v>
          </cell>
        </row>
        <row r="145">
          <cell r="F145" t="str">
            <v>UBI1773725571472</v>
          </cell>
        </row>
        <row r="145">
          <cell r="H145" t="str">
            <v>DISBURSED</v>
          </cell>
        </row>
        <row r="146">
          <cell r="F146">
            <v>48062810</v>
          </cell>
        </row>
        <row r="146">
          <cell r="H146" t="str">
            <v>DISBURSED</v>
          </cell>
        </row>
        <row r="147">
          <cell r="F147" t="str">
            <v>KGB_40605_0000168</v>
          </cell>
        </row>
        <row r="147">
          <cell r="H147" t="str">
            <v>APPLIED</v>
          </cell>
        </row>
        <row r="148">
          <cell r="F148" t="str">
            <v>DA1107943</v>
          </cell>
        </row>
        <row r="148">
          <cell r="H148" t="str">
            <v>APPLIED</v>
          </cell>
        </row>
        <row r="149">
          <cell r="F149" t="str">
            <v>DA1108017</v>
          </cell>
        </row>
        <row r="149">
          <cell r="H149" t="str">
            <v>DISBURSED</v>
          </cell>
        </row>
        <row r="150">
          <cell r="F150">
            <v>168781126</v>
          </cell>
        </row>
        <row r="150">
          <cell r="H150" t="str">
            <v>SANCTIONED</v>
          </cell>
        </row>
        <row r="151">
          <cell r="F151">
            <v>168778247</v>
          </cell>
        </row>
        <row r="151">
          <cell r="H151" t="str">
            <v>CANCELLED</v>
          </cell>
        </row>
        <row r="152">
          <cell r="F152">
            <v>47499167</v>
          </cell>
        </row>
        <row r="152">
          <cell r="H152" t="str">
            <v>DISBURSED</v>
          </cell>
        </row>
        <row r="153">
          <cell r="F153">
            <v>168779313</v>
          </cell>
        </row>
        <row r="153">
          <cell r="H153" t="str">
            <v>DISBURSED</v>
          </cell>
        </row>
        <row r="154">
          <cell r="F154">
            <v>168795141</v>
          </cell>
        </row>
        <row r="154">
          <cell r="H154" t="str">
            <v>SANCTIONED</v>
          </cell>
        </row>
        <row r="155">
          <cell r="F155">
            <v>169415704</v>
          </cell>
        </row>
        <row r="155">
          <cell r="H155" t="str">
            <v>DISBURSED</v>
          </cell>
        </row>
        <row r="156">
          <cell r="F156">
            <v>169414324</v>
          </cell>
        </row>
        <row r="156">
          <cell r="H156" t="str">
            <v>DISBURSED</v>
          </cell>
        </row>
        <row r="157">
          <cell r="F157" t="str">
            <v>DA1117810</v>
          </cell>
        </row>
        <row r="157">
          <cell r="H157" t="str">
            <v>DISBURSED</v>
          </cell>
        </row>
        <row r="158">
          <cell r="F158">
            <v>169396461</v>
          </cell>
        </row>
        <row r="158">
          <cell r="H158" t="str">
            <v>REJECTED</v>
          </cell>
        </row>
        <row r="159">
          <cell r="F159" t="str">
            <v>DA1117940</v>
          </cell>
        </row>
        <row r="159">
          <cell r="H159" t="str">
            <v>DISBURSED</v>
          </cell>
        </row>
        <row r="160">
          <cell r="F160" t="str">
            <v>R-07344653-L</v>
          </cell>
        </row>
        <row r="160">
          <cell r="H160" t="str">
            <v>DISBURSED</v>
          </cell>
        </row>
        <row r="161">
          <cell r="F161">
            <v>169104542</v>
          </cell>
        </row>
        <row r="161">
          <cell r="H161" t="str">
            <v>SANCTIONED</v>
          </cell>
        </row>
        <row r="162">
          <cell r="F162" t="str">
            <v>WHL000002749334</v>
          </cell>
        </row>
        <row r="162">
          <cell r="H162" t="str">
            <v>DISBURSED</v>
          </cell>
        </row>
        <row r="163">
          <cell r="F163" t="str">
            <v>PV04064555</v>
          </cell>
        </row>
        <row r="163">
          <cell r="H163" t="str">
            <v>DISBURSED</v>
          </cell>
        </row>
        <row r="164">
          <cell r="F164" t="str">
            <v>EQ01962620980</v>
          </cell>
        </row>
        <row r="164">
          <cell r="H164" t="str">
            <v>UNDER PROCESS</v>
          </cell>
        </row>
        <row r="165">
          <cell r="F165" t="str">
            <v>DILALMS118567917</v>
          </cell>
        </row>
        <row r="165">
          <cell r="H165" t="str">
            <v>DISBURSED</v>
          </cell>
        </row>
        <row r="166">
          <cell r="H166" t="str">
            <v>RETRY OPT OUT</v>
          </cell>
        </row>
        <row r="167">
          <cell r="F167">
            <v>169113938</v>
          </cell>
        </row>
        <row r="167">
          <cell r="H167" t="str">
            <v>REJECTED</v>
          </cell>
        </row>
        <row r="168">
          <cell r="F168" t="str">
            <v>WHL000002754077</v>
          </cell>
        </row>
        <row r="168">
          <cell r="H168" t="str">
            <v>APPLIED</v>
          </cell>
        </row>
        <row r="169">
          <cell r="F169">
            <v>48106178</v>
          </cell>
        </row>
        <row r="169">
          <cell r="H169" t="str">
            <v>DISBURSED</v>
          </cell>
        </row>
        <row r="170">
          <cell r="F170" t="str">
            <v>KGB_40697_0000178</v>
          </cell>
        </row>
        <row r="170">
          <cell r="H170" t="str">
            <v>APPLIED</v>
          </cell>
        </row>
        <row r="171">
          <cell r="F171">
            <v>48107755</v>
          </cell>
        </row>
        <row r="171">
          <cell r="H171" t="str">
            <v>DISBURSED</v>
          </cell>
        </row>
        <row r="172">
          <cell r="F172" t="str">
            <v>PV04042869</v>
          </cell>
        </row>
        <row r="172">
          <cell r="H172" t="str">
            <v>DISBURSED</v>
          </cell>
        </row>
        <row r="173">
          <cell r="F173" t="str">
            <v>UCO1771669710635</v>
          </cell>
        </row>
        <row r="173">
          <cell r="H173" t="str">
            <v>APPLIED</v>
          </cell>
        </row>
        <row r="174">
          <cell r="F174">
            <v>168875702</v>
          </cell>
        </row>
        <row r="174">
          <cell r="H174" t="str">
            <v>REJECTED</v>
          </cell>
        </row>
        <row r="175">
          <cell r="F175" t="str">
            <v>DA1121698</v>
          </cell>
        </row>
        <row r="175">
          <cell r="H175" t="str">
            <v>APPLIED</v>
          </cell>
        </row>
        <row r="176">
          <cell r="F176">
            <v>169490231</v>
          </cell>
        </row>
        <row r="176">
          <cell r="H176" t="str">
            <v>REJECTED</v>
          </cell>
        </row>
        <row r="177">
          <cell r="F177" t="str">
            <v>DILALMS118814265</v>
          </cell>
        </row>
        <row r="177">
          <cell r="H177" t="str">
            <v>DISBURSED</v>
          </cell>
        </row>
        <row r="178">
          <cell r="F178" t="str">
            <v>DILALMS118814106</v>
          </cell>
        </row>
        <row r="178">
          <cell r="H178" t="str">
            <v>DISBURSED</v>
          </cell>
        </row>
        <row r="179">
          <cell r="F179">
            <v>19391773</v>
          </cell>
        </row>
        <row r="179">
          <cell r="H179" t="str">
            <v>APPLIED</v>
          </cell>
        </row>
        <row r="180">
          <cell r="H180" t="str">
            <v>RETRY OPT OUT</v>
          </cell>
        </row>
        <row r="181">
          <cell r="F181">
            <v>19385151</v>
          </cell>
        </row>
        <row r="181">
          <cell r="H181" t="str">
            <v>APPLIED</v>
          </cell>
        </row>
        <row r="182">
          <cell r="F182" t="str">
            <v>EQ00552622540</v>
          </cell>
        </row>
        <row r="182">
          <cell r="H182" t="str">
            <v>REJECTED</v>
          </cell>
        </row>
        <row r="183">
          <cell r="F183">
            <v>47605546</v>
          </cell>
        </row>
        <row r="183">
          <cell r="H183" t="str">
            <v>DISBURSED</v>
          </cell>
        </row>
        <row r="184">
          <cell r="F184">
            <v>47603441</v>
          </cell>
        </row>
        <row r="184">
          <cell r="H184" t="str">
            <v>DISBURSED</v>
          </cell>
        </row>
        <row r="185">
          <cell r="F185">
            <v>19389781</v>
          </cell>
        </row>
        <row r="185">
          <cell r="H185" t="str">
            <v>APPLIED</v>
          </cell>
        </row>
        <row r="186">
          <cell r="F186">
            <v>167719319</v>
          </cell>
        </row>
        <row r="186">
          <cell r="H186" t="str">
            <v>UNDER PROCESS</v>
          </cell>
        </row>
        <row r="187">
          <cell r="F187">
            <v>168894590</v>
          </cell>
        </row>
        <row r="187">
          <cell r="H187" t="str">
            <v>REJECTED</v>
          </cell>
        </row>
        <row r="188">
          <cell r="F188" t="str">
            <v>M0033707</v>
          </cell>
        </row>
        <row r="188">
          <cell r="H188" t="str">
            <v>DISBURSED</v>
          </cell>
        </row>
        <row r="189">
          <cell r="F189" t="str">
            <v>DILALMS118604134</v>
          </cell>
        </row>
        <row r="189">
          <cell r="H189" t="str">
            <v>DISBURSED</v>
          </cell>
        </row>
        <row r="190">
          <cell r="F190">
            <v>19673185</v>
          </cell>
        </row>
        <row r="190">
          <cell r="H190" t="str">
            <v>DISBURSED</v>
          </cell>
        </row>
        <row r="191">
          <cell r="F191">
            <v>169502861</v>
          </cell>
        </row>
        <row r="191">
          <cell r="H191" t="str">
            <v>DISBURSED</v>
          </cell>
        </row>
        <row r="192">
          <cell r="F192">
            <v>167743115</v>
          </cell>
        </row>
        <row r="192">
          <cell r="H192" t="str">
            <v>REJECTED</v>
          </cell>
        </row>
        <row r="193">
          <cell r="F193">
            <v>19400983</v>
          </cell>
        </row>
        <row r="193">
          <cell r="H193" t="str">
            <v>DISBURSED</v>
          </cell>
        </row>
        <row r="194">
          <cell r="F194">
            <v>168930817</v>
          </cell>
        </row>
        <row r="194">
          <cell r="H194" t="str">
            <v>DISBURSED</v>
          </cell>
        </row>
        <row r="195">
          <cell r="F195">
            <v>168928270</v>
          </cell>
        </row>
        <row r="195">
          <cell r="H195" t="str">
            <v>CANCELLED</v>
          </cell>
        </row>
        <row r="196">
          <cell r="F196">
            <v>19699556</v>
          </cell>
        </row>
        <row r="196">
          <cell r="H196" t="str">
            <v>DISBURSED</v>
          </cell>
        </row>
        <row r="197">
          <cell r="F197" t="str">
            <v>WHL000002766081</v>
          </cell>
        </row>
        <row r="197">
          <cell r="H197" t="str">
            <v>DISBURSED</v>
          </cell>
        </row>
        <row r="198">
          <cell r="F198" t="str">
            <v>DILALMS118830127</v>
          </cell>
        </row>
        <row r="198">
          <cell r="H198" t="str">
            <v>SANCTIONED</v>
          </cell>
        </row>
        <row r="199">
          <cell r="F199">
            <v>169190095</v>
          </cell>
        </row>
        <row r="199">
          <cell r="H199" t="str">
            <v>UNDER PROCESS</v>
          </cell>
        </row>
        <row r="200">
          <cell r="F200" t="str">
            <v>WHL000002768323</v>
          </cell>
        </row>
        <row r="200">
          <cell r="H200" t="str">
            <v>APPLIED</v>
          </cell>
        </row>
        <row r="201">
          <cell r="F201" t="str">
            <v>WHL000002695333</v>
          </cell>
        </row>
        <row r="201">
          <cell r="H201" t="str">
            <v>APPLIED</v>
          </cell>
        </row>
        <row r="202">
          <cell r="F202" t="str">
            <v>IAL-0000533008-A1</v>
          </cell>
        </row>
        <row r="202">
          <cell r="H202" t="str">
            <v>REJECTED</v>
          </cell>
        </row>
        <row r="203">
          <cell r="F203">
            <v>167755578</v>
          </cell>
        </row>
        <row r="203">
          <cell r="H203" t="str">
            <v>DISBURSED</v>
          </cell>
        </row>
        <row r="204">
          <cell r="F204" t="str">
            <v>MSF-000000000676</v>
          </cell>
        </row>
        <row r="204">
          <cell r="H204" t="str">
            <v>UNDER PROCESS</v>
          </cell>
        </row>
        <row r="205">
          <cell r="F205">
            <v>47692698</v>
          </cell>
        </row>
        <row r="205">
          <cell r="H205" t="str">
            <v>DISBURSED</v>
          </cell>
        </row>
        <row r="206">
          <cell r="F206">
            <v>168955348</v>
          </cell>
        </row>
        <row r="206">
          <cell r="H206" t="str">
            <v>SANCTIONED</v>
          </cell>
        </row>
        <row r="207">
          <cell r="F207">
            <v>48205512</v>
          </cell>
        </row>
        <row r="207">
          <cell r="H207" t="str">
            <v>DISBURSED</v>
          </cell>
        </row>
        <row r="208">
          <cell r="F208" t="str">
            <v>WHL000002769529</v>
          </cell>
        </row>
        <row r="208">
          <cell r="H208" t="str">
            <v>APPLIED</v>
          </cell>
        </row>
        <row r="209">
          <cell r="F209">
            <v>19707242</v>
          </cell>
        </row>
        <row r="209">
          <cell r="H209" t="str">
            <v>APPLIED</v>
          </cell>
        </row>
        <row r="210">
          <cell r="F210" t="str">
            <v>FBL04260000078431</v>
          </cell>
        </row>
        <row r="210">
          <cell r="H210" t="str">
            <v>SANCTIONED</v>
          </cell>
        </row>
        <row r="211">
          <cell r="F211">
            <v>168973949</v>
          </cell>
        </row>
        <row r="211">
          <cell r="H211" t="str">
            <v>DISBURSED</v>
          </cell>
        </row>
        <row r="212">
          <cell r="F212" t="str">
            <v>APP1858166785413518</v>
          </cell>
        </row>
        <row r="212">
          <cell r="H212" t="str">
            <v>UNDER PROCESS</v>
          </cell>
        </row>
        <row r="213">
          <cell r="F213" t="str">
            <v>CF03964530</v>
          </cell>
        </row>
        <row r="213">
          <cell r="H213" t="str">
            <v>DISBURSED</v>
          </cell>
        </row>
        <row r="214">
          <cell r="F214" t="str">
            <v>DA1121018</v>
          </cell>
        </row>
        <row r="214">
          <cell r="H214" t="str">
            <v>SANCTIONED</v>
          </cell>
        </row>
        <row r="215">
          <cell r="F215" t="str">
            <v>PNB1105729</v>
          </cell>
        </row>
        <row r="215">
          <cell r="H215" t="str">
            <v>UNDER PROCESS</v>
          </cell>
        </row>
        <row r="216">
          <cell r="F216">
            <v>48240411</v>
          </cell>
        </row>
        <row r="216">
          <cell r="H216" t="str">
            <v>DISBURSED</v>
          </cell>
        </row>
        <row r="217">
          <cell r="F217">
            <v>169210649</v>
          </cell>
        </row>
        <row r="217">
          <cell r="H217" t="str">
            <v>UNDER PROCESS</v>
          </cell>
        </row>
        <row r="218">
          <cell r="F218">
            <v>48240675</v>
          </cell>
        </row>
        <row r="218">
          <cell r="H218" t="str">
            <v>DISBURSED</v>
          </cell>
        </row>
        <row r="219">
          <cell r="F219">
            <v>19428443</v>
          </cell>
        </row>
        <row r="219">
          <cell r="H219" t="str">
            <v>DISBURSED</v>
          </cell>
        </row>
        <row r="220">
          <cell r="F220">
            <v>47735381</v>
          </cell>
        </row>
        <row r="220">
          <cell r="H220" t="str">
            <v>DISBURSED</v>
          </cell>
        </row>
        <row r="221">
          <cell r="F221" t="str">
            <v>WHL000002777062</v>
          </cell>
        </row>
        <row r="221">
          <cell r="H221" t="str">
            <v>APPLIED</v>
          </cell>
        </row>
        <row r="222">
          <cell r="F222" t="str">
            <v>DILALMS118861118</v>
          </cell>
        </row>
        <row r="222">
          <cell r="H222" t="str">
            <v>APPLIED</v>
          </cell>
        </row>
        <row r="223">
          <cell r="F223">
            <v>169649707</v>
          </cell>
        </row>
        <row r="223">
          <cell r="H223" t="str">
            <v>UNDER PROCESS</v>
          </cell>
        </row>
        <row r="224">
          <cell r="F224" t="str">
            <v>DILALMS118857635</v>
          </cell>
        </row>
        <row r="224">
          <cell r="H224" t="str">
            <v>DISBURSED</v>
          </cell>
        </row>
        <row r="225">
          <cell r="F225" t="str">
            <v>DA1121670</v>
          </cell>
        </row>
        <row r="225">
          <cell r="H225" t="str">
            <v>APPLIED</v>
          </cell>
        </row>
        <row r="226">
          <cell r="F226" t="str">
            <v>DILALMS118856812</v>
          </cell>
        </row>
        <row r="226">
          <cell r="H226" t="str">
            <v>APPLIED</v>
          </cell>
        </row>
        <row r="227">
          <cell r="F227" t="str">
            <v>DA1121780</v>
          </cell>
        </row>
        <row r="227">
          <cell r="H227" t="str">
            <v>UNDER PROCESS</v>
          </cell>
        </row>
        <row r="228">
          <cell r="F228" t="str">
            <v>DILALMS118861261</v>
          </cell>
        </row>
        <row r="228">
          <cell r="H228" t="str">
            <v>APPLIED</v>
          </cell>
        </row>
        <row r="229">
          <cell r="F229">
            <v>169654562</v>
          </cell>
        </row>
        <row r="229">
          <cell r="H229" t="str">
            <v>UNDER PROCESS</v>
          </cell>
        </row>
        <row r="230">
          <cell r="F230" t="str">
            <v>DILALMS118859855</v>
          </cell>
        </row>
        <row r="230">
          <cell r="H230" t="str">
            <v>APPLIED</v>
          </cell>
        </row>
        <row r="231">
          <cell r="F231" t="str">
            <v>WHL000002777686</v>
          </cell>
        </row>
        <row r="231">
          <cell r="H231" t="str">
            <v>APPLIED</v>
          </cell>
        </row>
        <row r="232">
          <cell r="F232" t="str">
            <v>DILALMS118647534</v>
          </cell>
        </row>
        <row r="232">
          <cell r="H232" t="str">
            <v>UNDER PROCESS</v>
          </cell>
        </row>
        <row r="233">
          <cell r="F233" t="str">
            <v>WHL000002782398</v>
          </cell>
        </row>
        <row r="233">
          <cell r="H233" t="str">
            <v>APPLIED</v>
          </cell>
        </row>
        <row r="234">
          <cell r="F234">
            <v>169676561</v>
          </cell>
        </row>
        <row r="234">
          <cell r="H234" t="str">
            <v>UNDER PROCESS</v>
          </cell>
        </row>
        <row r="235">
          <cell r="F235" t="str">
            <v>DILALMS118864268</v>
          </cell>
        </row>
        <row r="235">
          <cell r="H235" t="str">
            <v>APPLIED</v>
          </cell>
        </row>
        <row r="236">
          <cell r="F236" t="str">
            <v>R-07348401-L</v>
          </cell>
        </row>
        <row r="236">
          <cell r="H236" t="str">
            <v>APPLIED</v>
          </cell>
        </row>
        <row r="237">
          <cell r="F237">
            <v>169672183</v>
          </cell>
        </row>
        <row r="237">
          <cell r="H237" t="str">
            <v>UNDER PROCESS</v>
          </cell>
        </row>
        <row r="238">
          <cell r="F238" t="str">
            <v>DILALMS118864212</v>
          </cell>
        </row>
        <row r="238">
          <cell r="H238" t="str">
            <v>APPLIED</v>
          </cell>
        </row>
        <row r="239">
          <cell r="F239">
            <v>169666969</v>
          </cell>
        </row>
        <row r="239">
          <cell r="H239" t="str">
            <v>UNDER PROCESS</v>
          </cell>
        </row>
        <row r="240">
          <cell r="F240" t="str">
            <v>R-07342560-L</v>
          </cell>
        </row>
        <row r="240">
          <cell r="H240" t="str">
            <v>APPLIED</v>
          </cell>
        </row>
        <row r="241">
          <cell r="F241" t="str">
            <v>UBI1772435790558</v>
          </cell>
        </row>
        <row r="241">
          <cell r="H241" t="str">
            <v>APPLIED</v>
          </cell>
        </row>
        <row r="242">
          <cell r="F242">
            <v>19458993</v>
          </cell>
        </row>
        <row r="242">
          <cell r="H242" t="str">
            <v>UNDER PROCESS</v>
          </cell>
        </row>
        <row r="243">
          <cell r="F243" t="str">
            <v>R-07338854-L</v>
          </cell>
        </row>
        <row r="243">
          <cell r="H243" t="str">
            <v>DISBURSED</v>
          </cell>
        </row>
        <row r="244">
          <cell r="F244">
            <v>169044382</v>
          </cell>
        </row>
        <row r="244">
          <cell r="H244" t="str">
            <v>SANCTIONED</v>
          </cell>
        </row>
        <row r="245">
          <cell r="F245" t="str">
            <v>R-07339491-L</v>
          </cell>
        </row>
        <row r="245">
          <cell r="H245" t="str">
            <v>REJECTED</v>
          </cell>
        </row>
        <row r="246">
          <cell r="F246">
            <v>19471203</v>
          </cell>
        </row>
        <row r="246">
          <cell r="H246" t="str">
            <v>DISBURSED</v>
          </cell>
        </row>
        <row r="247">
          <cell r="H247" t="str">
            <v>RETRY OPT OUT</v>
          </cell>
        </row>
        <row r="248">
          <cell r="F248">
            <v>169061930</v>
          </cell>
        </row>
        <row r="248">
          <cell r="H248" t="str">
            <v>REJECTED</v>
          </cell>
        </row>
        <row r="249">
          <cell r="F249">
            <v>19486276</v>
          </cell>
        </row>
        <row r="249">
          <cell r="H249" t="str">
            <v>DISBURSED</v>
          </cell>
        </row>
        <row r="250">
          <cell r="F250" t="str">
            <v>KGB_40634_0000112</v>
          </cell>
        </row>
        <row r="250">
          <cell r="H250" t="str">
            <v>DISBURSED</v>
          </cell>
        </row>
        <row r="251">
          <cell r="F251" t="str">
            <v>R-07339635-L</v>
          </cell>
        </row>
        <row r="251">
          <cell r="H251" t="str">
            <v>DISBURSED</v>
          </cell>
        </row>
        <row r="252">
          <cell r="F252" t="str">
            <v>R-07339737-L</v>
          </cell>
        </row>
        <row r="252">
          <cell r="H252" t="str">
            <v>REJECTED</v>
          </cell>
        </row>
        <row r="253">
          <cell r="F253" t="str">
            <v>KGB_40670_0000109</v>
          </cell>
        </row>
        <row r="253">
          <cell r="H253" t="str">
            <v>DISBURSED</v>
          </cell>
        </row>
        <row r="254">
          <cell r="F254" t="str">
            <v>EQ0135269510</v>
          </cell>
        </row>
        <row r="254">
          <cell r="H254" t="str">
            <v>REJECTED</v>
          </cell>
        </row>
        <row r="255">
          <cell r="F255" t="str">
            <v>KGB_40266_0000110</v>
          </cell>
        </row>
        <row r="255">
          <cell r="H255" t="str">
            <v>REJECTED</v>
          </cell>
        </row>
        <row r="256">
          <cell r="F256" t="str">
            <v>EQ1264260900</v>
          </cell>
        </row>
        <row r="256">
          <cell r="H256" t="str">
            <v>SANCTIONED</v>
          </cell>
        </row>
        <row r="257">
          <cell r="F257">
            <v>168739156</v>
          </cell>
        </row>
        <row r="257">
          <cell r="H257" t="str">
            <v>UNDER PROCESS</v>
          </cell>
        </row>
        <row r="258">
          <cell r="F258">
            <v>169117347</v>
          </cell>
        </row>
        <row r="258">
          <cell r="H258" t="str">
            <v>REJECTED</v>
          </cell>
        </row>
        <row r="259">
          <cell r="F259" t="str">
            <v>DILALMS118686680</v>
          </cell>
        </row>
        <row r="259">
          <cell r="H259" t="str">
            <v>DISBURSED</v>
          </cell>
        </row>
        <row r="260">
          <cell r="F260">
            <v>79378228</v>
          </cell>
        </row>
        <row r="260">
          <cell r="H260" t="str">
            <v>SANCTIONED</v>
          </cell>
        </row>
        <row r="261">
          <cell r="F261" t="str">
            <v>KGB_40537_0000124</v>
          </cell>
        </row>
        <row r="261">
          <cell r="H261" t="str">
            <v>DISBURSED</v>
          </cell>
        </row>
        <row r="262">
          <cell r="F262">
            <v>169133080</v>
          </cell>
        </row>
        <row r="262">
          <cell r="H262" t="str">
            <v>SANCTIONED</v>
          </cell>
        </row>
        <row r="263">
          <cell r="F263">
            <v>19506097</v>
          </cell>
        </row>
        <row r="263">
          <cell r="H263" t="str">
            <v>DISBURSED</v>
          </cell>
        </row>
        <row r="264">
          <cell r="F264" t="str">
            <v>260365263619</v>
          </cell>
        </row>
        <row r="264">
          <cell r="H264" t="str">
            <v>DISBURSED</v>
          </cell>
        </row>
        <row r="265">
          <cell r="F265" t="str">
            <v>DA1113874</v>
          </cell>
        </row>
        <row r="265">
          <cell r="H265" t="str">
            <v>DISBURSED</v>
          </cell>
        </row>
        <row r="266">
          <cell r="F266" t="str">
            <v>R-07341099-L</v>
          </cell>
        </row>
        <row r="266">
          <cell r="H266" t="str">
            <v>DISBURSED</v>
          </cell>
        </row>
        <row r="267">
          <cell r="F267">
            <v>169183768</v>
          </cell>
        </row>
        <row r="267">
          <cell r="H267" t="str">
            <v>SANCTIONED</v>
          </cell>
        </row>
        <row r="268">
          <cell r="F268">
            <v>47940205</v>
          </cell>
        </row>
        <row r="268">
          <cell r="H268" t="str">
            <v>SANCTIONED</v>
          </cell>
        </row>
        <row r="269">
          <cell r="F269" t="str">
            <v>260365329613</v>
          </cell>
        </row>
        <row r="269">
          <cell r="H269" t="str">
            <v>DISBURSED</v>
          </cell>
        </row>
        <row r="270">
          <cell r="H270" t="str">
            <v>RETRY OPT OUT</v>
          </cell>
        </row>
        <row r="271">
          <cell r="F271" t="str">
            <v>EQ1264260908</v>
          </cell>
        </row>
        <row r="271">
          <cell r="H271" t="str">
            <v>REJECTED</v>
          </cell>
        </row>
        <row r="272">
          <cell r="F272" t="str">
            <v>CF03998137</v>
          </cell>
        </row>
        <row r="272">
          <cell r="H272" t="str">
            <v>SANCTIONED</v>
          </cell>
        </row>
        <row r="273">
          <cell r="F273">
            <v>169219584</v>
          </cell>
        </row>
        <row r="273">
          <cell r="H273" t="str">
            <v>SANCTIONED</v>
          </cell>
        </row>
        <row r="274">
          <cell r="F274" t="str">
            <v>260365368507</v>
          </cell>
        </row>
        <row r="274">
          <cell r="H274" t="str">
            <v>REJECTED</v>
          </cell>
        </row>
        <row r="275">
          <cell r="F275" t="str">
            <v>PV04020366</v>
          </cell>
        </row>
        <row r="275">
          <cell r="H275" t="str">
            <v>DISBURSED</v>
          </cell>
        </row>
        <row r="276">
          <cell r="F276">
            <v>169241514</v>
          </cell>
        </row>
        <row r="276">
          <cell r="H276" t="str">
            <v>REJECTED</v>
          </cell>
        </row>
        <row r="277">
          <cell r="F277">
            <v>169268365</v>
          </cell>
        </row>
        <row r="277">
          <cell r="H277" t="str">
            <v>SANCTIONED</v>
          </cell>
        </row>
        <row r="278">
          <cell r="F278" t="str">
            <v>IAL-0000534678-A1</v>
          </cell>
        </row>
        <row r="278">
          <cell r="H278" t="str">
            <v>SANCTIONED</v>
          </cell>
        </row>
        <row r="279">
          <cell r="F279" t="str">
            <v>EQ1329260075</v>
          </cell>
        </row>
        <row r="279">
          <cell r="H279" t="str">
            <v>CANCELLED</v>
          </cell>
        </row>
        <row r="280">
          <cell r="F280" t="str">
            <v>KGB_40567_0000146</v>
          </cell>
        </row>
        <row r="280">
          <cell r="H280" t="str">
            <v>APPLIED</v>
          </cell>
        </row>
        <row r="281">
          <cell r="F281">
            <v>19553383</v>
          </cell>
        </row>
        <row r="281">
          <cell r="H281" t="str">
            <v>CANCELLED</v>
          </cell>
        </row>
        <row r="282">
          <cell r="F282" t="str">
            <v>DILALMS118741362</v>
          </cell>
        </row>
        <row r="282">
          <cell r="H282" t="str">
            <v>UNDER PROCESS</v>
          </cell>
        </row>
        <row r="283">
          <cell r="F283" t="str">
            <v>KGB_40567_0000154</v>
          </cell>
        </row>
        <row r="283">
          <cell r="H283" t="str">
            <v>APPLIED</v>
          </cell>
        </row>
        <row r="284">
          <cell r="F284" t="str">
            <v>EQ01962620700</v>
          </cell>
        </row>
        <row r="284">
          <cell r="H284" t="str">
            <v>CANCELLED</v>
          </cell>
        </row>
        <row r="285">
          <cell r="F285" t="str">
            <v>WHL000002666026</v>
          </cell>
        </row>
        <row r="285">
          <cell r="H285" t="str">
            <v>APPLIED</v>
          </cell>
        </row>
        <row r="286">
          <cell r="F286" t="str">
            <v>FBL04260000074054</v>
          </cell>
        </row>
        <row r="286">
          <cell r="H286" t="str">
            <v>REJECTED</v>
          </cell>
        </row>
        <row r="287">
          <cell r="F287" t="str">
            <v>PV04011915</v>
          </cell>
        </row>
        <row r="287">
          <cell r="H287" t="str">
            <v>DISBURSED</v>
          </cell>
        </row>
        <row r="288">
          <cell r="F288">
            <v>168991770</v>
          </cell>
        </row>
        <row r="288">
          <cell r="H288" t="str">
            <v>UNDER PROCESS</v>
          </cell>
        </row>
        <row r="289">
          <cell r="F289" t="str">
            <v>KGB_40539_0000160</v>
          </cell>
        </row>
        <row r="289">
          <cell r="H289" t="str">
            <v>APPLIED</v>
          </cell>
        </row>
        <row r="290">
          <cell r="F290" t="str">
            <v>KGB_40699_0000157</v>
          </cell>
        </row>
        <row r="290">
          <cell r="H290" t="str">
            <v>APPLIED</v>
          </cell>
        </row>
        <row r="291">
          <cell r="F291">
            <v>168702654</v>
          </cell>
        </row>
        <row r="291">
          <cell r="H291" t="str">
            <v>REJECTED</v>
          </cell>
        </row>
        <row r="292">
          <cell r="F292" t="str">
            <v>DA1116347</v>
          </cell>
        </row>
        <row r="292">
          <cell r="H292" t="str">
            <v>DISBURSED</v>
          </cell>
        </row>
        <row r="293">
          <cell r="F293">
            <v>169317863</v>
          </cell>
        </row>
        <row r="293">
          <cell r="H293" t="str">
            <v>CANCELLED</v>
          </cell>
        </row>
        <row r="294">
          <cell r="F294" t="str">
            <v>R-07343441-L</v>
          </cell>
        </row>
        <row r="294">
          <cell r="H294" t="str">
            <v>DISBURSED</v>
          </cell>
        </row>
        <row r="295">
          <cell r="F295" t="str">
            <v>DA1116313</v>
          </cell>
        </row>
        <row r="295">
          <cell r="H295" t="str">
            <v>APPLIED</v>
          </cell>
        </row>
        <row r="296">
          <cell r="F296" t="str">
            <v>EQ01962620703</v>
          </cell>
        </row>
        <row r="296">
          <cell r="H296" t="str">
            <v>REJECTED</v>
          </cell>
        </row>
        <row r="297">
          <cell r="F297" t="str">
            <v>R-07343530-L</v>
          </cell>
        </row>
        <row r="297">
          <cell r="H297" t="str">
            <v>DISBURSED</v>
          </cell>
        </row>
        <row r="298">
          <cell r="F298" t="str">
            <v>KGB_40551_0000030</v>
          </cell>
        </row>
        <row r="298">
          <cell r="H298" t="str">
            <v>DISBURSED</v>
          </cell>
        </row>
        <row r="299">
          <cell r="F299" t="str">
            <v>DILALMS118771756</v>
          </cell>
        </row>
        <row r="299">
          <cell r="H299" t="str">
            <v>SANCTIONED</v>
          </cell>
        </row>
        <row r="300">
          <cell r="F300">
            <v>19591986</v>
          </cell>
        </row>
        <row r="300">
          <cell r="H300" t="str">
            <v>DISBURSED</v>
          </cell>
        </row>
        <row r="301">
          <cell r="F301">
            <v>169331359</v>
          </cell>
        </row>
        <row r="301">
          <cell r="H301" t="str">
            <v>SANCTIONED</v>
          </cell>
        </row>
        <row r="302">
          <cell r="F302" t="str">
            <v>DILALMS118771222</v>
          </cell>
        </row>
        <row r="302">
          <cell r="H302" t="str">
            <v>UNDER PROCESS</v>
          </cell>
        </row>
        <row r="303">
          <cell r="F303" t="str">
            <v>DILALMS118773348</v>
          </cell>
        </row>
        <row r="303">
          <cell r="H303" t="str">
            <v>DISBURSED</v>
          </cell>
        </row>
        <row r="304">
          <cell r="F304" t="str">
            <v>260365462153</v>
          </cell>
        </row>
        <row r="304">
          <cell r="H304" t="str">
            <v>SANCTIONED</v>
          </cell>
        </row>
        <row r="305">
          <cell r="F305" t="str">
            <v>M0034300</v>
          </cell>
        </row>
        <row r="305">
          <cell r="H305" t="str">
            <v>DISBURSED</v>
          </cell>
        </row>
        <row r="306">
          <cell r="F306" t="str">
            <v>DA1116763</v>
          </cell>
        </row>
        <row r="306">
          <cell r="H306" t="str">
            <v>UNDER PROCESS</v>
          </cell>
        </row>
        <row r="307">
          <cell r="F307">
            <v>47473985</v>
          </cell>
        </row>
        <row r="307">
          <cell r="H307" t="str">
            <v>DISBURSED</v>
          </cell>
        </row>
        <row r="308">
          <cell r="F308">
            <v>167619743</v>
          </cell>
        </row>
        <row r="308">
          <cell r="H308" t="str">
            <v>APPLIED</v>
          </cell>
        </row>
        <row r="309">
          <cell r="F309">
            <v>47458864</v>
          </cell>
        </row>
        <row r="309">
          <cell r="H309" t="str">
            <v>SANCTIONED</v>
          </cell>
        </row>
        <row r="310">
          <cell r="F310">
            <v>19616283</v>
          </cell>
        </row>
        <row r="310">
          <cell r="H310" t="str">
            <v>DISBURSED</v>
          </cell>
        </row>
        <row r="311">
          <cell r="F311">
            <v>169073366</v>
          </cell>
        </row>
        <row r="311">
          <cell r="H311" t="str">
            <v>DISBURSED</v>
          </cell>
        </row>
        <row r="312">
          <cell r="F312" t="str">
            <v>WHL000002747070</v>
          </cell>
        </row>
        <row r="312">
          <cell r="H312" t="str">
            <v>APPLIED</v>
          </cell>
        </row>
        <row r="313">
          <cell r="F313">
            <v>169362248</v>
          </cell>
        </row>
        <row r="313">
          <cell r="H313" t="str">
            <v>DISBURSED</v>
          </cell>
        </row>
        <row r="314">
          <cell r="F314" t="str">
            <v>R-07344344-L</v>
          </cell>
        </row>
        <row r="314">
          <cell r="H314" t="str">
            <v>DISBURSED</v>
          </cell>
        </row>
        <row r="315">
          <cell r="F315" t="str">
            <v>DA1117395</v>
          </cell>
        </row>
        <row r="315">
          <cell r="H315" t="str">
            <v>DISBURSED</v>
          </cell>
        </row>
        <row r="316">
          <cell r="F316" t="str">
            <v>MSF-000000000655</v>
          </cell>
        </row>
        <row r="316">
          <cell r="H316" t="str">
            <v>APPLIED</v>
          </cell>
        </row>
        <row r="317">
          <cell r="F317" t="str">
            <v>KGB_40670_0000053</v>
          </cell>
        </row>
        <row r="317">
          <cell r="H317" t="str">
            <v>DISBURSED</v>
          </cell>
        </row>
        <row r="318">
          <cell r="F318" t="str">
            <v>EQ01962620981</v>
          </cell>
        </row>
        <row r="318">
          <cell r="H318" t="str">
            <v>UNDER PROCESS</v>
          </cell>
        </row>
        <row r="319">
          <cell r="F319" t="str">
            <v>R-07344958-L</v>
          </cell>
        </row>
        <row r="319">
          <cell r="H319" t="str">
            <v>DISBURSED</v>
          </cell>
        </row>
        <row r="320">
          <cell r="F320">
            <v>169111467</v>
          </cell>
        </row>
        <row r="320">
          <cell r="H320" t="str">
            <v>UNDER PROCESS</v>
          </cell>
        </row>
        <row r="321">
          <cell r="F321">
            <v>169410848</v>
          </cell>
        </row>
        <row r="321">
          <cell r="H321" t="str">
            <v>REJECTED</v>
          </cell>
        </row>
        <row r="322">
          <cell r="F322" t="str">
            <v>KGB_40551_0000172</v>
          </cell>
        </row>
        <row r="322">
          <cell r="H322" t="str">
            <v>APPLIED</v>
          </cell>
        </row>
        <row r="323">
          <cell r="F323" t="str">
            <v>WHL000002750033</v>
          </cell>
        </row>
        <row r="323">
          <cell r="H323" t="str">
            <v>SANCTIONED</v>
          </cell>
        </row>
        <row r="324">
          <cell r="F324" t="str">
            <v>EQ01962620885</v>
          </cell>
        </row>
        <row r="324">
          <cell r="H324" t="str">
            <v>CANCELLED</v>
          </cell>
        </row>
        <row r="325">
          <cell r="F325" t="str">
            <v>EQ01962620986</v>
          </cell>
        </row>
        <row r="325">
          <cell r="H325" t="str">
            <v>SANCTIONED</v>
          </cell>
        </row>
        <row r="326">
          <cell r="F326" t="str">
            <v>R-07335057-L</v>
          </cell>
        </row>
        <row r="326">
          <cell r="H326" t="str">
            <v>DISBURSED</v>
          </cell>
        </row>
        <row r="327">
          <cell r="F327" t="str">
            <v>EQ01962620752</v>
          </cell>
        </row>
        <row r="327">
          <cell r="H327" t="str">
            <v>CANCELLED</v>
          </cell>
        </row>
        <row r="328">
          <cell r="H328" t="str">
            <v>RETRY OPT OUT</v>
          </cell>
        </row>
        <row r="329">
          <cell r="F329" t="str">
            <v>KGB_40535_0000059</v>
          </cell>
        </row>
        <row r="329">
          <cell r="H329" t="str">
            <v>APPLIED</v>
          </cell>
        </row>
        <row r="330">
          <cell r="F330" t="str">
            <v>KGB_40575_0000057</v>
          </cell>
        </row>
        <row r="330">
          <cell r="H330" t="str">
            <v>APPLIED</v>
          </cell>
        </row>
        <row r="331">
          <cell r="F331">
            <v>19351717</v>
          </cell>
        </row>
        <row r="331">
          <cell r="H331" t="str">
            <v>APPLIED</v>
          </cell>
        </row>
        <row r="332">
          <cell r="F332" t="str">
            <v>EQ01962620995</v>
          </cell>
        </row>
        <row r="332">
          <cell r="H332" t="str">
            <v>UNDER PROCESS</v>
          </cell>
        </row>
        <row r="333">
          <cell r="F333" t="str">
            <v>FBL04260000077666</v>
          </cell>
        </row>
        <row r="333">
          <cell r="H333" t="str">
            <v>DISBURSED</v>
          </cell>
        </row>
        <row r="334">
          <cell r="F334">
            <v>19641458</v>
          </cell>
        </row>
        <row r="334">
          <cell r="H334" t="str">
            <v>UNDER PROCESS</v>
          </cell>
        </row>
        <row r="335">
          <cell r="F335">
            <v>19637367</v>
          </cell>
        </row>
        <row r="335">
          <cell r="H335" t="str">
            <v>SANCTIONED</v>
          </cell>
        </row>
        <row r="336">
          <cell r="F336" t="str">
            <v>PV04043369</v>
          </cell>
        </row>
        <row r="336">
          <cell r="H336" t="str">
            <v>SANCTIONED</v>
          </cell>
        </row>
        <row r="337">
          <cell r="F337" t="str">
            <v>R-07345250-L</v>
          </cell>
        </row>
        <row r="337">
          <cell r="H337" t="str">
            <v>APPLIED</v>
          </cell>
        </row>
        <row r="338">
          <cell r="F338" t="str">
            <v>DILALMS118582588</v>
          </cell>
        </row>
        <row r="338">
          <cell r="H338" t="str">
            <v>UNDER PROCESS</v>
          </cell>
        </row>
        <row r="339">
          <cell r="F339">
            <v>47549806</v>
          </cell>
        </row>
        <row r="339">
          <cell r="H339" t="str">
            <v>DISBURSED</v>
          </cell>
        </row>
        <row r="340">
          <cell r="F340" t="str">
            <v>EQ0133267141</v>
          </cell>
        </row>
        <row r="340">
          <cell r="H340" t="str">
            <v>REJECTED</v>
          </cell>
        </row>
        <row r="341">
          <cell r="F341" t="str">
            <v>KGB_40746_0000063</v>
          </cell>
        </row>
        <row r="341">
          <cell r="H341" t="str">
            <v>DISBURSED</v>
          </cell>
        </row>
        <row r="342">
          <cell r="F342" t="str">
            <v>260264912901</v>
          </cell>
        </row>
        <row r="342">
          <cell r="H342" t="str">
            <v>REJECTED</v>
          </cell>
        </row>
        <row r="343">
          <cell r="F343">
            <v>167683677</v>
          </cell>
        </row>
        <row r="343">
          <cell r="H343" t="str">
            <v>DISBURSED</v>
          </cell>
        </row>
        <row r="344">
          <cell r="F344" t="str">
            <v>M0033645</v>
          </cell>
        </row>
        <row r="344">
          <cell r="H344" t="str">
            <v>APPLIED</v>
          </cell>
        </row>
        <row r="345">
          <cell r="F345" t="str">
            <v>KGB_40670_0000065</v>
          </cell>
        </row>
        <row r="345">
          <cell r="H345" t="str">
            <v>DISBURSED</v>
          </cell>
        </row>
        <row r="346">
          <cell r="F346">
            <v>19647051</v>
          </cell>
        </row>
        <row r="346">
          <cell r="H346" t="str">
            <v>DISBURSED</v>
          </cell>
        </row>
        <row r="347">
          <cell r="F347">
            <v>19650424</v>
          </cell>
        </row>
        <row r="347">
          <cell r="H347" t="str">
            <v>APPLIED</v>
          </cell>
        </row>
        <row r="348">
          <cell r="F348" t="str">
            <v>WHL000002686139</v>
          </cell>
        </row>
        <row r="348">
          <cell r="H348" t="str">
            <v>DISBURSED</v>
          </cell>
        </row>
        <row r="349">
          <cell r="F349" t="str">
            <v>DILALMS118590545</v>
          </cell>
        </row>
        <row r="349">
          <cell r="H349" t="str">
            <v>DISBURSED</v>
          </cell>
        </row>
        <row r="350">
          <cell r="F350" t="str">
            <v>R-07335680-L</v>
          </cell>
        </row>
        <row r="350">
          <cell r="H350" t="str">
            <v>APPLIED</v>
          </cell>
        </row>
        <row r="351">
          <cell r="F351" t="str">
            <v>DILALMS118591072</v>
          </cell>
        </row>
        <row r="351">
          <cell r="H351" t="str">
            <v>DISBURSED</v>
          </cell>
        </row>
        <row r="352">
          <cell r="F352">
            <v>48132975</v>
          </cell>
        </row>
        <row r="352">
          <cell r="H352" t="str">
            <v>DISBURSED</v>
          </cell>
        </row>
        <row r="353">
          <cell r="F353" t="str">
            <v>R-07345776-L</v>
          </cell>
        </row>
        <row r="353">
          <cell r="H353" t="str">
            <v>REJECTED</v>
          </cell>
        </row>
        <row r="354">
          <cell r="F354">
            <v>19666122</v>
          </cell>
        </row>
        <row r="354">
          <cell r="H354" t="str">
            <v>CANCELLED</v>
          </cell>
        </row>
        <row r="355">
          <cell r="F355" t="str">
            <v>WHL000002758567</v>
          </cell>
        </row>
        <row r="355">
          <cell r="H355" t="str">
            <v>SANCTIONED</v>
          </cell>
        </row>
        <row r="356">
          <cell r="F356">
            <v>19657134</v>
          </cell>
        </row>
        <row r="356">
          <cell r="H356" t="str">
            <v>DISBURSED</v>
          </cell>
        </row>
        <row r="357">
          <cell r="F357">
            <v>168885468</v>
          </cell>
        </row>
        <row r="357">
          <cell r="H357" t="str">
            <v>DISBURSED</v>
          </cell>
        </row>
        <row r="358">
          <cell r="F358">
            <v>19391348</v>
          </cell>
        </row>
        <row r="358">
          <cell r="H358" t="str">
            <v>APPLIED</v>
          </cell>
        </row>
        <row r="359">
          <cell r="H359" t="str">
            <v>RETRY OPT OUT</v>
          </cell>
        </row>
        <row r="360">
          <cell r="F360">
            <v>168897902</v>
          </cell>
        </row>
        <row r="360">
          <cell r="H360" t="str">
            <v>DISBURSED</v>
          </cell>
        </row>
        <row r="361">
          <cell r="F361" t="str">
            <v>DA1109675</v>
          </cell>
        </row>
        <row r="361">
          <cell r="H361" t="str">
            <v>DISBURSED</v>
          </cell>
        </row>
        <row r="362">
          <cell r="F362">
            <v>47608323</v>
          </cell>
        </row>
        <row r="362">
          <cell r="H362" t="str">
            <v>DISBURSED</v>
          </cell>
        </row>
        <row r="363">
          <cell r="F363" t="str">
            <v>APP1857891472364514</v>
          </cell>
        </row>
        <row r="363">
          <cell r="H363" t="str">
            <v>SANCTIONED</v>
          </cell>
        </row>
        <row r="364">
          <cell r="F364" t="str">
            <v>EQ1264260878</v>
          </cell>
        </row>
        <row r="364">
          <cell r="H364" t="str">
            <v>REJECTED</v>
          </cell>
        </row>
        <row r="365">
          <cell r="F365">
            <v>168910903</v>
          </cell>
        </row>
        <row r="365">
          <cell r="H365" t="str">
            <v>DISBURSED</v>
          </cell>
        </row>
        <row r="366">
          <cell r="F366" t="str">
            <v>WHL000002764012</v>
          </cell>
        </row>
        <row r="366">
          <cell r="H366" t="str">
            <v>DISBURSED</v>
          </cell>
        </row>
        <row r="367">
          <cell r="F367" t="str">
            <v>EQ00552622668</v>
          </cell>
        </row>
        <row r="367">
          <cell r="H367" t="str">
            <v>DISBURSED</v>
          </cell>
        </row>
        <row r="368">
          <cell r="F368" t="str">
            <v>KGB_40282_0000186</v>
          </cell>
        </row>
        <row r="368">
          <cell r="H368" t="str">
            <v>APPLIED</v>
          </cell>
        </row>
        <row r="369">
          <cell r="F369" t="str">
            <v>DILALMS118821603</v>
          </cell>
        </row>
        <row r="369">
          <cell r="H369" t="str">
            <v>DISBURSED</v>
          </cell>
        </row>
        <row r="370">
          <cell r="F370" t="str">
            <v>KGB_40670_0000187</v>
          </cell>
        </row>
        <row r="370">
          <cell r="H370" t="str">
            <v>APPLIED</v>
          </cell>
        </row>
        <row r="371">
          <cell r="F371" t="str">
            <v>M0034531</v>
          </cell>
        </row>
        <row r="371">
          <cell r="H371" t="str">
            <v>APPLIED</v>
          </cell>
        </row>
        <row r="372">
          <cell r="F372">
            <v>169505096</v>
          </cell>
        </row>
        <row r="372">
          <cell r="H372" t="str">
            <v>DISBURSED</v>
          </cell>
        </row>
        <row r="373">
          <cell r="F373" t="str">
            <v>KGB_40634_0000077</v>
          </cell>
        </row>
        <row r="373">
          <cell r="H373" t="str">
            <v>DISBURSED</v>
          </cell>
        </row>
        <row r="374">
          <cell r="F374" t="str">
            <v>DA1110080</v>
          </cell>
        </row>
        <row r="374">
          <cell r="H374" t="str">
            <v>DISBURSED</v>
          </cell>
        </row>
        <row r="375">
          <cell r="F375" t="str">
            <v>DILALMS118614750</v>
          </cell>
        </row>
        <row r="375">
          <cell r="H375" t="str">
            <v>DISBURSED</v>
          </cell>
        </row>
        <row r="376">
          <cell r="F376">
            <v>19687059</v>
          </cell>
        </row>
        <row r="376">
          <cell r="H376" t="str">
            <v>APPLIED</v>
          </cell>
        </row>
        <row r="377">
          <cell r="F377" t="str">
            <v>EQ01962621008</v>
          </cell>
        </row>
        <row r="377">
          <cell r="H377" t="str">
            <v>SANCTIONED</v>
          </cell>
        </row>
        <row r="378">
          <cell r="F378" t="str">
            <v>PV03961914</v>
          </cell>
        </row>
        <row r="378">
          <cell r="H378" t="str">
            <v>DISBURSED</v>
          </cell>
        </row>
        <row r="379">
          <cell r="F379">
            <v>19408979</v>
          </cell>
        </row>
        <row r="379">
          <cell r="H379" t="str">
            <v>UNDER PROCESS</v>
          </cell>
        </row>
        <row r="380">
          <cell r="F380" t="str">
            <v>WHL000002696590</v>
          </cell>
        </row>
        <row r="380">
          <cell r="H380" t="str">
            <v>APPLIED</v>
          </cell>
        </row>
        <row r="381">
          <cell r="F381">
            <v>47689647</v>
          </cell>
        </row>
        <row r="381">
          <cell r="H381" t="str">
            <v>UNDER PROCESS</v>
          </cell>
        </row>
        <row r="382">
          <cell r="F382" t="str">
            <v>WHL000002696435</v>
          </cell>
        </row>
        <row r="382">
          <cell r="H382" t="str">
            <v>APPLIED</v>
          </cell>
        </row>
        <row r="383">
          <cell r="F383" t="str">
            <v>260265054583</v>
          </cell>
        </row>
        <row r="383">
          <cell r="H383" t="str">
            <v>SANCTIONED</v>
          </cell>
        </row>
        <row r="384">
          <cell r="F384" t="str">
            <v>EQ01962621019</v>
          </cell>
        </row>
        <row r="384">
          <cell r="H384" t="str">
            <v>UNDER PROCESS</v>
          </cell>
        </row>
        <row r="385">
          <cell r="F385">
            <v>19427532</v>
          </cell>
        </row>
        <row r="385">
          <cell r="H385" t="str">
            <v>DISBURSED</v>
          </cell>
        </row>
        <row r="386">
          <cell r="F386">
            <v>19423979</v>
          </cell>
        </row>
        <row r="386">
          <cell r="H386" t="str">
            <v>DISBURSED</v>
          </cell>
        </row>
        <row r="387">
          <cell r="F387" t="str">
            <v>EQ1264260898</v>
          </cell>
        </row>
        <row r="387">
          <cell r="H387" t="str">
            <v>CANCELLED</v>
          </cell>
        </row>
        <row r="388">
          <cell r="F388" t="str">
            <v>MSF-000000000683</v>
          </cell>
        </row>
        <row r="388">
          <cell r="H388" t="str">
            <v>DISBURSED</v>
          </cell>
        </row>
        <row r="389">
          <cell r="F389">
            <v>19713904</v>
          </cell>
        </row>
        <row r="389">
          <cell r="H389" t="str">
            <v>APPLIED</v>
          </cell>
        </row>
        <row r="390">
          <cell r="F390" t="str">
            <v>260365703593</v>
          </cell>
        </row>
        <row r="390">
          <cell r="H390" t="str">
            <v>SANCTIONED</v>
          </cell>
        </row>
        <row r="391">
          <cell r="F391">
            <v>79943052</v>
          </cell>
        </row>
        <row r="391">
          <cell r="H391" t="str">
            <v>SANCTIONED</v>
          </cell>
        </row>
        <row r="392">
          <cell r="F392">
            <v>169615876</v>
          </cell>
        </row>
        <row r="392">
          <cell r="H392" t="str">
            <v>DISBURSED</v>
          </cell>
        </row>
        <row r="393">
          <cell r="F393" t="str">
            <v>EQ01962620832</v>
          </cell>
        </row>
        <row r="393">
          <cell r="H393" t="str">
            <v>UNDER PROCESS</v>
          </cell>
        </row>
        <row r="394">
          <cell r="F394" t="str">
            <v>KGB_40736_0000092</v>
          </cell>
        </row>
        <row r="394">
          <cell r="H394" t="str">
            <v>DISBURSED</v>
          </cell>
        </row>
        <row r="395">
          <cell r="F395" t="str">
            <v>DA1111284</v>
          </cell>
        </row>
        <row r="395">
          <cell r="H395" t="str">
            <v>UNDER PROCESS</v>
          </cell>
        </row>
        <row r="396">
          <cell r="F396" t="str">
            <v>DILALMS118861790</v>
          </cell>
        </row>
        <row r="396">
          <cell r="H396" t="str">
            <v>APPLIED</v>
          </cell>
        </row>
        <row r="397">
          <cell r="F397" t="str">
            <v>PV04075645</v>
          </cell>
        </row>
        <row r="397">
          <cell r="H397" t="str">
            <v>UNDER PROCESS</v>
          </cell>
        </row>
        <row r="398">
          <cell r="F398" t="str">
            <v>KGB_40540_0000210</v>
          </cell>
        </row>
        <row r="398">
          <cell r="H398" t="str">
            <v>APPLIED</v>
          </cell>
        </row>
        <row r="399">
          <cell r="F399" t="str">
            <v>DILALMS118861691</v>
          </cell>
        </row>
        <row r="399">
          <cell r="H399" t="str">
            <v>APPLIED</v>
          </cell>
        </row>
        <row r="400">
          <cell r="F400">
            <v>12253775</v>
          </cell>
        </row>
        <row r="400">
          <cell r="H400" t="str">
            <v>APPLIED</v>
          </cell>
        </row>
        <row r="401">
          <cell r="F401">
            <v>19747588</v>
          </cell>
        </row>
        <row r="401">
          <cell r="H401" t="str">
            <v>UNDER PROCESS</v>
          </cell>
        </row>
        <row r="402">
          <cell r="F402" t="str">
            <v>260365754001</v>
          </cell>
        </row>
        <row r="402">
          <cell r="H402" t="str">
            <v>APPLIED</v>
          </cell>
        </row>
        <row r="403">
          <cell r="F403">
            <v>169688741</v>
          </cell>
        </row>
        <row r="403">
          <cell r="H403" t="str">
            <v>UNDER PROCESS</v>
          </cell>
        </row>
        <row r="404">
          <cell r="F404" t="str">
            <v>260365774131</v>
          </cell>
        </row>
        <row r="404">
          <cell r="H404" t="str">
            <v>APPLIED</v>
          </cell>
        </row>
        <row r="405">
          <cell r="F405" t="str">
            <v>260365774131</v>
          </cell>
        </row>
        <row r="405">
          <cell r="H405" t="str">
            <v>APPLIED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\..\NEXA\MAR\NEXA DAILY REPORT MASTER MAR 26.xlsx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South-India@312" TargetMode="External"/><Relationship Id="rId2" Type="http://schemas.openxmlformats.org/officeDocument/2006/relationships/hyperlink" Target="mailto:Anm@12345" TargetMode="External"/><Relationship Id="rId1" Type="http://schemas.openxmlformats.org/officeDocument/2006/relationships/hyperlink" Target="mailto:Sai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K157" sqref="K157"/>
    </sheetView>
  </sheetViews>
  <sheetFormatPr defaultColWidth="9" defaultRowHeight="15"/>
  <cols>
    <col min="1" max="1" width="19" style="386" customWidth="1"/>
    <col min="2" max="2" width="16.875" style="386" customWidth="1"/>
    <col min="3" max="3" width="7.75" style="386" customWidth="1"/>
    <col min="4" max="4" width="8.125" style="386" customWidth="1"/>
    <col min="5" max="5" width="8.625" style="386" customWidth="1"/>
    <col min="6" max="6" width="8.375" style="386" customWidth="1"/>
    <col min="7" max="7" width="8" style="386" customWidth="1"/>
    <col min="8" max="231" width="9" style="386" customWidth="1"/>
    <col min="232" max="16384" width="9" style="386"/>
  </cols>
  <sheetData>
    <row r="1" ht="18.95" customHeight="1" spans="1:7">
      <c r="A1" s="387" t="s">
        <v>0</v>
      </c>
      <c r="B1" s="388"/>
      <c r="C1" s="388"/>
      <c r="D1" s="388"/>
      <c r="E1" s="388"/>
      <c r="F1" s="388"/>
      <c r="G1" s="388"/>
    </row>
    <row r="2" ht="45.75" spans="1:11">
      <c r="A2" s="389" t="s">
        <v>1</v>
      </c>
      <c r="B2" s="390" t="s">
        <v>1</v>
      </c>
      <c r="C2" s="390" t="s">
        <v>2</v>
      </c>
      <c r="D2" s="390" t="s">
        <v>3</v>
      </c>
      <c r="E2" s="390" t="s">
        <v>4</v>
      </c>
      <c r="F2" s="390" t="s">
        <v>5</v>
      </c>
      <c r="G2" s="390" t="s">
        <v>6</v>
      </c>
      <c r="H2" s="390" t="s">
        <v>7</v>
      </c>
      <c r="I2" s="390" t="s">
        <v>8</v>
      </c>
      <c r="J2" s="403" t="s">
        <v>9</v>
      </c>
      <c r="K2" s="404" t="s">
        <v>10</v>
      </c>
    </row>
    <row r="3" spans="1:11">
      <c r="A3" s="391" t="s">
        <v>11</v>
      </c>
      <c r="B3" s="392" t="s">
        <v>12</v>
      </c>
      <c r="C3" s="393" t="e">
        <f>COUNTIF(Booking!#REF!,B3)</f>
        <v>#REF!</v>
      </c>
      <c r="D3" s="393" t="e">
        <f>COUNTIF(RETAIL!#REF!,B3)</f>
        <v>#REF!</v>
      </c>
      <c r="E3" s="393" t="e">
        <f>COUNTIFS(#REF!,+B3,#REF!,"=DISBURSED")</f>
        <v>#REF!</v>
      </c>
      <c r="F3" s="393" t="e">
        <f>COUNTIFS(IH!#REF!,+B3,IH!#REF!,"=DISBURSED")</f>
        <v>#REF!</v>
      </c>
      <c r="G3" s="393" t="e">
        <f>COUNTIFS(IH!#REF!,+B3,IH!#REF!,"=LOGIN")+COUNTIFS(IH!#REF!,+B3,IH!#REF!,"=APPROVED")</f>
        <v>#REF!</v>
      </c>
      <c r="H3" s="393" t="e">
        <f>COUNTIFS(#REF!,+B3,#REF!,"=LOGIN")+COUNTIFS(#REF!,B3,#REF!,"=APPROVED")</f>
        <v>#REF!</v>
      </c>
      <c r="I3" s="405" t="e">
        <f t="shared" ref="I3:I20" si="0">(E3+F3)/D3</f>
        <v>#REF!</v>
      </c>
      <c r="J3" s="406" t="e">
        <f>COUNTIFS(RETAIL!#REF!,+B3,RETAIL!P:P,"=C/F")</f>
        <v>#REF!</v>
      </c>
      <c r="K3" s="407">
        <v>2</v>
      </c>
    </row>
    <row r="4" spans="1:11">
      <c r="A4" s="394" t="s">
        <v>13</v>
      </c>
      <c r="B4" s="395" t="s">
        <v>14</v>
      </c>
      <c r="C4" s="393" t="e">
        <f>COUNTIF(Booking!#REF!,B4)</f>
        <v>#REF!</v>
      </c>
      <c r="D4" s="393" t="e">
        <f>COUNTIF(RETAIL!#REF!,B4)</f>
        <v>#REF!</v>
      </c>
      <c r="E4" s="393" t="e">
        <f>COUNTIFS(#REF!,+B4,#REF!,"=DISBURSED")</f>
        <v>#REF!</v>
      </c>
      <c r="F4" s="393" t="e">
        <f>COUNTIFS(IH!#REF!,+B4,IH!#REF!,"=DISBURSED")</f>
        <v>#REF!</v>
      </c>
      <c r="G4" s="393" t="e">
        <f>COUNTIFS(IH!#REF!,+B4,IH!#REF!,"=LOGIN")+COUNTIFS(IH!#REF!,+B4,IH!#REF!,"=APPROVED")</f>
        <v>#REF!</v>
      </c>
      <c r="H4" s="393" t="e">
        <f>COUNTIFS(#REF!,+B4,#REF!,"=LOGIN")+COUNTIFS(#REF!,B4,#REF!,"=APPROVED")</f>
        <v>#REF!</v>
      </c>
      <c r="I4" s="408" t="e">
        <f t="shared" si="0"/>
        <v>#REF!</v>
      </c>
      <c r="J4" s="406" t="e">
        <f>COUNTIFS(RETAIL!#REF!,+B4,RETAIL!P:P,"=C/F")</f>
        <v>#REF!</v>
      </c>
      <c r="K4" s="409">
        <v>4</v>
      </c>
    </row>
    <row r="5" spans="1:11">
      <c r="A5" s="394" t="s">
        <v>15</v>
      </c>
      <c r="B5" s="396" t="s">
        <v>16</v>
      </c>
      <c r="C5" s="393" t="e">
        <f>COUNTIF(Booking!#REF!,B5)</f>
        <v>#REF!</v>
      </c>
      <c r="D5" s="393" t="e">
        <f>COUNTIF(RETAIL!#REF!,B5)</f>
        <v>#REF!</v>
      </c>
      <c r="E5" s="393" t="e">
        <f>COUNTIFS(#REF!,+B5,#REF!,"=DISBURSED")</f>
        <v>#REF!</v>
      </c>
      <c r="F5" s="393" t="e">
        <f>COUNTIFS(IH!#REF!,+B5,IH!#REF!,"=DISBURSED")</f>
        <v>#REF!</v>
      </c>
      <c r="G5" s="393" t="e">
        <f>COUNTIFS(IH!#REF!,+B5,IH!#REF!,"=LOGIN")+COUNTIFS(IH!#REF!,+B5,IH!#REF!,"=APPROVED")</f>
        <v>#REF!</v>
      </c>
      <c r="H5" s="393" t="e">
        <f>COUNTIFS(#REF!,+B5,#REF!,"=LOGIN")+COUNTIFS(#REF!,B5,#REF!,"=APPROVED")</f>
        <v>#REF!</v>
      </c>
      <c r="I5" s="408" t="e">
        <f t="shared" si="0"/>
        <v>#REF!</v>
      </c>
      <c r="J5" s="406" t="e">
        <f>COUNTIFS(RETAIL!#REF!,+B5,RETAIL!P:P,"=C/F")</f>
        <v>#REF!</v>
      </c>
      <c r="K5" s="409">
        <v>3</v>
      </c>
    </row>
    <row r="6" spans="1:11">
      <c r="A6" s="394" t="s">
        <v>17</v>
      </c>
      <c r="B6" s="396" t="s">
        <v>18</v>
      </c>
      <c r="C6" s="393" t="e">
        <f>COUNTIF(Booking!#REF!,B6)</f>
        <v>#REF!</v>
      </c>
      <c r="D6" s="393" t="e">
        <f>COUNTIF(RETAIL!#REF!,B6)</f>
        <v>#REF!</v>
      </c>
      <c r="E6" s="393" t="e">
        <f>COUNTIFS(#REF!,+B6,#REF!,"=DISBURSED")</f>
        <v>#REF!</v>
      </c>
      <c r="F6" s="393" t="e">
        <f>COUNTIFS(IH!#REF!,+B6,IH!#REF!,"=DISBURSED")</f>
        <v>#REF!</v>
      </c>
      <c r="G6" s="393" t="e">
        <f>COUNTIFS(IH!#REF!,+B6,IH!#REF!,"=LOGIN")+COUNTIFS(IH!#REF!,+B6,IH!#REF!,"=APPROVED")</f>
        <v>#REF!</v>
      </c>
      <c r="H6" s="393" t="e">
        <f>COUNTIFS(#REF!,+B6,#REF!,"=LOGIN")+COUNTIFS(#REF!,B6,#REF!,"=APPROVED")</f>
        <v>#REF!</v>
      </c>
      <c r="I6" s="408" t="e">
        <f t="shared" si="0"/>
        <v>#REF!</v>
      </c>
      <c r="J6" s="406" t="e">
        <f>COUNTIFS(RETAIL!#REF!,+B6,RETAIL!P:P,"=C/F")</f>
        <v>#REF!</v>
      </c>
      <c r="K6" s="409">
        <v>4</v>
      </c>
    </row>
    <row r="7" spans="1:11">
      <c r="A7" s="394" t="s">
        <v>19</v>
      </c>
      <c r="B7" s="396" t="s">
        <v>20</v>
      </c>
      <c r="C7" s="393" t="e">
        <f>COUNTIF(Booking!#REF!,B7)</f>
        <v>#REF!</v>
      </c>
      <c r="D7" s="393" t="e">
        <f>COUNTIF(RETAIL!#REF!,B7)</f>
        <v>#REF!</v>
      </c>
      <c r="E7" s="393" t="e">
        <f>COUNTIFS(#REF!,+B7,#REF!,"=DISBURSED")</f>
        <v>#REF!</v>
      </c>
      <c r="F7" s="393" t="e">
        <f>COUNTIFS(IH!#REF!,+B7,IH!#REF!,"=DISBURSED")</f>
        <v>#REF!</v>
      </c>
      <c r="G7" s="393" t="e">
        <f>COUNTIFS(IH!#REF!,+B7,IH!#REF!,"=LOGIN")+COUNTIFS(IH!#REF!,+B7,IH!#REF!,"=APPROVED")</f>
        <v>#REF!</v>
      </c>
      <c r="H7" s="393" t="e">
        <f>COUNTIFS(#REF!,+B7,#REF!,"=LOGIN")+COUNTIFS(#REF!,B7,#REF!,"=APPROVED")</f>
        <v>#REF!</v>
      </c>
      <c r="I7" s="408" t="e">
        <f t="shared" si="0"/>
        <v>#REF!</v>
      </c>
      <c r="J7" s="406" t="e">
        <f>COUNTIFS(RETAIL!#REF!,+B7,RETAIL!P:P,"=C/F")</f>
        <v>#REF!</v>
      </c>
      <c r="K7" s="409">
        <v>3</v>
      </c>
    </row>
    <row r="8" spans="1:11">
      <c r="A8" s="394" t="s">
        <v>21</v>
      </c>
      <c r="B8" s="396" t="s">
        <v>22</v>
      </c>
      <c r="C8" s="393" t="e">
        <f>COUNTIF(Booking!#REF!,B8)</f>
        <v>#REF!</v>
      </c>
      <c r="D8" s="393" t="e">
        <f>COUNTIF(RETAIL!#REF!,B8)</f>
        <v>#REF!</v>
      </c>
      <c r="E8" s="393" t="e">
        <f>COUNTIFS(#REF!,+B8,#REF!,"=DISBURSED")</f>
        <v>#REF!</v>
      </c>
      <c r="F8" s="393" t="e">
        <f>COUNTIFS(IH!#REF!,+B8,IH!#REF!,"=DISBURSED")</f>
        <v>#REF!</v>
      </c>
      <c r="G8" s="393" t="e">
        <f>COUNTIFS(IH!#REF!,+B8,IH!#REF!,"=LOGIN")+COUNTIFS(IH!#REF!,+B8,IH!#REF!,"=APPROVED")</f>
        <v>#REF!</v>
      </c>
      <c r="H8" s="393" t="e">
        <f>COUNTIFS(#REF!,+B8,#REF!,"=LOGIN")+COUNTIFS(#REF!,B8,#REF!,"=APPROVED")</f>
        <v>#REF!</v>
      </c>
      <c r="I8" s="408" t="e">
        <f t="shared" si="0"/>
        <v>#REF!</v>
      </c>
      <c r="J8" s="406" t="e">
        <f>COUNTIFS(RETAIL!#REF!,+B8,RETAIL!P:P,"=C/F")</f>
        <v>#REF!</v>
      </c>
      <c r="K8" s="409">
        <v>1</v>
      </c>
    </row>
    <row r="9" spans="1:11">
      <c r="A9" s="394" t="s">
        <v>23</v>
      </c>
      <c r="B9" s="396" t="s">
        <v>24</v>
      </c>
      <c r="C9" s="393" t="e">
        <f>COUNTIF(Booking!#REF!,B9)</f>
        <v>#REF!</v>
      </c>
      <c r="D9" s="393" t="e">
        <f>COUNTIF(RETAIL!#REF!,B9)</f>
        <v>#REF!</v>
      </c>
      <c r="E9" s="393" t="e">
        <f>COUNTIFS(#REF!,+B9,#REF!,"=DISBURSED")</f>
        <v>#REF!</v>
      </c>
      <c r="F9" s="393" t="e">
        <f>COUNTIFS(IH!#REF!,+B9,IH!#REF!,"=DISBURSED")</f>
        <v>#REF!</v>
      </c>
      <c r="G9" s="393" t="e">
        <f>COUNTIFS(IH!#REF!,+B9,IH!#REF!,"=LOGIN")+COUNTIFS(IH!#REF!,+B9,IH!#REF!,"=APPROVED")</f>
        <v>#REF!</v>
      </c>
      <c r="H9" s="393" t="e">
        <f>COUNTIFS(#REF!,+B9,#REF!,"=LOGIN")+COUNTIFS(#REF!,B9,#REF!,"=APPROVED")</f>
        <v>#REF!</v>
      </c>
      <c r="I9" s="408" t="e">
        <f t="shared" si="0"/>
        <v>#REF!</v>
      </c>
      <c r="J9" s="406" t="e">
        <f>COUNTIFS(RETAIL!#REF!,+B9,RETAIL!P:P,"=C/F")</f>
        <v>#REF!</v>
      </c>
      <c r="K9" s="409">
        <v>5</v>
      </c>
    </row>
    <row r="10" spans="1:11">
      <c r="A10" s="394" t="s">
        <v>25</v>
      </c>
      <c r="B10" s="396" t="s">
        <v>26</v>
      </c>
      <c r="C10" s="393" t="e">
        <f>COUNTIF(Booking!#REF!,B10)</f>
        <v>#REF!</v>
      </c>
      <c r="D10" s="393" t="e">
        <f>COUNTIF(RETAIL!#REF!,B10)</f>
        <v>#REF!</v>
      </c>
      <c r="E10" s="393" t="e">
        <f>COUNTIFS(#REF!,+B10,#REF!,"=DISBURSED")</f>
        <v>#REF!</v>
      </c>
      <c r="F10" s="393" t="e">
        <f>COUNTIFS(IH!#REF!,+B10,IH!#REF!,"=DISBURSED")</f>
        <v>#REF!</v>
      </c>
      <c r="G10" s="393" t="e">
        <f>COUNTIFS(IH!#REF!,+B10,IH!#REF!,"=LOGIN")+COUNTIFS(IH!#REF!,+B10,IH!#REF!,"=APPROVED")</f>
        <v>#REF!</v>
      </c>
      <c r="H10" s="393" t="e">
        <f>COUNTIFS(#REF!,+B10,#REF!,"=LOGIN")+COUNTIFS(#REF!,B10,#REF!,"=APPROVED")</f>
        <v>#REF!</v>
      </c>
      <c r="I10" s="408" t="e">
        <f t="shared" si="0"/>
        <v>#REF!</v>
      </c>
      <c r="J10" s="406" t="e">
        <f>COUNTIFS(RETAIL!#REF!,+B10,RETAIL!P:P,"=C/F")</f>
        <v>#REF!</v>
      </c>
      <c r="K10" s="409">
        <v>1</v>
      </c>
    </row>
    <row r="11" spans="1:11">
      <c r="A11" s="394" t="s">
        <v>27</v>
      </c>
      <c r="B11" s="396" t="s">
        <v>28</v>
      </c>
      <c r="C11" s="393" t="e">
        <f>COUNTIF(Booking!#REF!,B11)</f>
        <v>#REF!</v>
      </c>
      <c r="D11" s="393" t="e">
        <f>COUNTIF(RETAIL!#REF!,B11)</f>
        <v>#REF!</v>
      </c>
      <c r="E11" s="393" t="e">
        <f>COUNTIFS(#REF!,+B11,#REF!,"=DISBURSED")</f>
        <v>#REF!</v>
      </c>
      <c r="F11" s="393" t="e">
        <f>COUNTIFS(IH!#REF!,+B11,IH!#REF!,"=DISBURSED")</f>
        <v>#REF!</v>
      </c>
      <c r="G11" s="393" t="e">
        <f>COUNTIFS(IH!#REF!,+B11,IH!#REF!,"=LOGIN")+COUNTIFS(IH!#REF!,+B11,IH!#REF!,"=APPROVED")</f>
        <v>#REF!</v>
      </c>
      <c r="H11" s="393" t="e">
        <f>COUNTIFS(#REF!,+B11,#REF!,"=LOGIN")+COUNTIFS(#REF!,B11,#REF!,"=APPROVED")</f>
        <v>#REF!</v>
      </c>
      <c r="I11" s="408" t="e">
        <f t="shared" si="0"/>
        <v>#REF!</v>
      </c>
      <c r="J11" s="406" t="e">
        <f>COUNTIFS(RETAIL!#REF!,+B11,RETAIL!P:P,"=C/F")</f>
        <v>#REF!</v>
      </c>
      <c r="K11" s="409">
        <v>2</v>
      </c>
    </row>
    <row r="12" spans="1:11">
      <c r="A12" s="394" t="s">
        <v>29</v>
      </c>
      <c r="B12" s="396" t="s">
        <v>30</v>
      </c>
      <c r="C12" s="393" t="e">
        <f>COUNTIF(Booking!#REF!,B12)</f>
        <v>#REF!</v>
      </c>
      <c r="D12" s="393" t="e">
        <f>COUNTIF(RETAIL!#REF!,B12)</f>
        <v>#REF!</v>
      </c>
      <c r="E12" s="393" t="e">
        <f>COUNTIFS(#REF!,+B12,#REF!,"=DISBURSED")</f>
        <v>#REF!</v>
      </c>
      <c r="F12" s="393" t="e">
        <f>COUNTIFS(IH!#REF!,+B12,IH!#REF!,"=DISBURSED")</f>
        <v>#REF!</v>
      </c>
      <c r="G12" s="393" t="e">
        <f>COUNTIFS(IH!#REF!,+B12,IH!#REF!,"=LOGIN")+COUNTIFS(IH!#REF!,+B12,IH!#REF!,"=APPROVED")</f>
        <v>#REF!</v>
      </c>
      <c r="H12" s="393" t="e">
        <f>COUNTIFS(#REF!,+B12,#REF!,"=LOGIN")+COUNTIFS(#REF!,B12,#REF!,"=APPROVED")</f>
        <v>#REF!</v>
      </c>
      <c r="I12" s="408" t="e">
        <f t="shared" si="0"/>
        <v>#REF!</v>
      </c>
      <c r="J12" s="406" t="e">
        <f>COUNTIFS(RETAIL!#REF!,+B12,RETAIL!P:P,"=C/F")</f>
        <v>#REF!</v>
      </c>
      <c r="K12" s="409">
        <v>4</v>
      </c>
    </row>
    <row r="13" spans="1:11">
      <c r="A13" s="394" t="s">
        <v>31</v>
      </c>
      <c r="B13" s="396" t="s">
        <v>32</v>
      </c>
      <c r="C13" s="393" t="e">
        <f>COUNTIF(Booking!#REF!,B13)</f>
        <v>#REF!</v>
      </c>
      <c r="D13" s="393" t="e">
        <f>COUNTIF(RETAIL!#REF!,B13)</f>
        <v>#REF!</v>
      </c>
      <c r="E13" s="393" t="e">
        <f>COUNTIFS(#REF!,+B13,#REF!,"=DISBURSED")</f>
        <v>#REF!</v>
      </c>
      <c r="F13" s="393" t="e">
        <f>COUNTIFS(IH!#REF!,+B13,IH!#REF!,"=DISBURSED")</f>
        <v>#REF!</v>
      </c>
      <c r="G13" s="393" t="e">
        <f>COUNTIFS(IH!#REF!,+B13,IH!#REF!,"=LOGIN")+COUNTIFS(IH!#REF!,+B13,IH!#REF!,"=APPROVED")</f>
        <v>#REF!</v>
      </c>
      <c r="H13" s="393" t="e">
        <f>COUNTIFS(#REF!,+B13,#REF!,"=LOGIN")+COUNTIFS(#REF!,B13,#REF!,"=APPROVED")</f>
        <v>#REF!</v>
      </c>
      <c r="I13" s="408" t="e">
        <f t="shared" si="0"/>
        <v>#REF!</v>
      </c>
      <c r="J13" s="406" t="e">
        <f>COUNTIFS(RETAIL!#REF!,+B13,RETAIL!P:P,"=C/F")</f>
        <v>#REF!</v>
      </c>
      <c r="K13" s="409">
        <v>1</v>
      </c>
    </row>
    <row r="14" spans="1:11">
      <c r="A14" s="394" t="s">
        <v>33</v>
      </c>
      <c r="B14" s="396" t="s">
        <v>33</v>
      </c>
      <c r="C14" s="393" t="e">
        <f>COUNTIF(Booking!#REF!,B14)</f>
        <v>#REF!</v>
      </c>
      <c r="D14" s="393" t="e">
        <f>COUNTIF(RETAIL!#REF!,B14)</f>
        <v>#REF!</v>
      </c>
      <c r="E14" s="393" t="e">
        <f>COUNTIFS(#REF!,+B14,#REF!,"=DISBURSED")</f>
        <v>#REF!</v>
      </c>
      <c r="F14" s="393" t="e">
        <f>COUNTIFS(IH!#REF!,+B14,IH!#REF!,"=DISBURSED")</f>
        <v>#REF!</v>
      </c>
      <c r="G14" s="393" t="e">
        <f>COUNTIFS(IH!#REF!,+B14,IH!#REF!,"=LOGIN")+COUNTIFS(IH!#REF!,+B14,IH!#REF!,"=APPROVED")</f>
        <v>#REF!</v>
      </c>
      <c r="H14" s="393" t="e">
        <f>COUNTIFS(#REF!,+B14,#REF!,"=LOGIN")+COUNTIFS(#REF!,B14,#REF!,"=APPROVED")</f>
        <v>#REF!</v>
      </c>
      <c r="I14" s="408" t="e">
        <f t="shared" si="0"/>
        <v>#REF!</v>
      </c>
      <c r="J14" s="406" t="e">
        <f>COUNTIFS(RETAIL!#REF!,+B14,RETAIL!P:P,"=C/F")</f>
        <v>#REF!</v>
      </c>
      <c r="K14" s="409">
        <v>1</v>
      </c>
    </row>
    <row r="15" spans="1:11">
      <c r="A15" s="394" t="s">
        <v>34</v>
      </c>
      <c r="B15" s="396" t="s">
        <v>35</v>
      </c>
      <c r="C15" s="393" t="e">
        <f>COUNTIF(Booking!#REF!,B15)</f>
        <v>#REF!</v>
      </c>
      <c r="D15" s="393" t="e">
        <f>COUNTIF(RETAIL!#REF!,B15)</f>
        <v>#REF!</v>
      </c>
      <c r="E15" s="393" t="e">
        <f>COUNTIFS(#REF!,+B15,#REF!,"=DISBURSED")</f>
        <v>#REF!</v>
      </c>
      <c r="F15" s="393" t="e">
        <f>COUNTIFS(IH!#REF!,+B15,IH!#REF!,"=DISBURSED")</f>
        <v>#REF!</v>
      </c>
      <c r="G15" s="393" t="e">
        <f>COUNTIFS(IH!#REF!,+B15,IH!#REF!,"=LOGIN")+COUNTIFS(IH!#REF!,+B15,IH!#REF!,"=APPROVED")</f>
        <v>#REF!</v>
      </c>
      <c r="H15" s="393" t="e">
        <f>COUNTIFS(#REF!,+B15,#REF!,"=LOGIN")+COUNTIFS(#REF!,B15,#REF!,"=APPROVED")</f>
        <v>#REF!</v>
      </c>
      <c r="I15" s="408" t="e">
        <f t="shared" si="0"/>
        <v>#REF!</v>
      </c>
      <c r="J15" s="406" t="e">
        <f>COUNTIFS(RETAIL!#REF!,+B15,RETAIL!P:P,"=C/F")</f>
        <v>#REF!</v>
      </c>
      <c r="K15" s="409">
        <v>3</v>
      </c>
    </row>
    <row r="16" spans="1:11">
      <c r="A16" s="394" t="s">
        <v>36</v>
      </c>
      <c r="B16" s="396" t="s">
        <v>37</v>
      </c>
      <c r="C16" s="393" t="e">
        <f>COUNTIF(Booking!#REF!,B16)</f>
        <v>#REF!</v>
      </c>
      <c r="D16" s="393" t="e">
        <f>COUNTIF(RETAIL!#REF!,B16)</f>
        <v>#REF!</v>
      </c>
      <c r="E16" s="393" t="e">
        <f>COUNTIFS(#REF!,+B16,#REF!,"=DISBURSED")</f>
        <v>#REF!</v>
      </c>
      <c r="F16" s="393" t="e">
        <f>COUNTIFS(IH!#REF!,+B16,IH!#REF!,"=DISBURSED")</f>
        <v>#REF!</v>
      </c>
      <c r="G16" s="393" t="e">
        <f>COUNTIFS(IH!#REF!,+B16,IH!#REF!,"=LOGIN")+COUNTIFS(IH!#REF!,+B16,IH!#REF!,"=APPROVED")</f>
        <v>#REF!</v>
      </c>
      <c r="H16" s="393" t="e">
        <f>COUNTIFS(#REF!,+B16,#REF!,"=LOGIN")+COUNTIFS(#REF!,B16,#REF!,"=APPROVED")</f>
        <v>#REF!</v>
      </c>
      <c r="I16" s="408" t="e">
        <f t="shared" si="0"/>
        <v>#REF!</v>
      </c>
      <c r="J16" s="406" t="e">
        <f>COUNTIFS(RETAIL!#REF!,+B16,RETAIL!P:P,"=C/F")</f>
        <v>#REF!</v>
      </c>
      <c r="K16" s="409">
        <v>0</v>
      </c>
    </row>
    <row r="17" spans="1:11">
      <c r="A17" s="394" t="s">
        <v>38</v>
      </c>
      <c r="B17" s="396" t="s">
        <v>39</v>
      </c>
      <c r="C17" s="393" t="e">
        <f>COUNTIF(Booking!#REF!,B17)</f>
        <v>#REF!</v>
      </c>
      <c r="D17" s="393" t="e">
        <f>COUNTIF(RETAIL!#REF!,B17)</f>
        <v>#REF!</v>
      </c>
      <c r="E17" s="393" t="e">
        <f>COUNTIFS(#REF!,+B17,#REF!,"=DISBURSED")</f>
        <v>#REF!</v>
      </c>
      <c r="F17" s="393" t="e">
        <f>COUNTIFS(IH!#REF!,+B17,IH!#REF!,"=DISBURSED")</f>
        <v>#REF!</v>
      </c>
      <c r="G17" s="393" t="e">
        <f>COUNTIFS(IH!#REF!,+B17,IH!#REF!,"=LOGIN")+COUNTIFS(IH!#REF!,+B17,IH!#REF!,"=APPROVED")</f>
        <v>#REF!</v>
      </c>
      <c r="H17" s="393" t="e">
        <f>COUNTIFS(#REF!,+B17,#REF!,"=LOGIN")+COUNTIFS(#REF!,B17,#REF!,"=APPROVED")</f>
        <v>#REF!</v>
      </c>
      <c r="I17" s="408" t="e">
        <f t="shared" si="0"/>
        <v>#REF!</v>
      </c>
      <c r="J17" s="406" t="e">
        <f>COUNTIFS(RETAIL!#REF!,+B17,RETAIL!P:P,"=C/F")</f>
        <v>#REF!</v>
      </c>
      <c r="K17" s="409">
        <v>13</v>
      </c>
    </row>
    <row r="18" spans="1:11">
      <c r="A18" s="394" t="s">
        <v>40</v>
      </c>
      <c r="B18" s="396" t="s">
        <v>41</v>
      </c>
      <c r="C18" s="393" t="e">
        <f>COUNTIF(Booking!#REF!,B18)</f>
        <v>#REF!</v>
      </c>
      <c r="D18" s="393" t="e">
        <f>COUNTIF(RETAIL!#REF!,B18)</f>
        <v>#REF!</v>
      </c>
      <c r="E18" s="393" t="e">
        <f>COUNTIFS(#REF!,+B18,#REF!,"=DISBURSED")</f>
        <v>#REF!</v>
      </c>
      <c r="F18" s="393" t="e">
        <f>COUNTIFS(IH!#REF!,+B18,IH!#REF!,"=DISBURSED")</f>
        <v>#REF!</v>
      </c>
      <c r="G18" s="393" t="e">
        <f>COUNTIFS(IH!#REF!,+B18,IH!#REF!,"=LOGIN")+COUNTIFS(IH!#REF!,+B18,IH!#REF!,"=APPROVED")</f>
        <v>#REF!</v>
      </c>
      <c r="H18" s="393" t="e">
        <f>COUNTIFS(#REF!,+B18,#REF!,"=LOGIN")+COUNTIFS(#REF!,B18,#REF!,"=APPROVED")</f>
        <v>#REF!</v>
      </c>
      <c r="I18" s="408" t="e">
        <f t="shared" si="0"/>
        <v>#REF!</v>
      </c>
      <c r="J18" s="406" t="e">
        <f>COUNTIFS(RETAIL!#REF!,+B18,RETAIL!P:P,"=C/F")</f>
        <v>#REF!</v>
      </c>
      <c r="K18" s="409">
        <v>6</v>
      </c>
    </row>
    <row r="19" ht="15.75" spans="1:11">
      <c r="A19" s="397" t="s">
        <v>42</v>
      </c>
      <c r="B19" s="398" t="s">
        <v>42</v>
      </c>
      <c r="C19" s="393" t="e">
        <f>COUNTIF(Booking!#REF!,B19)</f>
        <v>#REF!</v>
      </c>
      <c r="D19" s="393" t="e">
        <f>COUNTIF(RETAIL!#REF!,B19)</f>
        <v>#REF!</v>
      </c>
      <c r="E19" s="393" t="e">
        <f>COUNTIFS(#REF!,+B19,#REF!,"=DISBURSED")</f>
        <v>#REF!</v>
      </c>
      <c r="F19" s="393" t="e">
        <f>COUNTIFS(IH!#REF!,+B19,IH!#REF!,"=DISBURSED")</f>
        <v>#REF!</v>
      </c>
      <c r="G19" s="393" t="e">
        <f>COUNTIFS(IH!#REF!,+B19,IH!#REF!,"=LOGIN")+COUNTIFS(IH!#REF!,+B19,IH!#REF!,"=APPROVED")</f>
        <v>#REF!</v>
      </c>
      <c r="H19" s="393" t="e">
        <f>COUNTIFS(#REF!,+B19,#REF!,"=LOGIN")+COUNTIFS(#REF!,B19,#REF!,"=APPROVED")</f>
        <v>#REF!</v>
      </c>
      <c r="I19" s="410" t="e">
        <f t="shared" si="0"/>
        <v>#REF!</v>
      </c>
      <c r="J19" s="406" t="e">
        <f>COUNTIFS(RETAIL!#REF!,+B19,RETAIL!P:P,"=C/F")</f>
        <v>#REF!</v>
      </c>
      <c r="K19" s="411">
        <v>3</v>
      </c>
    </row>
    <row r="20" ht="16.5" spans="1:11">
      <c r="A20" s="399" t="s">
        <v>43</v>
      </c>
      <c r="B20" s="400"/>
      <c r="C20" s="401" t="e">
        <f t="shared" ref="C20:H20" si="1">SUM(C3:C19)</f>
        <v>#REF!</v>
      </c>
      <c r="D20" s="402" t="e">
        <f t="shared" si="1"/>
        <v>#REF!</v>
      </c>
      <c r="E20" s="401" t="e">
        <f t="shared" si="1"/>
        <v>#REF!</v>
      </c>
      <c r="F20" s="401" t="e">
        <f t="shared" si="1"/>
        <v>#REF!</v>
      </c>
      <c r="G20" s="401" t="e">
        <f t="shared" si="1"/>
        <v>#REF!</v>
      </c>
      <c r="H20" s="401" t="e">
        <f t="shared" si="1"/>
        <v>#REF!</v>
      </c>
      <c r="I20" s="412" t="e">
        <f t="shared" si="0"/>
        <v>#REF!</v>
      </c>
      <c r="J20" s="413" t="e">
        <f>SUM(J3:J19)</f>
        <v>#REF!</v>
      </c>
      <c r="K20" s="413">
        <v>56</v>
      </c>
    </row>
  </sheetData>
  <mergeCells count="2">
    <mergeCell ref="A1:G1"/>
    <mergeCell ref="A20:B20"/>
  </mergeCells>
  <conditionalFormatting sqref="A2">
    <cfRule type="duplicateValues" dxfId="0" priority="4" stopIfTrue="1"/>
  </conditionalFormatting>
  <conditionalFormatting sqref="B2:J2">
    <cfRule type="duplicateValues" dxfId="0" priority="5" stopIfTrue="1"/>
  </conditionalFormatting>
  <conditionalFormatting sqref="K2">
    <cfRule type="duplicateValues" dxfId="0" priority="1" stopIfTrue="1"/>
  </conditionalFormatting>
  <pageMargins left="0.75" right="0.75" top="1" bottom="1" header="0.51" footer="0.51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74"/>
  <sheetViews>
    <sheetView zoomScale="85" zoomScaleNormal="85" workbookViewId="0">
      <pane ySplit="2" topLeftCell="A150" activePane="bottomLeft" state="frozen"/>
      <selection/>
      <selection pane="bottomLeft" activeCell="B169" sqref="B169"/>
    </sheetView>
  </sheetViews>
  <sheetFormatPr defaultColWidth="9" defaultRowHeight="15.75"/>
  <cols>
    <col min="2" max="2" width="28.125" customWidth="1"/>
    <col min="3" max="3" width="19.875" customWidth="1"/>
    <col min="4" max="4" width="17.125" customWidth="1"/>
    <col min="5" max="5" width="6.5" customWidth="1"/>
    <col min="6" max="6" width="6.375" customWidth="1"/>
    <col min="7" max="7" width="6.75" customWidth="1"/>
    <col min="8" max="8" width="6.5" customWidth="1"/>
    <col min="9" max="9" width="6" customWidth="1"/>
    <col min="10" max="10" width="6.75" customWidth="1"/>
    <col min="11" max="11" width="6.5" customWidth="1"/>
    <col min="12" max="12" width="6" customWidth="1"/>
    <col min="13" max="13" width="6.75" customWidth="1"/>
  </cols>
  <sheetData>
    <row r="1" spans="2:13">
      <c r="B1" s="378" t="s">
        <v>44</v>
      </c>
      <c r="C1" s="378"/>
      <c r="D1" s="378"/>
      <c r="E1" s="379" t="s">
        <v>45</v>
      </c>
      <c r="F1" s="379"/>
      <c r="G1" s="379"/>
      <c r="H1" s="380" t="s">
        <v>42</v>
      </c>
      <c r="I1" s="380"/>
      <c r="J1" s="380"/>
      <c r="K1" s="382" t="s">
        <v>46</v>
      </c>
      <c r="L1" s="382"/>
      <c r="M1" s="382"/>
    </row>
    <row r="2" spans="2:13">
      <c r="B2" s="381" t="s">
        <v>47</v>
      </c>
      <c r="C2" s="381" t="s">
        <v>48</v>
      </c>
      <c r="D2" s="381" t="s">
        <v>49</v>
      </c>
      <c r="E2" s="381" t="s">
        <v>50</v>
      </c>
      <c r="F2" s="381" t="s">
        <v>51</v>
      </c>
      <c r="G2" s="381" t="s">
        <v>52</v>
      </c>
      <c r="H2" s="381" t="s">
        <v>50</v>
      </c>
      <c r="I2" s="381" t="s">
        <v>51</v>
      </c>
      <c r="J2" s="381" t="s">
        <v>52</v>
      </c>
      <c r="K2" s="381" t="s">
        <v>50</v>
      </c>
      <c r="L2" s="381" t="s">
        <v>51</v>
      </c>
      <c r="M2" s="381" t="s">
        <v>52</v>
      </c>
    </row>
    <row r="3" spans="2:13">
      <c r="B3" s="59" t="s">
        <v>53</v>
      </c>
      <c r="C3" s="60" t="s">
        <v>54</v>
      </c>
      <c r="D3" s="60" t="s">
        <v>11</v>
      </c>
      <c r="E3" s="60">
        <f>COUNTIFS(RETAIL!L:L,B3)</f>
        <v>0</v>
      </c>
      <c r="F3" s="60">
        <f>COUNTIFS(IH!K:K,B3,IH!S:S,"DISBURSED")</f>
        <v>0</v>
      </c>
      <c r="G3" s="257">
        <f>IFERROR((F3/E3),0)</f>
        <v>0</v>
      </c>
      <c r="H3" s="60">
        <f>COUNTIFS([1]RETAIL!$L:$L,B3)</f>
        <v>0</v>
      </c>
      <c r="I3" s="60">
        <f>COUNTIFS([1]IH!$S:$S,"DISBURSED",[1]IH!$K:$K,B3)</f>
        <v>0</v>
      </c>
      <c r="J3" s="257">
        <f>IFERROR((I3/H3),0)</f>
        <v>0</v>
      </c>
      <c r="K3" s="60">
        <f>E3+H3</f>
        <v>0</v>
      </c>
      <c r="L3" s="60">
        <f>F3+I3</f>
        <v>0</v>
      </c>
      <c r="M3" s="257">
        <f>IFERROR((L3/K3),0)</f>
        <v>0</v>
      </c>
    </row>
    <row r="4" spans="2:13">
      <c r="B4" s="59" t="s">
        <v>55</v>
      </c>
      <c r="C4" s="60" t="s">
        <v>56</v>
      </c>
      <c r="D4" s="60" t="s">
        <v>13</v>
      </c>
      <c r="E4" s="60">
        <f>COUNTIFS(RETAIL!L:L,B4)</f>
        <v>2</v>
      </c>
      <c r="F4" s="60">
        <f>COUNTIFS(IH!K:K,B4,IH!S:S,"DISBURSED")</f>
        <v>1</v>
      </c>
      <c r="G4" s="257">
        <f t="shared" ref="G4:G41" si="0">IFERROR((F4/E4),0)</f>
        <v>0.5</v>
      </c>
      <c r="H4" s="60">
        <f>COUNTIFS([1]RETAIL!$L:$L,B4)</f>
        <v>1</v>
      </c>
      <c r="I4" s="60">
        <f>COUNTIFS([1]IH!$S:$S,"DISBURSED",[1]IH!$K:$K,B4)</f>
        <v>1</v>
      </c>
      <c r="J4" s="257">
        <f t="shared" ref="J4:J41" si="1">IFERROR((I4/H4),0)</f>
        <v>1</v>
      </c>
      <c r="K4" s="60">
        <f t="shared" ref="K4:K41" si="2">E4+H4</f>
        <v>3</v>
      </c>
      <c r="L4" s="60">
        <f t="shared" ref="L4:L41" si="3">F4+I4</f>
        <v>2</v>
      </c>
      <c r="M4" s="257">
        <f t="shared" ref="M4:M41" si="4">IFERROR((L4/K4),0)</f>
        <v>0.666666666666667</v>
      </c>
    </row>
    <row r="5" spans="2:13">
      <c r="B5" s="59" t="s">
        <v>57</v>
      </c>
      <c r="C5" s="60" t="s">
        <v>56</v>
      </c>
      <c r="D5" s="60" t="s">
        <v>13</v>
      </c>
      <c r="E5" s="60">
        <f>COUNTIFS(RETAIL!L:L,B5)</f>
        <v>0</v>
      </c>
      <c r="F5" s="60">
        <f>COUNTIFS(IH!K:K,B5,IH!S:S,"DISBURSED")</f>
        <v>0</v>
      </c>
      <c r="G5" s="257">
        <f t="shared" si="0"/>
        <v>0</v>
      </c>
      <c r="H5" s="60">
        <f>COUNTIFS([1]RETAIL!$L:$L,B5)</f>
        <v>0</v>
      </c>
      <c r="I5" s="60">
        <f>COUNTIFS([1]IH!$S:$S,"DISBURSED",[1]IH!$K:$K,B5)</f>
        <v>0</v>
      </c>
      <c r="J5" s="257">
        <f t="shared" si="1"/>
        <v>0</v>
      </c>
      <c r="K5" s="60">
        <f t="shared" si="2"/>
        <v>0</v>
      </c>
      <c r="L5" s="60">
        <f t="shared" si="3"/>
        <v>0</v>
      </c>
      <c r="M5" s="257">
        <f t="shared" si="4"/>
        <v>0</v>
      </c>
    </row>
    <row r="6" spans="2:13">
      <c r="B6" s="59" t="s">
        <v>58</v>
      </c>
      <c r="C6" s="60" t="s">
        <v>59</v>
      </c>
      <c r="D6" s="60" t="s">
        <v>15</v>
      </c>
      <c r="E6" s="60">
        <f>COUNTIFS(RETAIL!L:L,B6)</f>
        <v>0</v>
      </c>
      <c r="F6" s="60">
        <f>COUNTIFS(IH!K:K,B6,IH!S:S,"DISBURSED")</f>
        <v>0</v>
      </c>
      <c r="G6" s="257">
        <f t="shared" si="0"/>
        <v>0</v>
      </c>
      <c r="H6" s="60">
        <f>COUNTIFS([1]RETAIL!$L:$L,B6)</f>
        <v>0</v>
      </c>
      <c r="I6" s="60">
        <f>COUNTIFS([1]IH!$S:$S,"DISBURSED",[1]IH!$K:$K,B6)</f>
        <v>0</v>
      </c>
      <c r="J6" s="257">
        <f t="shared" si="1"/>
        <v>0</v>
      </c>
      <c r="K6" s="60">
        <f t="shared" si="2"/>
        <v>0</v>
      </c>
      <c r="L6" s="60">
        <f t="shared" si="3"/>
        <v>0</v>
      </c>
      <c r="M6" s="257">
        <f t="shared" si="4"/>
        <v>0</v>
      </c>
    </row>
    <row r="7" spans="2:13">
      <c r="B7" s="59" t="s">
        <v>60</v>
      </c>
      <c r="C7" s="60" t="s">
        <v>59</v>
      </c>
      <c r="D7" s="60" t="s">
        <v>15</v>
      </c>
      <c r="E7" s="60">
        <f>COUNTIFS(RETAIL!L:L,B7)</f>
        <v>0</v>
      </c>
      <c r="F7" s="60">
        <f>COUNTIFS(IH!K:K,B7,IH!S:S,"DISBURSED")</f>
        <v>0</v>
      </c>
      <c r="G7" s="257">
        <f t="shared" si="0"/>
        <v>0</v>
      </c>
      <c r="H7" s="60">
        <f>COUNTIFS([1]RETAIL!$L:$L,B7)</f>
        <v>0</v>
      </c>
      <c r="I7" s="60">
        <f>COUNTIFS([1]IH!$S:$S,"DISBURSED",[1]IH!$K:$K,B7)</f>
        <v>0</v>
      </c>
      <c r="J7" s="257">
        <f t="shared" si="1"/>
        <v>0</v>
      </c>
      <c r="K7" s="60">
        <f t="shared" si="2"/>
        <v>0</v>
      </c>
      <c r="L7" s="60">
        <f t="shared" si="3"/>
        <v>0</v>
      </c>
      <c r="M7" s="257">
        <f t="shared" si="4"/>
        <v>0</v>
      </c>
    </row>
    <row r="8" spans="2:13">
      <c r="B8" s="59" t="s">
        <v>61</v>
      </c>
      <c r="C8" s="60" t="s">
        <v>59</v>
      </c>
      <c r="D8" s="60" t="s">
        <v>15</v>
      </c>
      <c r="E8" s="60">
        <f>COUNTIFS(RETAIL!L:L,B8)</f>
        <v>1</v>
      </c>
      <c r="F8" s="60">
        <f>COUNTIFS(IH!K:K,B8,IH!S:S,"DISBURSED")</f>
        <v>1</v>
      </c>
      <c r="G8" s="257">
        <f t="shared" si="0"/>
        <v>1</v>
      </c>
      <c r="H8" s="60">
        <f>COUNTIFS([1]RETAIL!$L:$L,B8)</f>
        <v>0</v>
      </c>
      <c r="I8" s="60">
        <f>COUNTIFS([1]IH!$S:$S,"DISBURSED",[1]IH!$K:$K,B8)</f>
        <v>0</v>
      </c>
      <c r="J8" s="257">
        <f t="shared" si="1"/>
        <v>0</v>
      </c>
      <c r="K8" s="60">
        <f t="shared" si="2"/>
        <v>1</v>
      </c>
      <c r="L8" s="60">
        <f t="shared" si="3"/>
        <v>1</v>
      </c>
      <c r="M8" s="257">
        <f t="shared" si="4"/>
        <v>1</v>
      </c>
    </row>
    <row r="9" spans="2:13">
      <c r="B9" s="59" t="s">
        <v>62</v>
      </c>
      <c r="C9" s="60" t="s">
        <v>59</v>
      </c>
      <c r="D9" s="60" t="s">
        <v>15</v>
      </c>
      <c r="E9" s="60">
        <f>COUNTIFS(RETAIL!L:L,B9)</f>
        <v>0</v>
      </c>
      <c r="F9" s="60">
        <f>COUNTIFS(IH!K:K,B9,IH!S:S,"DISBURSED")</f>
        <v>0</v>
      </c>
      <c r="G9" s="257">
        <f t="shared" si="0"/>
        <v>0</v>
      </c>
      <c r="H9" s="60">
        <f>COUNTIFS([1]RETAIL!$L:$L,B9)</f>
        <v>0</v>
      </c>
      <c r="I9" s="60">
        <f>COUNTIFS([1]IH!$S:$S,"DISBURSED",[1]IH!$K:$K,B9)</f>
        <v>0</v>
      </c>
      <c r="J9" s="257">
        <f t="shared" si="1"/>
        <v>0</v>
      </c>
      <c r="K9" s="60">
        <f t="shared" si="2"/>
        <v>0</v>
      </c>
      <c r="L9" s="60">
        <f t="shared" si="3"/>
        <v>0</v>
      </c>
      <c r="M9" s="257">
        <f t="shared" si="4"/>
        <v>0</v>
      </c>
    </row>
    <row r="10" spans="2:13">
      <c r="B10" s="59" t="s">
        <v>63</v>
      </c>
      <c r="C10" s="60" t="s">
        <v>59</v>
      </c>
      <c r="D10" s="60" t="s">
        <v>15</v>
      </c>
      <c r="E10" s="60">
        <f>COUNTIFS(RETAIL!L:L,B10)</f>
        <v>0</v>
      </c>
      <c r="F10" s="60">
        <f>COUNTIFS(IH!K:K,B10,IH!S:S,"DISBURSED")</f>
        <v>0</v>
      </c>
      <c r="G10" s="257">
        <f t="shared" si="0"/>
        <v>0</v>
      </c>
      <c r="H10" s="60">
        <f>COUNTIFS([1]RETAIL!$L:$L,B10)</f>
        <v>1</v>
      </c>
      <c r="I10" s="60">
        <f>COUNTIFS([1]IH!$S:$S,"DISBURSED",[1]IH!$K:$K,B10)</f>
        <v>0</v>
      </c>
      <c r="J10" s="257">
        <f t="shared" si="1"/>
        <v>0</v>
      </c>
      <c r="K10" s="60">
        <f t="shared" si="2"/>
        <v>1</v>
      </c>
      <c r="L10" s="60">
        <f t="shared" si="3"/>
        <v>0</v>
      </c>
      <c r="M10" s="257">
        <f t="shared" si="4"/>
        <v>0</v>
      </c>
    </row>
    <row r="11" spans="2:13">
      <c r="B11" s="59" t="s">
        <v>64</v>
      </c>
      <c r="C11" s="60" t="s">
        <v>59</v>
      </c>
      <c r="D11" s="60" t="s">
        <v>15</v>
      </c>
      <c r="E11" s="60">
        <f>COUNTIFS(RETAIL!L:L,B11)</f>
        <v>5</v>
      </c>
      <c r="F11" s="60">
        <f>COUNTIFS(IH!K:K,B11,IH!S:S,"DISBURSED")</f>
        <v>4</v>
      </c>
      <c r="G11" s="257">
        <f t="shared" si="0"/>
        <v>0.8</v>
      </c>
      <c r="H11" s="60">
        <f>COUNTIFS([1]RETAIL!$L:$L,B11)</f>
        <v>3</v>
      </c>
      <c r="I11" s="60">
        <f>COUNTIFS([1]IH!$S:$S,"DISBURSED",[1]IH!$K:$K,B11)</f>
        <v>2</v>
      </c>
      <c r="J11" s="257">
        <f t="shared" si="1"/>
        <v>0.666666666666667</v>
      </c>
      <c r="K11" s="60">
        <f t="shared" si="2"/>
        <v>8</v>
      </c>
      <c r="L11" s="60">
        <f t="shared" si="3"/>
        <v>6</v>
      </c>
      <c r="M11" s="257">
        <f t="shared" si="4"/>
        <v>0.75</v>
      </c>
    </row>
    <row r="12" spans="2:13">
      <c r="B12" s="59" t="s">
        <v>65</v>
      </c>
      <c r="C12" s="60" t="s">
        <v>66</v>
      </c>
      <c r="D12" s="60" t="s">
        <v>17</v>
      </c>
      <c r="E12" s="60">
        <f>COUNTIFS(RETAIL!L:L,B12)</f>
        <v>10</v>
      </c>
      <c r="F12" s="60">
        <f>COUNTIFS(IH!K:K,B12,IH!S:S,"DISBURSED")</f>
        <v>2</v>
      </c>
      <c r="G12" s="257">
        <f t="shared" si="0"/>
        <v>0.2</v>
      </c>
      <c r="H12" s="60">
        <f>COUNTIFS([1]RETAIL!$L:$L,B12)</f>
        <v>0</v>
      </c>
      <c r="I12" s="60">
        <f>COUNTIFS([1]IH!$S:$S,"DISBURSED",[1]IH!$K:$K,B12)</f>
        <v>0</v>
      </c>
      <c r="J12" s="257">
        <f t="shared" si="1"/>
        <v>0</v>
      </c>
      <c r="K12" s="60">
        <f t="shared" si="2"/>
        <v>10</v>
      </c>
      <c r="L12" s="60">
        <f t="shared" si="3"/>
        <v>2</v>
      </c>
      <c r="M12" s="257">
        <f t="shared" si="4"/>
        <v>0.2</v>
      </c>
    </row>
    <row r="13" spans="2:13">
      <c r="B13" s="59" t="s">
        <v>67</v>
      </c>
      <c r="C13" s="60" t="s">
        <v>66</v>
      </c>
      <c r="D13" s="60" t="s">
        <v>17</v>
      </c>
      <c r="E13" s="60">
        <f>COUNTIFS(RETAIL!L:L,B13)</f>
        <v>3</v>
      </c>
      <c r="F13" s="60">
        <f>COUNTIFS(IH!K:K,B13,IH!S:S,"DISBURSED")</f>
        <v>1</v>
      </c>
      <c r="G13" s="257">
        <f t="shared" si="0"/>
        <v>0.333333333333333</v>
      </c>
      <c r="H13" s="60">
        <f>COUNTIFS([1]RETAIL!$L:$L,B13)</f>
        <v>0</v>
      </c>
      <c r="I13" s="60">
        <f>COUNTIFS([1]IH!$S:$S,"DISBURSED",[1]IH!$K:$K,B13)</f>
        <v>0</v>
      </c>
      <c r="J13" s="257">
        <f t="shared" si="1"/>
        <v>0</v>
      </c>
      <c r="K13" s="60">
        <f t="shared" si="2"/>
        <v>3</v>
      </c>
      <c r="L13" s="60">
        <f t="shared" si="3"/>
        <v>1</v>
      </c>
      <c r="M13" s="257">
        <f t="shared" si="4"/>
        <v>0.333333333333333</v>
      </c>
    </row>
    <row r="14" spans="2:13">
      <c r="B14" s="59" t="s">
        <v>68</v>
      </c>
      <c r="C14" s="60" t="s">
        <v>69</v>
      </c>
      <c r="D14" s="60" t="s">
        <v>17</v>
      </c>
      <c r="E14" s="60">
        <f>COUNTIFS(RETAIL!L:L,B14)</f>
        <v>7</v>
      </c>
      <c r="F14" s="60">
        <f>COUNTIFS(IH!K:K,B14,IH!S:S,"DISBURSED")</f>
        <v>6</v>
      </c>
      <c r="G14" s="257">
        <f t="shared" si="0"/>
        <v>0.857142857142857</v>
      </c>
      <c r="H14" s="60">
        <f>COUNTIFS([1]RETAIL!$L:$L,B14)</f>
        <v>3</v>
      </c>
      <c r="I14" s="60">
        <f>COUNTIFS([1]IH!$S:$S,"DISBURSED",[1]IH!$K:$K,B14)</f>
        <v>2</v>
      </c>
      <c r="J14" s="257">
        <f t="shared" si="1"/>
        <v>0.666666666666667</v>
      </c>
      <c r="K14" s="60">
        <f t="shared" si="2"/>
        <v>10</v>
      </c>
      <c r="L14" s="60">
        <f t="shared" si="3"/>
        <v>8</v>
      </c>
      <c r="M14" s="257">
        <f t="shared" si="4"/>
        <v>0.8</v>
      </c>
    </row>
    <row r="15" spans="2:13">
      <c r="B15" s="59" t="s">
        <v>70</v>
      </c>
      <c r="C15" s="60" t="s">
        <v>69</v>
      </c>
      <c r="D15" s="60" t="s">
        <v>17</v>
      </c>
      <c r="E15" s="60">
        <f>COUNTIFS(RETAIL!L:L,B15)</f>
        <v>4</v>
      </c>
      <c r="F15" s="60">
        <f>COUNTIFS(IH!K:K,B15,IH!S:S,"DISBURSED")</f>
        <v>2</v>
      </c>
      <c r="G15" s="257">
        <f t="shared" si="0"/>
        <v>0.5</v>
      </c>
      <c r="H15" s="60">
        <f>COUNTIFS([1]RETAIL!$L:$L,B15)</f>
        <v>1</v>
      </c>
      <c r="I15" s="60">
        <f>COUNTIFS([1]IH!$S:$S,"DISBURSED",[1]IH!$K:$K,B15)</f>
        <v>0</v>
      </c>
      <c r="J15" s="257">
        <f t="shared" si="1"/>
        <v>0</v>
      </c>
      <c r="K15" s="60">
        <f t="shared" si="2"/>
        <v>5</v>
      </c>
      <c r="L15" s="60">
        <f t="shared" si="3"/>
        <v>2</v>
      </c>
      <c r="M15" s="257">
        <f t="shared" si="4"/>
        <v>0.4</v>
      </c>
    </row>
    <row r="16" spans="2:13">
      <c r="B16" s="59" t="s">
        <v>71</v>
      </c>
      <c r="C16" s="60" t="s">
        <v>69</v>
      </c>
      <c r="D16" s="60" t="s">
        <v>17</v>
      </c>
      <c r="E16" s="60">
        <f>COUNTIFS(RETAIL!L:L,B16)</f>
        <v>0</v>
      </c>
      <c r="F16" s="60">
        <f>COUNTIFS(IH!K:K,B16,IH!S:S,"DISBURSED")</f>
        <v>0</v>
      </c>
      <c r="G16" s="257">
        <f t="shared" si="0"/>
        <v>0</v>
      </c>
      <c r="H16" s="60">
        <f>COUNTIFS([1]RETAIL!$L:$L,B16)</f>
        <v>0</v>
      </c>
      <c r="I16" s="60">
        <f>COUNTIFS([1]IH!$S:$S,"DISBURSED",[1]IH!$K:$K,B16)</f>
        <v>0</v>
      </c>
      <c r="J16" s="257">
        <f t="shared" si="1"/>
        <v>0</v>
      </c>
      <c r="K16" s="60">
        <f t="shared" si="2"/>
        <v>0</v>
      </c>
      <c r="L16" s="60">
        <f t="shared" si="3"/>
        <v>0</v>
      </c>
      <c r="M16" s="257">
        <f t="shared" si="4"/>
        <v>0</v>
      </c>
    </row>
    <row r="17" spans="2:13">
      <c r="B17" s="59" t="s">
        <v>72</v>
      </c>
      <c r="C17" s="60" t="s">
        <v>69</v>
      </c>
      <c r="D17" s="60" t="s">
        <v>17</v>
      </c>
      <c r="E17" s="60">
        <f>COUNTIFS(RETAIL!L:L,B17)</f>
        <v>0</v>
      </c>
      <c r="F17" s="60">
        <f>COUNTIFS(IH!K:K,B17,IH!S:S,"DISBURSED")</f>
        <v>0</v>
      </c>
      <c r="G17" s="257">
        <f t="shared" si="0"/>
        <v>0</v>
      </c>
      <c r="H17" s="60">
        <f>COUNTIFS([1]RETAIL!$L:$L,B17)</f>
        <v>0</v>
      </c>
      <c r="I17" s="60">
        <f>COUNTIFS([1]IH!$S:$S,"DISBURSED",[1]IH!$K:$K,B17)</f>
        <v>0</v>
      </c>
      <c r="J17" s="257">
        <f t="shared" si="1"/>
        <v>0</v>
      </c>
      <c r="K17" s="60">
        <f t="shared" si="2"/>
        <v>0</v>
      </c>
      <c r="L17" s="60">
        <f t="shared" si="3"/>
        <v>0</v>
      </c>
      <c r="M17" s="257">
        <f t="shared" si="4"/>
        <v>0</v>
      </c>
    </row>
    <row r="18" spans="2:13">
      <c r="B18" s="59" t="s">
        <v>73</v>
      </c>
      <c r="C18" s="60" t="s">
        <v>74</v>
      </c>
      <c r="D18" s="60" t="s">
        <v>17</v>
      </c>
      <c r="E18" s="60">
        <f>COUNTIFS(RETAIL!L:L,B18)</f>
        <v>2</v>
      </c>
      <c r="F18" s="60">
        <f>COUNTIFS(IH!K:K,B18,IH!S:S,"DISBURSED")</f>
        <v>2</v>
      </c>
      <c r="G18" s="257">
        <f t="shared" si="0"/>
        <v>1</v>
      </c>
      <c r="H18" s="60">
        <f>COUNTIFS([1]RETAIL!$L:$L,B18)</f>
        <v>0</v>
      </c>
      <c r="I18" s="60">
        <f>COUNTIFS([1]IH!$S:$S,"DISBURSED",[1]IH!$K:$K,B18)</f>
        <v>0</v>
      </c>
      <c r="J18" s="257">
        <f t="shared" si="1"/>
        <v>0</v>
      </c>
      <c r="K18" s="60">
        <f t="shared" si="2"/>
        <v>2</v>
      </c>
      <c r="L18" s="60">
        <f t="shared" si="3"/>
        <v>2</v>
      </c>
      <c r="M18" s="257">
        <f t="shared" si="4"/>
        <v>1</v>
      </c>
    </row>
    <row r="19" spans="2:13">
      <c r="B19" s="59" t="s">
        <v>75</v>
      </c>
      <c r="C19" s="60" t="s">
        <v>74</v>
      </c>
      <c r="D19" s="60" t="s">
        <v>17</v>
      </c>
      <c r="E19" s="60">
        <f>COUNTIFS(RETAIL!L:L,B19)</f>
        <v>2</v>
      </c>
      <c r="F19" s="60">
        <f>COUNTIFS(IH!K:K,B19,IH!S:S,"DISBURSED")</f>
        <v>2</v>
      </c>
      <c r="G19" s="257">
        <f t="shared" si="0"/>
        <v>1</v>
      </c>
      <c r="H19" s="60">
        <f>COUNTIFS([1]RETAIL!$L:$L,B19)</f>
        <v>1</v>
      </c>
      <c r="I19" s="60">
        <f>COUNTIFS([1]IH!$S:$S,"DISBURSED",[1]IH!$K:$K,B19)</f>
        <v>1</v>
      </c>
      <c r="J19" s="257">
        <f t="shared" si="1"/>
        <v>1</v>
      </c>
      <c r="K19" s="60">
        <f t="shared" si="2"/>
        <v>3</v>
      </c>
      <c r="L19" s="60">
        <f t="shared" si="3"/>
        <v>3</v>
      </c>
      <c r="M19" s="257">
        <f t="shared" si="4"/>
        <v>1</v>
      </c>
    </row>
    <row r="20" spans="2:13">
      <c r="B20" s="59" t="s">
        <v>76</v>
      </c>
      <c r="C20" s="60" t="s">
        <v>74</v>
      </c>
      <c r="D20" s="60" t="s">
        <v>17</v>
      </c>
      <c r="E20" s="60">
        <f>COUNTIFS(RETAIL!L:L,B20)</f>
        <v>2</v>
      </c>
      <c r="F20" s="60">
        <f>COUNTIFS(IH!K:K,B20,IH!S:S,"DISBURSED")</f>
        <v>1</v>
      </c>
      <c r="G20" s="257">
        <f t="shared" si="0"/>
        <v>0.5</v>
      </c>
      <c r="H20" s="60">
        <f>COUNTIFS([1]RETAIL!$L:$L,B20)</f>
        <v>1</v>
      </c>
      <c r="I20" s="60">
        <f>COUNTIFS([1]IH!$S:$S,"DISBURSED",[1]IH!$K:$K,B20)</f>
        <v>1</v>
      </c>
      <c r="J20" s="257">
        <f t="shared" si="1"/>
        <v>1</v>
      </c>
      <c r="K20" s="60">
        <f t="shared" si="2"/>
        <v>3</v>
      </c>
      <c r="L20" s="60">
        <f t="shared" si="3"/>
        <v>2</v>
      </c>
      <c r="M20" s="257">
        <f t="shared" si="4"/>
        <v>0.666666666666667</v>
      </c>
    </row>
    <row r="21" spans="2:13">
      <c r="B21" s="59" t="s">
        <v>77</v>
      </c>
      <c r="C21" s="60" t="s">
        <v>74</v>
      </c>
      <c r="D21" s="60" t="s">
        <v>17</v>
      </c>
      <c r="E21" s="60">
        <f>COUNTIFS(RETAIL!L:L,B21)</f>
        <v>0</v>
      </c>
      <c r="F21" s="60">
        <f>COUNTIFS(IH!K:K,B21,IH!S:S,"DISBURSED")</f>
        <v>0</v>
      </c>
      <c r="G21" s="257">
        <f t="shared" si="0"/>
        <v>0</v>
      </c>
      <c r="H21" s="60">
        <f>COUNTIFS([1]RETAIL!$L:$L,B21)</f>
        <v>0</v>
      </c>
      <c r="I21" s="60">
        <f>COUNTIFS([1]IH!$S:$S,"DISBURSED",[1]IH!$K:$K,B21)</f>
        <v>0</v>
      </c>
      <c r="J21" s="257">
        <f t="shared" si="1"/>
        <v>0</v>
      </c>
      <c r="K21" s="60">
        <f t="shared" si="2"/>
        <v>0</v>
      </c>
      <c r="L21" s="60">
        <f t="shared" si="3"/>
        <v>0</v>
      </c>
      <c r="M21" s="257">
        <f t="shared" si="4"/>
        <v>0</v>
      </c>
    </row>
    <row r="22" spans="2:13">
      <c r="B22" s="59" t="s">
        <v>78</v>
      </c>
      <c r="C22" s="60" t="s">
        <v>79</v>
      </c>
      <c r="D22" s="60" t="s">
        <v>17</v>
      </c>
      <c r="E22" s="60">
        <f>COUNTIFS(RETAIL!L:L,B22)</f>
        <v>0</v>
      </c>
      <c r="F22" s="60">
        <f>COUNTIFS(IH!K:K,B22,IH!S:S,"DISBURSED")</f>
        <v>0</v>
      </c>
      <c r="G22" s="257">
        <f t="shared" si="0"/>
        <v>0</v>
      </c>
      <c r="H22" s="60">
        <f>COUNTIFS([1]RETAIL!$L:$L,B22)</f>
        <v>0</v>
      </c>
      <c r="I22" s="60">
        <f>COUNTIFS([1]IH!$S:$S,"DISBURSED",[1]IH!$K:$K,B22)</f>
        <v>0</v>
      </c>
      <c r="J22" s="257">
        <f t="shared" si="1"/>
        <v>0</v>
      </c>
      <c r="K22" s="60">
        <f t="shared" si="2"/>
        <v>0</v>
      </c>
      <c r="L22" s="60">
        <f t="shared" si="3"/>
        <v>0</v>
      </c>
      <c r="M22" s="257">
        <f t="shared" si="4"/>
        <v>0</v>
      </c>
    </row>
    <row r="23" spans="2:13">
      <c r="B23" s="59" t="s">
        <v>80</v>
      </c>
      <c r="C23" s="60" t="s">
        <v>79</v>
      </c>
      <c r="D23" s="60" t="s">
        <v>17</v>
      </c>
      <c r="E23" s="60">
        <f>COUNTIFS(RETAIL!L:L,B23)</f>
        <v>3</v>
      </c>
      <c r="F23" s="60">
        <f>COUNTIFS(IH!K:K,B23,IH!S:S,"DISBURSED")</f>
        <v>2</v>
      </c>
      <c r="G23" s="257">
        <f t="shared" si="0"/>
        <v>0.666666666666667</v>
      </c>
      <c r="H23" s="60">
        <f>COUNTIFS([1]RETAIL!$L:$L,B23)</f>
        <v>0</v>
      </c>
      <c r="I23" s="60">
        <f>COUNTIFS([1]IH!$S:$S,"DISBURSED",[1]IH!$K:$K,B23)</f>
        <v>0</v>
      </c>
      <c r="J23" s="257">
        <f t="shared" si="1"/>
        <v>0</v>
      </c>
      <c r="K23" s="60">
        <f t="shared" si="2"/>
        <v>3</v>
      </c>
      <c r="L23" s="60">
        <f t="shared" si="3"/>
        <v>2</v>
      </c>
      <c r="M23" s="257">
        <f t="shared" si="4"/>
        <v>0.666666666666667</v>
      </c>
    </row>
    <row r="24" spans="2:13">
      <c r="B24" s="59" t="s">
        <v>81</v>
      </c>
      <c r="C24" s="60" t="s">
        <v>82</v>
      </c>
      <c r="D24" s="60" t="s">
        <v>33</v>
      </c>
      <c r="E24" s="60">
        <f>COUNTIFS(RETAIL!L:L,B24)</f>
        <v>1</v>
      </c>
      <c r="F24" s="60">
        <f>COUNTIFS(IH!K:K,B24,IH!S:S,"DISBURSED")</f>
        <v>1</v>
      </c>
      <c r="G24" s="257">
        <f t="shared" si="0"/>
        <v>1</v>
      </c>
      <c r="H24" s="60">
        <f>COUNTIFS([1]RETAIL!$L:$L,B24)</f>
        <v>0</v>
      </c>
      <c r="I24" s="60">
        <f>COUNTIFS([1]IH!$S:$S,"DISBURSED",[1]IH!$K:$K,B24)</f>
        <v>0</v>
      </c>
      <c r="J24" s="257">
        <f t="shared" si="1"/>
        <v>0</v>
      </c>
      <c r="K24" s="60">
        <f t="shared" si="2"/>
        <v>1</v>
      </c>
      <c r="L24" s="60">
        <f t="shared" si="3"/>
        <v>1</v>
      </c>
      <c r="M24" s="257">
        <f t="shared" si="4"/>
        <v>1</v>
      </c>
    </row>
    <row r="25" spans="2:13">
      <c r="B25" s="59" t="s">
        <v>83</v>
      </c>
      <c r="C25" s="60" t="s">
        <v>82</v>
      </c>
      <c r="D25" s="60" t="s">
        <v>33</v>
      </c>
      <c r="E25" s="60">
        <f>COUNTIFS(RETAIL!L:L,B25)</f>
        <v>0</v>
      </c>
      <c r="F25" s="60">
        <f>COUNTIFS(IH!K:K,B25,IH!S:S,"DISBURSED")</f>
        <v>0</v>
      </c>
      <c r="G25" s="257">
        <f t="shared" si="0"/>
        <v>0</v>
      </c>
      <c r="H25" s="60">
        <f>COUNTIFS([1]RETAIL!$L:$L,B25)</f>
        <v>0</v>
      </c>
      <c r="I25" s="60">
        <f>COUNTIFS([1]IH!$S:$S,"DISBURSED",[1]IH!$K:$K,B25)</f>
        <v>0</v>
      </c>
      <c r="J25" s="257">
        <f t="shared" si="1"/>
        <v>0</v>
      </c>
      <c r="K25" s="60">
        <f t="shared" si="2"/>
        <v>0</v>
      </c>
      <c r="L25" s="60">
        <f t="shared" si="3"/>
        <v>0</v>
      </c>
      <c r="M25" s="257">
        <f t="shared" si="4"/>
        <v>0</v>
      </c>
    </row>
    <row r="26" spans="2:13">
      <c r="B26" s="59" t="s">
        <v>84</v>
      </c>
      <c r="C26" s="60" t="s">
        <v>82</v>
      </c>
      <c r="D26" s="60" t="s">
        <v>33</v>
      </c>
      <c r="E26" s="60">
        <f>COUNTIFS(RETAIL!L:L,B26)</f>
        <v>0</v>
      </c>
      <c r="F26" s="60">
        <f>COUNTIFS(IH!K:K,B26,IH!S:S,"DISBURSED")</f>
        <v>0</v>
      </c>
      <c r="G26" s="257">
        <f t="shared" si="0"/>
        <v>0</v>
      </c>
      <c r="H26" s="60">
        <f>COUNTIFS([1]RETAIL!$L:$L,B26)</f>
        <v>0</v>
      </c>
      <c r="I26" s="60">
        <f>COUNTIFS([1]IH!$S:$S,"DISBURSED",[1]IH!$K:$K,B26)</f>
        <v>0</v>
      </c>
      <c r="J26" s="257">
        <f t="shared" si="1"/>
        <v>0</v>
      </c>
      <c r="K26" s="60">
        <f t="shared" si="2"/>
        <v>0</v>
      </c>
      <c r="L26" s="60">
        <f t="shared" si="3"/>
        <v>0</v>
      </c>
      <c r="M26" s="257">
        <f t="shared" si="4"/>
        <v>0</v>
      </c>
    </row>
    <row r="27" spans="2:13">
      <c r="B27" s="59" t="s">
        <v>85</v>
      </c>
      <c r="C27" s="60" t="s">
        <v>82</v>
      </c>
      <c r="D27" s="60" t="s">
        <v>33</v>
      </c>
      <c r="E27" s="60">
        <f>COUNTIFS(RETAIL!L:L,B27)</f>
        <v>2</v>
      </c>
      <c r="F27" s="60">
        <f>COUNTIFS(IH!K:K,B27,IH!S:S,"DISBURSED")</f>
        <v>1</v>
      </c>
      <c r="G27" s="257">
        <f t="shared" si="0"/>
        <v>0.5</v>
      </c>
      <c r="H27" s="60">
        <f>COUNTIFS([1]RETAIL!$L:$L,B27)</f>
        <v>0</v>
      </c>
      <c r="I27" s="60">
        <f>COUNTIFS([1]IH!$S:$S,"DISBURSED",[1]IH!$K:$K,B27)</f>
        <v>0</v>
      </c>
      <c r="J27" s="257">
        <f t="shared" si="1"/>
        <v>0</v>
      </c>
      <c r="K27" s="60">
        <f t="shared" si="2"/>
        <v>2</v>
      </c>
      <c r="L27" s="60">
        <f t="shared" si="3"/>
        <v>1</v>
      </c>
      <c r="M27" s="257">
        <f t="shared" si="4"/>
        <v>0.5</v>
      </c>
    </row>
    <row r="28" spans="2:13">
      <c r="B28" s="59" t="s">
        <v>86</v>
      </c>
      <c r="C28" s="60" t="s">
        <v>82</v>
      </c>
      <c r="D28" s="60" t="s">
        <v>33</v>
      </c>
      <c r="E28" s="60">
        <f>COUNTIFS(RETAIL!L:L,B28)</f>
        <v>1</v>
      </c>
      <c r="F28" s="60">
        <f>COUNTIFS(IH!K:K,B28,IH!S:S,"DISBURSED")</f>
        <v>1</v>
      </c>
      <c r="G28" s="257">
        <f t="shared" si="0"/>
        <v>1</v>
      </c>
      <c r="H28" s="60">
        <f>COUNTIFS([1]RETAIL!$L:$L,B28)</f>
        <v>1</v>
      </c>
      <c r="I28" s="60">
        <f>COUNTIFS([1]IH!$S:$S,"DISBURSED",[1]IH!$K:$K,B28)</f>
        <v>1</v>
      </c>
      <c r="J28" s="257">
        <f t="shared" si="1"/>
        <v>1</v>
      </c>
      <c r="K28" s="60">
        <f t="shared" si="2"/>
        <v>2</v>
      </c>
      <c r="L28" s="60">
        <f t="shared" si="3"/>
        <v>2</v>
      </c>
      <c r="M28" s="257">
        <f t="shared" si="4"/>
        <v>1</v>
      </c>
    </row>
    <row r="29" spans="2:13">
      <c r="B29" s="59" t="s">
        <v>87</v>
      </c>
      <c r="C29" s="60" t="s">
        <v>88</v>
      </c>
      <c r="D29" s="60" t="s">
        <v>19</v>
      </c>
      <c r="E29" s="60">
        <f>COUNTIFS(RETAIL!L:L,B29)</f>
        <v>3</v>
      </c>
      <c r="F29" s="60">
        <f>COUNTIFS(IH!K:K,B29,IH!S:S,"DISBURSED")</f>
        <v>2</v>
      </c>
      <c r="G29" s="257">
        <f t="shared" si="0"/>
        <v>0.666666666666667</v>
      </c>
      <c r="H29" s="60">
        <f>COUNTIFS([1]RETAIL!$L:$L,B29)</f>
        <v>1</v>
      </c>
      <c r="I29" s="60">
        <f>COUNTIFS([1]IH!$S:$S,"DISBURSED",[1]IH!$K:$K,B29)</f>
        <v>1</v>
      </c>
      <c r="J29" s="257">
        <f t="shared" si="1"/>
        <v>1</v>
      </c>
      <c r="K29" s="60">
        <f t="shared" si="2"/>
        <v>4</v>
      </c>
      <c r="L29" s="60">
        <f t="shared" si="3"/>
        <v>3</v>
      </c>
      <c r="M29" s="257">
        <f t="shared" si="4"/>
        <v>0.75</v>
      </c>
    </row>
    <row r="30" spans="2:13">
      <c r="B30" s="59" t="s">
        <v>89</v>
      </c>
      <c r="C30" s="60" t="s">
        <v>88</v>
      </c>
      <c r="D30" s="60" t="s">
        <v>19</v>
      </c>
      <c r="E30" s="60">
        <f>COUNTIFS(RETAIL!L:L,B30)</f>
        <v>0</v>
      </c>
      <c r="F30" s="60">
        <f>COUNTIFS(IH!K:K,B30,IH!S:S,"DISBURSED")</f>
        <v>0</v>
      </c>
      <c r="G30" s="257">
        <f t="shared" si="0"/>
        <v>0</v>
      </c>
      <c r="H30" s="60">
        <f>COUNTIFS([1]RETAIL!$L:$L,B30)</f>
        <v>0</v>
      </c>
      <c r="I30" s="60">
        <f>COUNTIFS([1]IH!$S:$S,"DISBURSED",[1]IH!$K:$K,B30)</f>
        <v>0</v>
      </c>
      <c r="J30" s="257">
        <f t="shared" si="1"/>
        <v>0</v>
      </c>
      <c r="K30" s="60">
        <f t="shared" si="2"/>
        <v>0</v>
      </c>
      <c r="L30" s="60">
        <f t="shared" si="3"/>
        <v>0</v>
      </c>
      <c r="M30" s="257">
        <f t="shared" si="4"/>
        <v>0</v>
      </c>
    </row>
    <row r="31" spans="2:13">
      <c r="B31" s="59" t="s">
        <v>90</v>
      </c>
      <c r="C31" s="60" t="s">
        <v>88</v>
      </c>
      <c r="D31" s="60" t="s">
        <v>19</v>
      </c>
      <c r="E31" s="60">
        <f>COUNTIFS(RETAIL!L:L,B31)</f>
        <v>2</v>
      </c>
      <c r="F31" s="60">
        <f>COUNTIFS(IH!K:K,B31,IH!S:S,"DISBURSED")</f>
        <v>1</v>
      </c>
      <c r="G31" s="257">
        <f t="shared" si="0"/>
        <v>0.5</v>
      </c>
      <c r="H31" s="60">
        <f>COUNTIFS([1]RETAIL!$L:$L,B31)</f>
        <v>2</v>
      </c>
      <c r="I31" s="60">
        <f>COUNTIFS([1]IH!$S:$S,"DISBURSED",[1]IH!$K:$K,B31)</f>
        <v>2</v>
      </c>
      <c r="J31" s="257">
        <f t="shared" si="1"/>
        <v>1</v>
      </c>
      <c r="K31" s="60">
        <f t="shared" si="2"/>
        <v>4</v>
      </c>
      <c r="L31" s="60">
        <f t="shared" si="3"/>
        <v>3</v>
      </c>
      <c r="M31" s="257">
        <f t="shared" si="4"/>
        <v>0.75</v>
      </c>
    </row>
    <row r="32" spans="2:13">
      <c r="B32" s="59" t="s">
        <v>91</v>
      </c>
      <c r="C32" s="60" t="s">
        <v>92</v>
      </c>
      <c r="D32" s="60" t="s">
        <v>23</v>
      </c>
      <c r="E32" s="60">
        <f>COUNTIFS(RETAIL!L:L,B32)</f>
        <v>4</v>
      </c>
      <c r="F32" s="60">
        <f>COUNTIFS(IH!K:K,B32,IH!S:S,"DISBURSED")</f>
        <v>1</v>
      </c>
      <c r="G32" s="257">
        <f t="shared" si="0"/>
        <v>0.25</v>
      </c>
      <c r="H32" s="60">
        <f>COUNTIFS([1]RETAIL!$L:$L,B32)</f>
        <v>1</v>
      </c>
      <c r="I32" s="60">
        <f>COUNTIFS([1]IH!$S:$S,"DISBURSED",[1]IH!$K:$K,B32)</f>
        <v>1</v>
      </c>
      <c r="J32" s="257">
        <f t="shared" si="1"/>
        <v>1</v>
      </c>
      <c r="K32" s="60">
        <f t="shared" si="2"/>
        <v>5</v>
      </c>
      <c r="L32" s="60">
        <f t="shared" si="3"/>
        <v>2</v>
      </c>
      <c r="M32" s="257">
        <f t="shared" si="4"/>
        <v>0.4</v>
      </c>
    </row>
    <row r="33" spans="2:13">
      <c r="B33" s="59" t="s">
        <v>93</v>
      </c>
      <c r="C33" s="60" t="s">
        <v>94</v>
      </c>
      <c r="D33" s="60" t="s">
        <v>23</v>
      </c>
      <c r="E33" s="60">
        <f>COUNTIFS(RETAIL!L:L,B33)</f>
        <v>1</v>
      </c>
      <c r="F33" s="60">
        <f>COUNTIFS(IH!K:K,B33,IH!S:S,"DISBURSED")</f>
        <v>0</v>
      </c>
      <c r="G33" s="257">
        <f t="shared" si="0"/>
        <v>0</v>
      </c>
      <c r="H33" s="60">
        <f>COUNTIFS([1]RETAIL!$L:$L,B33)</f>
        <v>1</v>
      </c>
      <c r="I33" s="60">
        <f>COUNTIFS([1]IH!$S:$S,"DISBURSED",[1]IH!$K:$K,B33)</f>
        <v>2</v>
      </c>
      <c r="J33" s="257">
        <f t="shared" si="1"/>
        <v>2</v>
      </c>
      <c r="K33" s="60">
        <f t="shared" si="2"/>
        <v>2</v>
      </c>
      <c r="L33" s="60">
        <f t="shared" si="3"/>
        <v>2</v>
      </c>
      <c r="M33" s="257">
        <f t="shared" si="4"/>
        <v>1</v>
      </c>
    </row>
    <row r="34" spans="2:13">
      <c r="B34" s="59" t="s">
        <v>95</v>
      </c>
      <c r="C34" s="60" t="s">
        <v>96</v>
      </c>
      <c r="D34" s="60" t="s">
        <v>23</v>
      </c>
      <c r="E34" s="60">
        <f>COUNTIFS(RETAIL!L:L,B34)</f>
        <v>1</v>
      </c>
      <c r="F34" s="60">
        <f>COUNTIFS(IH!K:K,B34,IH!S:S,"DISBURSED")</f>
        <v>1</v>
      </c>
      <c r="G34" s="257">
        <f t="shared" si="0"/>
        <v>1</v>
      </c>
      <c r="H34" s="60">
        <f>COUNTIFS([1]RETAIL!$L:$L,B34)</f>
        <v>0</v>
      </c>
      <c r="I34" s="60">
        <f>COUNTIFS([1]IH!$S:$S,"DISBURSED",[1]IH!$K:$K,B34)</f>
        <v>0</v>
      </c>
      <c r="J34" s="257">
        <f t="shared" si="1"/>
        <v>0</v>
      </c>
      <c r="K34" s="60">
        <f t="shared" si="2"/>
        <v>1</v>
      </c>
      <c r="L34" s="60">
        <f t="shared" si="3"/>
        <v>1</v>
      </c>
      <c r="M34" s="257">
        <f t="shared" si="4"/>
        <v>1</v>
      </c>
    </row>
    <row r="35" spans="2:13">
      <c r="B35" s="59" t="s">
        <v>97</v>
      </c>
      <c r="C35" s="60" t="s">
        <v>94</v>
      </c>
      <c r="D35" s="60" t="s">
        <v>23</v>
      </c>
      <c r="E35" s="60">
        <f>COUNTIFS(RETAIL!L:L,B35)</f>
        <v>1</v>
      </c>
      <c r="F35" s="60">
        <f>COUNTIFS(IH!K:K,B35,IH!S:S,"DISBURSED")</f>
        <v>1</v>
      </c>
      <c r="G35" s="257">
        <f t="shared" si="0"/>
        <v>1</v>
      </c>
      <c r="H35" s="60">
        <f>COUNTIFS([1]RETAIL!$L:$L,B35)</f>
        <v>1</v>
      </c>
      <c r="I35" s="60">
        <f>COUNTIFS([1]IH!$S:$S,"DISBURSED",[1]IH!$K:$K,B35)</f>
        <v>1</v>
      </c>
      <c r="J35" s="257">
        <f t="shared" si="1"/>
        <v>1</v>
      </c>
      <c r="K35" s="60">
        <f t="shared" si="2"/>
        <v>2</v>
      </c>
      <c r="L35" s="60">
        <f t="shared" si="3"/>
        <v>2</v>
      </c>
      <c r="M35" s="257">
        <f t="shared" si="4"/>
        <v>1</v>
      </c>
    </row>
    <row r="36" spans="2:13">
      <c r="B36" s="59" t="s">
        <v>98</v>
      </c>
      <c r="C36" s="60" t="s">
        <v>99</v>
      </c>
      <c r="D36" s="60" t="s">
        <v>100</v>
      </c>
      <c r="E36" s="60">
        <f>COUNTIFS(RETAIL!L:L,B36)</f>
        <v>3</v>
      </c>
      <c r="F36" s="60">
        <f>COUNTIFS(IH!K:K,B36,IH!S:S,"DISBURSED")</f>
        <v>2</v>
      </c>
      <c r="G36" s="257">
        <f t="shared" si="0"/>
        <v>0.666666666666667</v>
      </c>
      <c r="H36" s="60">
        <f>COUNTIFS([1]RETAIL!$L:$L,B36)</f>
        <v>1</v>
      </c>
      <c r="I36" s="60">
        <f>COUNTIFS([1]IH!$S:$S,"DISBURSED",[1]IH!$K:$K,B36)</f>
        <v>0</v>
      </c>
      <c r="J36" s="257">
        <f t="shared" si="1"/>
        <v>0</v>
      </c>
      <c r="K36" s="60">
        <f t="shared" si="2"/>
        <v>4</v>
      </c>
      <c r="L36" s="60">
        <f t="shared" si="3"/>
        <v>2</v>
      </c>
      <c r="M36" s="257">
        <f t="shared" si="4"/>
        <v>0.5</v>
      </c>
    </row>
    <row r="37" spans="2:13">
      <c r="B37" s="59" t="s">
        <v>101</v>
      </c>
      <c r="C37" s="60" t="s">
        <v>99</v>
      </c>
      <c r="D37" s="60" t="s">
        <v>100</v>
      </c>
      <c r="E37" s="60">
        <f>COUNTIFS(RETAIL!L:L,B37)</f>
        <v>1</v>
      </c>
      <c r="F37" s="60">
        <f>COUNTIFS(IH!K:K,B37,IH!S:S,"DISBURSED")</f>
        <v>1</v>
      </c>
      <c r="G37" s="257">
        <f t="shared" si="0"/>
        <v>1</v>
      </c>
      <c r="H37" s="60">
        <f>COUNTIFS([1]RETAIL!$L:$L,B37)</f>
        <v>1</v>
      </c>
      <c r="I37" s="60">
        <f>COUNTIFS([1]IH!$S:$S,"DISBURSED",[1]IH!$K:$K,B37)</f>
        <v>1</v>
      </c>
      <c r="J37" s="257">
        <f t="shared" si="1"/>
        <v>1</v>
      </c>
      <c r="K37" s="60">
        <f t="shared" si="2"/>
        <v>2</v>
      </c>
      <c r="L37" s="60">
        <f t="shared" si="3"/>
        <v>2</v>
      </c>
      <c r="M37" s="257">
        <f t="shared" si="4"/>
        <v>1</v>
      </c>
    </row>
    <row r="38" spans="2:13">
      <c r="B38" s="59" t="s">
        <v>102</v>
      </c>
      <c r="C38" s="60" t="s">
        <v>99</v>
      </c>
      <c r="D38" s="60" t="s">
        <v>100</v>
      </c>
      <c r="E38" s="60">
        <f>COUNTIFS(RETAIL!L:L,B38)</f>
        <v>0</v>
      </c>
      <c r="F38" s="60">
        <f>COUNTIFS(IH!K:K,B38,IH!S:S,"DISBURSED")</f>
        <v>0</v>
      </c>
      <c r="G38" s="257">
        <f t="shared" si="0"/>
        <v>0</v>
      </c>
      <c r="H38" s="60">
        <f>COUNTIFS([1]RETAIL!$L:$L,B38)</f>
        <v>0</v>
      </c>
      <c r="I38" s="60">
        <f>COUNTIFS([1]IH!$S:$S,"DISBURSED",[1]IH!$K:$K,B38)</f>
        <v>0</v>
      </c>
      <c r="J38" s="257">
        <f t="shared" si="1"/>
        <v>0</v>
      </c>
      <c r="K38" s="60">
        <f t="shared" si="2"/>
        <v>0</v>
      </c>
      <c r="L38" s="60">
        <f t="shared" si="3"/>
        <v>0</v>
      </c>
      <c r="M38" s="257">
        <f t="shared" si="4"/>
        <v>0</v>
      </c>
    </row>
    <row r="39" spans="2:13">
      <c r="B39" s="59" t="s">
        <v>103</v>
      </c>
      <c r="C39" s="60" t="s">
        <v>99</v>
      </c>
      <c r="D39" s="60" t="s">
        <v>100</v>
      </c>
      <c r="E39" s="60">
        <f>COUNTIFS(RETAIL!L:L,B39)</f>
        <v>3</v>
      </c>
      <c r="F39" s="60">
        <f>COUNTIFS(IH!K:K,B39,IH!S:S,"DISBURSED")</f>
        <v>2</v>
      </c>
      <c r="G39" s="257">
        <f t="shared" si="0"/>
        <v>0.666666666666667</v>
      </c>
      <c r="H39" s="60">
        <f>COUNTIFS([1]RETAIL!$L:$L,B39)</f>
        <v>1</v>
      </c>
      <c r="I39" s="60">
        <f>COUNTIFS([1]IH!$S:$S,"DISBURSED",[1]IH!$K:$K,B39)</f>
        <v>1</v>
      </c>
      <c r="J39" s="257">
        <f t="shared" si="1"/>
        <v>1</v>
      </c>
      <c r="K39" s="60">
        <f t="shared" si="2"/>
        <v>4</v>
      </c>
      <c r="L39" s="60">
        <f t="shared" si="3"/>
        <v>3</v>
      </c>
      <c r="M39" s="257">
        <f t="shared" si="4"/>
        <v>0.75</v>
      </c>
    </row>
    <row r="40" spans="2:13">
      <c r="B40" s="59" t="s">
        <v>104</v>
      </c>
      <c r="C40" s="60" t="s">
        <v>99</v>
      </c>
      <c r="D40" s="60" t="s">
        <v>100</v>
      </c>
      <c r="E40" s="60">
        <f>COUNTIFS(RETAIL!L:L,B40)</f>
        <v>0</v>
      </c>
      <c r="F40" s="60">
        <f>COUNTIFS(IH!K:K,B40,IH!S:S,"DISBURSED")</f>
        <v>0</v>
      </c>
      <c r="G40" s="257">
        <f t="shared" si="0"/>
        <v>0</v>
      </c>
      <c r="H40" s="60">
        <f>COUNTIFS([1]RETAIL!$L:$L,B40)</f>
        <v>1</v>
      </c>
      <c r="I40" s="60">
        <f>COUNTIFS([1]IH!$S:$S,"DISBURSED",[1]IH!$K:$K,B40)</f>
        <v>1</v>
      </c>
      <c r="J40" s="257">
        <f t="shared" si="1"/>
        <v>1</v>
      </c>
      <c r="K40" s="60">
        <f t="shared" si="2"/>
        <v>1</v>
      </c>
      <c r="L40" s="60">
        <f t="shared" si="3"/>
        <v>1</v>
      </c>
      <c r="M40" s="257">
        <f t="shared" si="4"/>
        <v>1</v>
      </c>
    </row>
    <row r="41" spans="2:13">
      <c r="B41" s="59" t="s">
        <v>105</v>
      </c>
      <c r="C41" s="60" t="s">
        <v>106</v>
      </c>
      <c r="D41" s="60" t="s">
        <v>107</v>
      </c>
      <c r="E41" s="60">
        <f>COUNTIFS(RETAIL!L:L,B41)</f>
        <v>0</v>
      </c>
      <c r="F41" s="60">
        <f>COUNTIFS(IH!K:K,B41,IH!S:S,"DISBURSED")</f>
        <v>0</v>
      </c>
      <c r="G41" s="257">
        <f t="shared" si="0"/>
        <v>0</v>
      </c>
      <c r="H41" s="60">
        <f>COUNTIFS([1]RETAIL!$L:$L,B41)</f>
        <v>0</v>
      </c>
      <c r="I41" s="60">
        <f>COUNTIFS([1]IH!$S:$S,"DISBURSED",[1]IH!$K:$K,B41)</f>
        <v>0</v>
      </c>
      <c r="J41" s="257">
        <f t="shared" si="1"/>
        <v>0</v>
      </c>
      <c r="K41" s="60">
        <f t="shared" si="2"/>
        <v>0</v>
      </c>
      <c r="L41" s="60">
        <f t="shared" si="3"/>
        <v>0</v>
      </c>
      <c r="M41" s="257">
        <f t="shared" si="4"/>
        <v>0</v>
      </c>
    </row>
    <row r="42" spans="2:13">
      <c r="B42" s="59" t="s">
        <v>108</v>
      </c>
      <c r="C42" s="60" t="s">
        <v>106</v>
      </c>
      <c r="D42" s="60" t="s">
        <v>107</v>
      </c>
      <c r="E42" s="60">
        <f>COUNTIFS(RETAIL!L:L,B42)</f>
        <v>1</v>
      </c>
      <c r="F42" s="60">
        <f>COUNTIFS(IH!K:K,B42,IH!S:S,"DISBURSED")</f>
        <v>1</v>
      </c>
      <c r="G42" s="257">
        <f t="shared" ref="G42:G65" si="5">IFERROR((F42/E42),0)</f>
        <v>1</v>
      </c>
      <c r="H42" s="60">
        <f>COUNTIFS([1]RETAIL!$L:$L,B42)</f>
        <v>3</v>
      </c>
      <c r="I42" s="60">
        <f>COUNTIFS([1]IH!$S:$S,"DISBURSED",[1]IH!$K:$K,B42)</f>
        <v>3</v>
      </c>
      <c r="J42" s="257">
        <f t="shared" ref="J42:J65" si="6">IFERROR((I42/H42),0)</f>
        <v>1</v>
      </c>
      <c r="K42" s="60">
        <f t="shared" ref="K42:K65" si="7">E42+H42</f>
        <v>4</v>
      </c>
      <c r="L42" s="60">
        <f t="shared" ref="L42:L65" si="8">F42+I42</f>
        <v>4</v>
      </c>
      <c r="M42" s="257">
        <f t="shared" ref="M42:M65" si="9">IFERROR((L42/K42),0)</f>
        <v>1</v>
      </c>
    </row>
    <row r="43" spans="2:13">
      <c r="B43" s="59" t="s">
        <v>109</v>
      </c>
      <c r="C43" s="60" t="s">
        <v>110</v>
      </c>
      <c r="D43" s="60" t="s">
        <v>111</v>
      </c>
      <c r="E43" s="60">
        <f>COUNTIFS(RETAIL!L:L,B43)</f>
        <v>0</v>
      </c>
      <c r="F43" s="60">
        <f>COUNTIFS(IH!K:K,B43,IH!S:S,"DISBURSED")</f>
        <v>0</v>
      </c>
      <c r="G43" s="257">
        <f t="shared" si="5"/>
        <v>0</v>
      </c>
      <c r="H43" s="60">
        <f>COUNTIFS([1]RETAIL!$L:$L,B43)</f>
        <v>0</v>
      </c>
      <c r="I43" s="60">
        <f>COUNTIFS([1]IH!$S:$S,"DISBURSED",[1]IH!$K:$K,B43)</f>
        <v>0</v>
      </c>
      <c r="J43" s="257">
        <f t="shared" si="6"/>
        <v>0</v>
      </c>
      <c r="K43" s="60">
        <f t="shared" si="7"/>
        <v>0</v>
      </c>
      <c r="L43" s="60">
        <f t="shared" si="8"/>
        <v>0</v>
      </c>
      <c r="M43" s="257">
        <f t="shared" si="9"/>
        <v>0</v>
      </c>
    </row>
    <row r="44" spans="2:13">
      <c r="B44" s="59" t="s">
        <v>112</v>
      </c>
      <c r="C44" s="60" t="s">
        <v>110</v>
      </c>
      <c r="D44" s="60" t="s">
        <v>111</v>
      </c>
      <c r="E44" s="60">
        <f>COUNTIFS(RETAIL!L:L,B44)</f>
        <v>2</v>
      </c>
      <c r="F44" s="60">
        <f>COUNTIFS(IH!K:K,B44,IH!S:S,"DISBURSED")</f>
        <v>2</v>
      </c>
      <c r="G44" s="257">
        <f t="shared" si="5"/>
        <v>1</v>
      </c>
      <c r="H44" s="60">
        <f>COUNTIFS([1]RETAIL!$L:$L,B44)</f>
        <v>1</v>
      </c>
      <c r="I44" s="60">
        <f>COUNTIFS([1]IH!$S:$S,"DISBURSED",[1]IH!$K:$K,B44)</f>
        <v>2</v>
      </c>
      <c r="J44" s="257">
        <f t="shared" si="6"/>
        <v>2</v>
      </c>
      <c r="K44" s="60">
        <f t="shared" si="7"/>
        <v>3</v>
      </c>
      <c r="L44" s="60">
        <f t="shared" si="8"/>
        <v>4</v>
      </c>
      <c r="M44" s="257">
        <f t="shared" si="9"/>
        <v>1.33333333333333</v>
      </c>
    </row>
    <row r="45" spans="2:13">
      <c r="B45" s="59" t="s">
        <v>113</v>
      </c>
      <c r="C45" s="60" t="s">
        <v>110</v>
      </c>
      <c r="D45" s="60" t="s">
        <v>111</v>
      </c>
      <c r="E45" s="60">
        <f>COUNTIFS(RETAIL!L:L,B45)</f>
        <v>4</v>
      </c>
      <c r="F45" s="60">
        <f>COUNTIFS(IH!K:K,B45,IH!S:S,"DISBURSED")</f>
        <v>4</v>
      </c>
      <c r="G45" s="257">
        <f t="shared" si="5"/>
        <v>1</v>
      </c>
      <c r="H45" s="60">
        <f>COUNTIFS([1]RETAIL!$L:$L,B45)</f>
        <v>2</v>
      </c>
      <c r="I45" s="60">
        <f>COUNTIFS([1]IH!$S:$S,"DISBURSED",[1]IH!$K:$K,B45)</f>
        <v>1</v>
      </c>
      <c r="J45" s="257">
        <f t="shared" si="6"/>
        <v>0.5</v>
      </c>
      <c r="K45" s="60">
        <f t="shared" si="7"/>
        <v>6</v>
      </c>
      <c r="L45" s="60">
        <f t="shared" si="8"/>
        <v>5</v>
      </c>
      <c r="M45" s="257">
        <f t="shared" si="9"/>
        <v>0.833333333333333</v>
      </c>
    </row>
    <row r="46" spans="2:13">
      <c r="B46" s="59" t="s">
        <v>114</v>
      </c>
      <c r="C46" s="60" t="s">
        <v>110</v>
      </c>
      <c r="D46" s="60" t="s">
        <v>111</v>
      </c>
      <c r="E46" s="60">
        <f>COUNTIFS(RETAIL!L:L,B46)</f>
        <v>2</v>
      </c>
      <c r="F46" s="60">
        <f>COUNTIFS(IH!K:K,B46,IH!S:S,"DISBURSED")</f>
        <v>1</v>
      </c>
      <c r="G46" s="257">
        <f t="shared" si="5"/>
        <v>0.5</v>
      </c>
      <c r="H46" s="60">
        <f>COUNTIFS([1]RETAIL!$L:$L,B46)</f>
        <v>0</v>
      </c>
      <c r="I46" s="60">
        <f>COUNTIFS([1]IH!$S:$S,"DISBURSED",[1]IH!$K:$K,B46)</f>
        <v>0</v>
      </c>
      <c r="J46" s="257">
        <f t="shared" si="6"/>
        <v>0</v>
      </c>
      <c r="K46" s="60">
        <f t="shared" si="7"/>
        <v>2</v>
      </c>
      <c r="L46" s="60">
        <f t="shared" si="8"/>
        <v>1</v>
      </c>
      <c r="M46" s="257">
        <f t="shared" si="9"/>
        <v>0.5</v>
      </c>
    </row>
    <row r="47" spans="2:13">
      <c r="B47" s="59" t="s">
        <v>115</v>
      </c>
      <c r="C47" s="60" t="s">
        <v>116</v>
      </c>
      <c r="D47" s="60" t="s">
        <v>25</v>
      </c>
      <c r="E47" s="60">
        <f>COUNTIFS(RETAIL!L:L,B47)</f>
        <v>1</v>
      </c>
      <c r="F47" s="60">
        <f>COUNTIFS(IH!K:K,B47,IH!S:S,"DISBURSED")</f>
        <v>1</v>
      </c>
      <c r="G47" s="257">
        <f t="shared" si="5"/>
        <v>1</v>
      </c>
      <c r="H47" s="60">
        <f>COUNTIFS([1]RETAIL!$L:$L,B47)</f>
        <v>0</v>
      </c>
      <c r="I47" s="60">
        <f>COUNTIFS([1]IH!$S:$S,"DISBURSED",[1]IH!$K:$K,B47)</f>
        <v>0</v>
      </c>
      <c r="J47" s="257">
        <f t="shared" si="6"/>
        <v>0</v>
      </c>
      <c r="K47" s="60">
        <f t="shared" si="7"/>
        <v>1</v>
      </c>
      <c r="L47" s="60">
        <f t="shared" si="8"/>
        <v>1</v>
      </c>
      <c r="M47" s="257">
        <f t="shared" si="9"/>
        <v>1</v>
      </c>
    </row>
    <row r="48" spans="2:13">
      <c r="B48" s="59" t="s">
        <v>117</v>
      </c>
      <c r="C48" s="60" t="s">
        <v>116</v>
      </c>
      <c r="D48" s="60" t="s">
        <v>25</v>
      </c>
      <c r="E48" s="60">
        <f>COUNTIFS(RETAIL!L:L,B48)</f>
        <v>2</v>
      </c>
      <c r="F48" s="60">
        <f>COUNTIFS(IH!K:K,B48,IH!S:S,"DISBURSED")</f>
        <v>1</v>
      </c>
      <c r="G48" s="257">
        <f t="shared" si="5"/>
        <v>0.5</v>
      </c>
      <c r="H48" s="60">
        <f>COUNTIFS([1]RETAIL!$L:$L,B48)</f>
        <v>0</v>
      </c>
      <c r="I48" s="60">
        <f>COUNTIFS([1]IH!$S:$S,"DISBURSED",[1]IH!$K:$K,B48)</f>
        <v>0</v>
      </c>
      <c r="J48" s="257">
        <f t="shared" si="6"/>
        <v>0</v>
      </c>
      <c r="K48" s="60">
        <f t="shared" si="7"/>
        <v>2</v>
      </c>
      <c r="L48" s="60">
        <f t="shared" si="8"/>
        <v>1</v>
      </c>
      <c r="M48" s="257">
        <f t="shared" si="9"/>
        <v>0.5</v>
      </c>
    </row>
    <row r="49" spans="2:13">
      <c r="B49" s="59" t="s">
        <v>118</v>
      </c>
      <c r="C49" s="60" t="s">
        <v>116</v>
      </c>
      <c r="D49" s="60" t="s">
        <v>25</v>
      </c>
      <c r="E49" s="60">
        <f>COUNTIFS(RETAIL!L:L,B49)</f>
        <v>2</v>
      </c>
      <c r="F49" s="60">
        <f>COUNTIFS(IH!K:K,B49,IH!S:S,"DISBURSED")</f>
        <v>0</v>
      </c>
      <c r="G49" s="257">
        <f t="shared" si="5"/>
        <v>0</v>
      </c>
      <c r="H49" s="60">
        <f>COUNTIFS([1]RETAIL!$L:$L,B49)</f>
        <v>0</v>
      </c>
      <c r="I49" s="60">
        <f>COUNTIFS([1]IH!$S:$S,"DISBURSED",[1]IH!$K:$K,B49)</f>
        <v>0</v>
      </c>
      <c r="J49" s="257">
        <f t="shared" si="6"/>
        <v>0</v>
      </c>
      <c r="K49" s="60">
        <f t="shared" si="7"/>
        <v>2</v>
      </c>
      <c r="L49" s="60">
        <f t="shared" si="8"/>
        <v>0</v>
      </c>
      <c r="M49" s="257">
        <f t="shared" si="9"/>
        <v>0</v>
      </c>
    </row>
    <row r="50" spans="2:13">
      <c r="B50" s="59" t="s">
        <v>119</v>
      </c>
      <c r="C50" s="60" t="s">
        <v>116</v>
      </c>
      <c r="D50" s="60" t="s">
        <v>25</v>
      </c>
      <c r="E50" s="60">
        <f>COUNTIFS(RETAIL!L:L,B50)</f>
        <v>4</v>
      </c>
      <c r="F50" s="60">
        <f>COUNTIFS(IH!K:K,B50,IH!S:S,"DISBURSED")</f>
        <v>3</v>
      </c>
      <c r="G50" s="257">
        <f t="shared" si="5"/>
        <v>0.75</v>
      </c>
      <c r="H50" s="60">
        <f>COUNTIFS([1]RETAIL!$L:$L,B50)</f>
        <v>0</v>
      </c>
      <c r="I50" s="60">
        <f>COUNTIFS([1]IH!$S:$S,"DISBURSED",[1]IH!$K:$K,B50)</f>
        <v>0</v>
      </c>
      <c r="J50" s="257">
        <f t="shared" si="6"/>
        <v>0</v>
      </c>
      <c r="K50" s="60">
        <f t="shared" si="7"/>
        <v>4</v>
      </c>
      <c r="L50" s="60">
        <f t="shared" si="8"/>
        <v>3</v>
      </c>
      <c r="M50" s="257">
        <f t="shared" si="9"/>
        <v>0.75</v>
      </c>
    </row>
    <row r="51" spans="2:13">
      <c r="B51" s="59" t="s">
        <v>120</v>
      </c>
      <c r="C51" s="60" t="s">
        <v>116</v>
      </c>
      <c r="D51" s="60" t="s">
        <v>25</v>
      </c>
      <c r="E51" s="60">
        <f>COUNTIFS(RETAIL!L:L,B51)</f>
        <v>0</v>
      </c>
      <c r="F51" s="60">
        <f>COUNTIFS(IH!K:K,B51,IH!S:S,"DISBURSED")</f>
        <v>0</v>
      </c>
      <c r="G51" s="257">
        <f t="shared" si="5"/>
        <v>0</v>
      </c>
      <c r="H51" s="60">
        <f>COUNTIFS([1]RETAIL!$L:$L,B51)</f>
        <v>0</v>
      </c>
      <c r="I51" s="60">
        <f>COUNTIFS([1]IH!$S:$S,"DISBURSED",[1]IH!$K:$K,B51)</f>
        <v>0</v>
      </c>
      <c r="J51" s="257">
        <f t="shared" si="6"/>
        <v>0</v>
      </c>
      <c r="K51" s="60">
        <f t="shared" si="7"/>
        <v>0</v>
      </c>
      <c r="L51" s="60">
        <f t="shared" si="8"/>
        <v>0</v>
      </c>
      <c r="M51" s="257">
        <f t="shared" si="9"/>
        <v>0</v>
      </c>
    </row>
    <row r="52" spans="2:13">
      <c r="B52" s="59" t="s">
        <v>121</v>
      </c>
      <c r="C52" s="60" t="s">
        <v>116</v>
      </c>
      <c r="D52" s="60" t="s">
        <v>25</v>
      </c>
      <c r="E52" s="60">
        <f>COUNTIFS(RETAIL!L:L,B52)</f>
        <v>1</v>
      </c>
      <c r="F52" s="60">
        <f>COUNTIFS(IH!K:K,B52,IH!S:S,"DISBURSED")</f>
        <v>0</v>
      </c>
      <c r="G52" s="257">
        <f t="shared" si="5"/>
        <v>0</v>
      </c>
      <c r="H52" s="60">
        <f>COUNTIFS([1]RETAIL!$L:$L,B52)</f>
        <v>0</v>
      </c>
      <c r="I52" s="60">
        <f>COUNTIFS([1]IH!$S:$S,"DISBURSED",[1]IH!$K:$K,B52)</f>
        <v>0</v>
      </c>
      <c r="J52" s="257">
        <f t="shared" si="6"/>
        <v>0</v>
      </c>
      <c r="K52" s="60">
        <f t="shared" si="7"/>
        <v>1</v>
      </c>
      <c r="L52" s="60">
        <f t="shared" si="8"/>
        <v>0</v>
      </c>
      <c r="M52" s="257">
        <f t="shared" si="9"/>
        <v>0</v>
      </c>
    </row>
    <row r="53" spans="2:13">
      <c r="B53" s="59" t="s">
        <v>122</v>
      </c>
      <c r="C53" s="60" t="s">
        <v>116</v>
      </c>
      <c r="D53" s="60" t="s">
        <v>25</v>
      </c>
      <c r="E53" s="60">
        <f>COUNTIFS(RETAIL!L:L,B53)</f>
        <v>1</v>
      </c>
      <c r="F53" s="60">
        <f>COUNTIFS(IH!K:K,B53,IH!S:S,"DISBURSED")</f>
        <v>1</v>
      </c>
      <c r="G53" s="257">
        <f t="shared" si="5"/>
        <v>1</v>
      </c>
      <c r="H53" s="60">
        <f>COUNTIFS([1]RETAIL!$L:$L,B53)</f>
        <v>0</v>
      </c>
      <c r="I53" s="60">
        <f>COUNTIFS([1]IH!$S:$S,"DISBURSED",[1]IH!$K:$K,B53)</f>
        <v>0</v>
      </c>
      <c r="J53" s="257">
        <f t="shared" si="6"/>
        <v>0</v>
      </c>
      <c r="K53" s="60">
        <f t="shared" si="7"/>
        <v>1</v>
      </c>
      <c r="L53" s="60">
        <f t="shared" si="8"/>
        <v>1</v>
      </c>
      <c r="M53" s="257">
        <f t="shared" si="9"/>
        <v>1</v>
      </c>
    </row>
    <row r="54" spans="2:13">
      <c r="B54" s="59" t="s">
        <v>123</v>
      </c>
      <c r="C54" s="60" t="s">
        <v>124</v>
      </c>
      <c r="D54" s="60" t="s">
        <v>125</v>
      </c>
      <c r="E54" s="60">
        <f>COUNTIFS(RETAIL!L:L,B54)</f>
        <v>0</v>
      </c>
      <c r="F54" s="60">
        <f>COUNTIFS(IH!K:K,B54,IH!S:S,"DISBURSED")</f>
        <v>0</v>
      </c>
      <c r="G54" s="257">
        <f t="shared" si="5"/>
        <v>0</v>
      </c>
      <c r="H54" s="60">
        <f>COUNTIFS([1]RETAIL!$L:$L,B54)</f>
        <v>0</v>
      </c>
      <c r="I54" s="60">
        <f>COUNTIFS([1]IH!$S:$S,"DISBURSED",[1]IH!$K:$K,B54)</f>
        <v>0</v>
      </c>
      <c r="J54" s="257">
        <f t="shared" si="6"/>
        <v>0</v>
      </c>
      <c r="K54" s="60">
        <f t="shared" si="7"/>
        <v>0</v>
      </c>
      <c r="L54" s="60">
        <f t="shared" si="8"/>
        <v>0</v>
      </c>
      <c r="M54" s="257">
        <f t="shared" si="9"/>
        <v>0</v>
      </c>
    </row>
    <row r="55" spans="2:13">
      <c r="B55" s="59" t="s">
        <v>126</v>
      </c>
      <c r="C55" s="60" t="s">
        <v>127</v>
      </c>
      <c r="D55" s="60" t="s">
        <v>125</v>
      </c>
      <c r="E55" s="60">
        <f>COUNTIFS(RETAIL!L:L,B55)</f>
        <v>1</v>
      </c>
      <c r="F55" s="60">
        <f>COUNTIFS(IH!K:K,B55,IH!S:S,"DISBURSED")</f>
        <v>0</v>
      </c>
      <c r="G55" s="257">
        <f t="shared" si="5"/>
        <v>0</v>
      </c>
      <c r="H55" s="60">
        <f>COUNTIFS([1]RETAIL!$L:$L,B55)</f>
        <v>3</v>
      </c>
      <c r="I55" s="60">
        <f>COUNTIFS([1]IH!$S:$S,"DISBURSED",[1]IH!$K:$K,B55)</f>
        <v>0</v>
      </c>
      <c r="J55" s="257">
        <f t="shared" si="6"/>
        <v>0</v>
      </c>
      <c r="K55" s="60">
        <f t="shared" si="7"/>
        <v>4</v>
      </c>
      <c r="L55" s="60">
        <f t="shared" si="8"/>
        <v>0</v>
      </c>
      <c r="M55" s="257">
        <f t="shared" si="9"/>
        <v>0</v>
      </c>
    </row>
    <row r="56" spans="2:13">
      <c r="B56" s="59" t="s">
        <v>128</v>
      </c>
      <c r="C56" s="60" t="s">
        <v>129</v>
      </c>
      <c r="D56" s="60" t="s">
        <v>125</v>
      </c>
      <c r="E56" s="60">
        <f>COUNTIFS(RETAIL!L:L,B56)</f>
        <v>1</v>
      </c>
      <c r="F56" s="60">
        <f>COUNTIFS(IH!K:K,B56,IH!S:S,"DISBURSED")</f>
        <v>0</v>
      </c>
      <c r="G56" s="257">
        <f t="shared" si="5"/>
        <v>0</v>
      </c>
      <c r="H56" s="60">
        <f>COUNTIFS([1]RETAIL!$L:$L,B56)</f>
        <v>1</v>
      </c>
      <c r="I56" s="60">
        <f>COUNTIFS([1]IH!$S:$S,"DISBURSED",[1]IH!$K:$K,B56)</f>
        <v>2</v>
      </c>
      <c r="J56" s="257">
        <f t="shared" si="6"/>
        <v>2</v>
      </c>
      <c r="K56" s="60">
        <f t="shared" si="7"/>
        <v>2</v>
      </c>
      <c r="L56" s="60">
        <f t="shared" si="8"/>
        <v>2</v>
      </c>
      <c r="M56" s="257">
        <f t="shared" si="9"/>
        <v>1</v>
      </c>
    </row>
    <row r="57" spans="2:13">
      <c r="B57" s="59" t="s">
        <v>130</v>
      </c>
      <c r="C57" s="60" t="s">
        <v>131</v>
      </c>
      <c r="D57" s="60" t="s">
        <v>125</v>
      </c>
      <c r="E57" s="60">
        <f>COUNTIFS(RETAIL!L:L,B57)</f>
        <v>0</v>
      </c>
      <c r="F57" s="60">
        <f>COUNTIFS(IH!K:K,B57,IH!S:S,"DISBURSED")</f>
        <v>0</v>
      </c>
      <c r="G57" s="257">
        <f t="shared" si="5"/>
        <v>0</v>
      </c>
      <c r="H57" s="60">
        <f>COUNTIFS([1]RETAIL!$L:$L,B57)</f>
        <v>0</v>
      </c>
      <c r="I57" s="60">
        <f>COUNTIFS([1]IH!$S:$S,"DISBURSED",[1]IH!$K:$K,B57)</f>
        <v>0</v>
      </c>
      <c r="J57" s="257">
        <f t="shared" si="6"/>
        <v>0</v>
      </c>
      <c r="K57" s="60">
        <f t="shared" si="7"/>
        <v>0</v>
      </c>
      <c r="L57" s="60">
        <f t="shared" si="8"/>
        <v>0</v>
      </c>
      <c r="M57" s="257">
        <f t="shared" si="9"/>
        <v>0</v>
      </c>
    </row>
    <row r="58" spans="2:13">
      <c r="B58" s="59" t="s">
        <v>132</v>
      </c>
      <c r="C58" s="60" t="s">
        <v>133</v>
      </c>
      <c r="D58" s="60" t="s">
        <v>125</v>
      </c>
      <c r="E58" s="60">
        <f>COUNTIFS(RETAIL!L:L,B58)</f>
        <v>1</v>
      </c>
      <c r="F58" s="60">
        <f>COUNTIFS(IH!K:K,B58,IH!S:S,"DISBURSED")</f>
        <v>1</v>
      </c>
      <c r="G58" s="257">
        <f t="shared" si="5"/>
        <v>1</v>
      </c>
      <c r="H58" s="60">
        <f>COUNTIFS([1]RETAIL!$L:$L,B58)</f>
        <v>6</v>
      </c>
      <c r="I58" s="60">
        <f>COUNTIFS([1]IH!$S:$S,"DISBURSED",[1]IH!$K:$K,B58)</f>
        <v>5</v>
      </c>
      <c r="J58" s="257">
        <f t="shared" si="6"/>
        <v>0.833333333333333</v>
      </c>
      <c r="K58" s="60">
        <f t="shared" si="7"/>
        <v>7</v>
      </c>
      <c r="L58" s="60">
        <f t="shared" si="8"/>
        <v>6</v>
      </c>
      <c r="M58" s="257">
        <f t="shared" si="9"/>
        <v>0.857142857142857</v>
      </c>
    </row>
    <row r="59" spans="2:13">
      <c r="B59" s="59" t="s">
        <v>134</v>
      </c>
      <c r="C59" s="60" t="s">
        <v>124</v>
      </c>
      <c r="D59" s="60" t="s">
        <v>125</v>
      </c>
      <c r="E59" s="60">
        <f>COUNTIFS(RETAIL!L:L,B59)</f>
        <v>0</v>
      </c>
      <c r="F59" s="60">
        <f>COUNTIFS(IH!K:K,B59,IH!S:S,"DISBURSED")</f>
        <v>0</v>
      </c>
      <c r="G59" s="257">
        <f t="shared" si="5"/>
        <v>0</v>
      </c>
      <c r="H59" s="60">
        <f>COUNTIFS([1]RETAIL!$L:$L,B59)</f>
        <v>0</v>
      </c>
      <c r="I59" s="60">
        <f>COUNTIFS([1]IH!$S:$S,"DISBURSED",[1]IH!$K:$K,B59)</f>
        <v>0</v>
      </c>
      <c r="J59" s="257">
        <f t="shared" si="6"/>
        <v>0</v>
      </c>
      <c r="K59" s="60">
        <f t="shared" si="7"/>
        <v>0</v>
      </c>
      <c r="L59" s="60">
        <f t="shared" si="8"/>
        <v>0</v>
      </c>
      <c r="M59" s="257">
        <f t="shared" si="9"/>
        <v>0</v>
      </c>
    </row>
    <row r="60" spans="2:13">
      <c r="B60" s="59" t="s">
        <v>135</v>
      </c>
      <c r="C60" s="60" t="s">
        <v>124</v>
      </c>
      <c r="D60" s="60" t="s">
        <v>125</v>
      </c>
      <c r="E60" s="60">
        <f>COUNTIFS(RETAIL!L:L,B60)</f>
        <v>0</v>
      </c>
      <c r="F60" s="60">
        <f>COUNTIFS(IH!K:K,B60,IH!S:S,"DISBURSED")</f>
        <v>0</v>
      </c>
      <c r="G60" s="257">
        <f t="shared" si="5"/>
        <v>0</v>
      </c>
      <c r="H60" s="60">
        <f>COUNTIFS([1]RETAIL!$L:$L,B60)</f>
        <v>0</v>
      </c>
      <c r="I60" s="60">
        <f>COUNTIFS([1]IH!$S:$S,"DISBURSED",[1]IH!$K:$K,B60)</f>
        <v>0</v>
      </c>
      <c r="J60" s="257">
        <f t="shared" si="6"/>
        <v>0</v>
      </c>
      <c r="K60" s="60">
        <f t="shared" si="7"/>
        <v>0</v>
      </c>
      <c r="L60" s="60">
        <f t="shared" si="8"/>
        <v>0</v>
      </c>
      <c r="M60" s="257">
        <f t="shared" si="9"/>
        <v>0</v>
      </c>
    </row>
    <row r="61" spans="2:13">
      <c r="B61" s="59" t="s">
        <v>136</v>
      </c>
      <c r="C61" s="60" t="s">
        <v>124</v>
      </c>
      <c r="D61" s="60" t="s">
        <v>125</v>
      </c>
      <c r="E61" s="60">
        <f>COUNTIFS(RETAIL!L:L,B61)</f>
        <v>1</v>
      </c>
      <c r="F61" s="60">
        <f>COUNTIFS(IH!K:K,B61,IH!S:S,"DISBURSED")</f>
        <v>1</v>
      </c>
      <c r="G61" s="257">
        <f t="shared" si="5"/>
        <v>1</v>
      </c>
      <c r="H61" s="60">
        <f>COUNTIFS([1]RETAIL!$L:$L,B61)</f>
        <v>5</v>
      </c>
      <c r="I61" s="60">
        <f>COUNTIFS([1]IH!$S:$S,"DISBURSED",[1]IH!$K:$K,B61)</f>
        <v>2</v>
      </c>
      <c r="J61" s="257">
        <f t="shared" si="6"/>
        <v>0.4</v>
      </c>
      <c r="K61" s="60">
        <f t="shared" si="7"/>
        <v>6</v>
      </c>
      <c r="L61" s="60">
        <f t="shared" si="8"/>
        <v>3</v>
      </c>
      <c r="M61" s="257">
        <f t="shared" si="9"/>
        <v>0.5</v>
      </c>
    </row>
    <row r="62" spans="2:13">
      <c r="B62" s="59" t="s">
        <v>137</v>
      </c>
      <c r="C62" s="60" t="s">
        <v>127</v>
      </c>
      <c r="D62" s="60" t="s">
        <v>125</v>
      </c>
      <c r="E62" s="60">
        <f>COUNTIFS(RETAIL!L:L,B62)</f>
        <v>1</v>
      </c>
      <c r="F62" s="60">
        <f>COUNTIFS(IH!K:K,B62,IH!S:S,"DISBURSED")</f>
        <v>0</v>
      </c>
      <c r="G62" s="257">
        <f t="shared" si="5"/>
        <v>0</v>
      </c>
      <c r="H62" s="60">
        <f>COUNTIFS([1]RETAIL!$L:$L,B62)</f>
        <v>2</v>
      </c>
      <c r="I62" s="60">
        <f>COUNTIFS([1]IH!$S:$S,"DISBURSED",[1]IH!$K:$K,B62)</f>
        <v>2</v>
      </c>
      <c r="J62" s="257">
        <f t="shared" si="6"/>
        <v>1</v>
      </c>
      <c r="K62" s="60">
        <f t="shared" si="7"/>
        <v>3</v>
      </c>
      <c r="L62" s="60">
        <f t="shared" si="8"/>
        <v>2</v>
      </c>
      <c r="M62" s="257">
        <f t="shared" si="9"/>
        <v>0.666666666666667</v>
      </c>
    </row>
    <row r="63" spans="2:13">
      <c r="B63" s="59" t="s">
        <v>138</v>
      </c>
      <c r="C63" s="60" t="s">
        <v>127</v>
      </c>
      <c r="D63" s="60" t="s">
        <v>125</v>
      </c>
      <c r="E63" s="60">
        <f>COUNTIFS(RETAIL!L:L,B63)</f>
        <v>0</v>
      </c>
      <c r="F63" s="60">
        <f>COUNTIFS(IH!K:K,B63,IH!S:S,"DISBURSED")</f>
        <v>0</v>
      </c>
      <c r="G63" s="257">
        <f t="shared" si="5"/>
        <v>0</v>
      </c>
      <c r="H63" s="60">
        <f>COUNTIFS([1]RETAIL!$L:$L,B63)</f>
        <v>0</v>
      </c>
      <c r="I63" s="60">
        <f>COUNTIFS([1]IH!$S:$S,"DISBURSED",[1]IH!$K:$K,B63)</f>
        <v>0</v>
      </c>
      <c r="J63" s="257">
        <f t="shared" si="6"/>
        <v>0</v>
      </c>
      <c r="K63" s="60">
        <f t="shared" si="7"/>
        <v>0</v>
      </c>
      <c r="L63" s="60">
        <f t="shared" si="8"/>
        <v>0</v>
      </c>
      <c r="M63" s="257">
        <f t="shared" si="9"/>
        <v>0</v>
      </c>
    </row>
    <row r="64" spans="2:13">
      <c r="B64" s="59" t="s">
        <v>139</v>
      </c>
      <c r="C64" s="60" t="s">
        <v>129</v>
      </c>
      <c r="D64" s="60" t="s">
        <v>125</v>
      </c>
      <c r="E64" s="60">
        <f>COUNTIFS(RETAIL!L:L,B64)</f>
        <v>0</v>
      </c>
      <c r="F64" s="60">
        <f>COUNTIFS(IH!K:K,B64,IH!S:S,"DISBURSED")</f>
        <v>0</v>
      </c>
      <c r="G64" s="257">
        <f t="shared" si="5"/>
        <v>0</v>
      </c>
      <c r="H64" s="60">
        <f>COUNTIFS([1]RETAIL!$L:$L,B64)</f>
        <v>3</v>
      </c>
      <c r="I64" s="60">
        <f>COUNTIFS([1]IH!$S:$S,"DISBURSED",[1]IH!$K:$K,B64)</f>
        <v>0</v>
      </c>
      <c r="J64" s="257">
        <f t="shared" si="6"/>
        <v>0</v>
      </c>
      <c r="K64" s="60">
        <f t="shared" si="7"/>
        <v>3</v>
      </c>
      <c r="L64" s="60">
        <f t="shared" si="8"/>
        <v>0</v>
      </c>
      <c r="M64" s="257">
        <f t="shared" si="9"/>
        <v>0</v>
      </c>
    </row>
    <row r="65" spans="2:13">
      <c r="B65" s="59" t="s">
        <v>140</v>
      </c>
      <c r="C65" s="60" t="s">
        <v>129</v>
      </c>
      <c r="D65" s="60" t="s">
        <v>125</v>
      </c>
      <c r="E65" s="60">
        <f>COUNTIFS(RETAIL!L:L,B65)</f>
        <v>0</v>
      </c>
      <c r="F65" s="60">
        <f>COUNTIFS(IH!K:K,B65,IH!S:S,"DISBURSED")</f>
        <v>0</v>
      </c>
      <c r="G65" s="257">
        <f t="shared" si="5"/>
        <v>0</v>
      </c>
      <c r="H65" s="60">
        <f>COUNTIFS([1]RETAIL!$L:$L,B65)</f>
        <v>5</v>
      </c>
      <c r="I65" s="60">
        <f>COUNTIFS([1]IH!$S:$S,"DISBURSED",[1]IH!$K:$K,B65)</f>
        <v>5</v>
      </c>
      <c r="J65" s="257">
        <f t="shared" si="6"/>
        <v>1</v>
      </c>
      <c r="K65" s="60">
        <f t="shared" si="7"/>
        <v>5</v>
      </c>
      <c r="L65" s="60">
        <f t="shared" si="8"/>
        <v>5</v>
      </c>
      <c r="M65" s="257">
        <f t="shared" si="9"/>
        <v>1</v>
      </c>
    </row>
    <row r="66" spans="2:13">
      <c r="B66" s="59" t="s">
        <v>141</v>
      </c>
      <c r="C66" s="60" t="s">
        <v>133</v>
      </c>
      <c r="D66" s="60" t="s">
        <v>125</v>
      </c>
      <c r="E66" s="60">
        <f>COUNTIFS(RETAIL!L:L,B66)</f>
        <v>0</v>
      </c>
      <c r="F66" s="60">
        <f>COUNTIFS(IH!K:K,B66,IH!S:S,"DISBURSED")</f>
        <v>0</v>
      </c>
      <c r="G66" s="257">
        <f t="shared" ref="G66:G105" si="10">IFERROR((F66/E66),0)</f>
        <v>0</v>
      </c>
      <c r="H66" s="60">
        <f>COUNTIFS([1]RETAIL!$L:$L,B66)</f>
        <v>0</v>
      </c>
      <c r="I66" s="60">
        <f>COUNTIFS([1]IH!$S:$S,"DISBURSED",[1]IH!$K:$K,B66)</f>
        <v>0</v>
      </c>
      <c r="J66" s="257">
        <f t="shared" ref="J66:J105" si="11">IFERROR((I66/H66),0)</f>
        <v>0</v>
      </c>
      <c r="K66" s="60">
        <f t="shared" ref="K66:K105" si="12">E66+H66</f>
        <v>0</v>
      </c>
      <c r="L66" s="60">
        <f t="shared" ref="L66:L105" si="13">F66+I66</f>
        <v>0</v>
      </c>
      <c r="M66" s="257">
        <f t="shared" ref="M66:M105" si="14">IFERROR((L66/K66),0)</f>
        <v>0</v>
      </c>
    </row>
    <row r="67" spans="2:13">
      <c r="B67" s="59" t="s">
        <v>142</v>
      </c>
      <c r="C67" s="60" t="s">
        <v>129</v>
      </c>
      <c r="D67" s="60" t="s">
        <v>125</v>
      </c>
      <c r="E67" s="60">
        <f>COUNTIFS(RETAIL!L:L,B67)</f>
        <v>0</v>
      </c>
      <c r="F67" s="60">
        <f>COUNTIFS(IH!K:K,B67,IH!S:S,"DISBURSED")</f>
        <v>0</v>
      </c>
      <c r="G67" s="257">
        <f t="shared" si="10"/>
        <v>0</v>
      </c>
      <c r="H67" s="60">
        <f>COUNTIFS([1]RETAIL!$L:$L,B67)</f>
        <v>0</v>
      </c>
      <c r="I67" s="60">
        <f>COUNTIFS([1]IH!$S:$S,"DISBURSED",[1]IH!$K:$K,B67)</f>
        <v>0</v>
      </c>
      <c r="J67" s="257">
        <f t="shared" si="11"/>
        <v>0</v>
      </c>
      <c r="K67" s="60">
        <f t="shared" si="12"/>
        <v>0</v>
      </c>
      <c r="L67" s="60">
        <f t="shared" si="13"/>
        <v>0</v>
      </c>
      <c r="M67" s="257">
        <f t="shared" si="14"/>
        <v>0</v>
      </c>
    </row>
    <row r="68" spans="2:13">
      <c r="B68" s="59" t="s">
        <v>143</v>
      </c>
      <c r="C68" s="60" t="s">
        <v>129</v>
      </c>
      <c r="D68" s="60" t="s">
        <v>125</v>
      </c>
      <c r="E68" s="60">
        <f>COUNTIFS(RETAIL!L:L,B68)</f>
        <v>0</v>
      </c>
      <c r="F68" s="60">
        <f>COUNTIFS(IH!K:K,B68,IH!S:S,"DISBURSED")</f>
        <v>0</v>
      </c>
      <c r="G68" s="257">
        <f t="shared" si="10"/>
        <v>0</v>
      </c>
      <c r="H68" s="60">
        <f>COUNTIFS([1]RETAIL!$L:$L,B68)</f>
        <v>1</v>
      </c>
      <c r="I68" s="60">
        <f>COUNTIFS([1]IH!$S:$S,"DISBURSED",[1]IH!$K:$K,B68)</f>
        <v>0</v>
      </c>
      <c r="J68" s="257">
        <f t="shared" si="11"/>
        <v>0</v>
      </c>
      <c r="K68" s="60">
        <f t="shared" si="12"/>
        <v>1</v>
      </c>
      <c r="L68" s="60">
        <f t="shared" si="13"/>
        <v>0</v>
      </c>
      <c r="M68" s="257">
        <f t="shared" si="14"/>
        <v>0</v>
      </c>
    </row>
    <row r="69" spans="2:13">
      <c r="B69" s="59" t="s">
        <v>144</v>
      </c>
      <c r="C69" s="60" t="s">
        <v>131</v>
      </c>
      <c r="D69" s="60" t="s">
        <v>125</v>
      </c>
      <c r="E69" s="60">
        <f>COUNTIFS(RETAIL!L:L,B69)</f>
        <v>0</v>
      </c>
      <c r="F69" s="60">
        <f>COUNTIFS(IH!K:K,B69,IH!S:S,"DISBURSED")</f>
        <v>0</v>
      </c>
      <c r="G69" s="257">
        <f t="shared" si="10"/>
        <v>0</v>
      </c>
      <c r="H69" s="60">
        <f>COUNTIFS([1]RETAIL!$L:$L,B69)</f>
        <v>3</v>
      </c>
      <c r="I69" s="60">
        <f>COUNTIFS([1]IH!$S:$S,"DISBURSED",[1]IH!$K:$K,B69)</f>
        <v>2</v>
      </c>
      <c r="J69" s="257">
        <f t="shared" si="11"/>
        <v>0.666666666666667</v>
      </c>
      <c r="K69" s="60">
        <f t="shared" si="12"/>
        <v>3</v>
      </c>
      <c r="L69" s="60">
        <f t="shared" si="13"/>
        <v>2</v>
      </c>
      <c r="M69" s="257">
        <f t="shared" si="14"/>
        <v>0.666666666666667</v>
      </c>
    </row>
    <row r="70" spans="2:13">
      <c r="B70" s="59" t="s">
        <v>145</v>
      </c>
      <c r="C70" s="60" t="s">
        <v>131</v>
      </c>
      <c r="D70" s="60" t="s">
        <v>125</v>
      </c>
      <c r="E70" s="60">
        <f>COUNTIFS(RETAIL!L:L,B70)</f>
        <v>0</v>
      </c>
      <c r="F70" s="60">
        <f>COUNTIFS(IH!K:K,B70,IH!S:S,"DISBURSED")</f>
        <v>0</v>
      </c>
      <c r="G70" s="257">
        <f t="shared" si="10"/>
        <v>0</v>
      </c>
      <c r="H70" s="60">
        <f>COUNTIFS([1]RETAIL!$L:$L,B70)</f>
        <v>2</v>
      </c>
      <c r="I70" s="60">
        <f>COUNTIFS([1]IH!$S:$S,"DISBURSED",[1]IH!$K:$K,B70)</f>
        <v>2</v>
      </c>
      <c r="J70" s="257">
        <f t="shared" si="11"/>
        <v>1</v>
      </c>
      <c r="K70" s="60">
        <f t="shared" si="12"/>
        <v>2</v>
      </c>
      <c r="L70" s="60">
        <f t="shared" si="13"/>
        <v>2</v>
      </c>
      <c r="M70" s="257">
        <f t="shared" si="14"/>
        <v>1</v>
      </c>
    </row>
    <row r="71" spans="2:13">
      <c r="B71" s="59" t="s">
        <v>146</v>
      </c>
      <c r="C71" s="60" t="s">
        <v>131</v>
      </c>
      <c r="D71" s="60" t="s">
        <v>125</v>
      </c>
      <c r="E71" s="60">
        <f>COUNTIFS(RETAIL!L:L,B71)</f>
        <v>0</v>
      </c>
      <c r="F71" s="60">
        <f>COUNTIFS(IH!K:K,B71,IH!S:S,"DISBURSED")</f>
        <v>0</v>
      </c>
      <c r="G71" s="257">
        <f t="shared" si="10"/>
        <v>0</v>
      </c>
      <c r="H71" s="60">
        <f>COUNTIFS([1]RETAIL!$L:$L,B71)</f>
        <v>6</v>
      </c>
      <c r="I71" s="60">
        <f>COUNTIFS([1]IH!$S:$S,"DISBURSED",[1]IH!$K:$K,B71)</f>
        <v>2</v>
      </c>
      <c r="J71" s="257">
        <f t="shared" si="11"/>
        <v>0.333333333333333</v>
      </c>
      <c r="K71" s="60">
        <f t="shared" si="12"/>
        <v>6</v>
      </c>
      <c r="L71" s="60">
        <f t="shared" si="13"/>
        <v>2</v>
      </c>
      <c r="M71" s="257">
        <f t="shared" si="14"/>
        <v>0.333333333333333</v>
      </c>
    </row>
    <row r="72" spans="2:13">
      <c r="B72" s="59" t="s">
        <v>147</v>
      </c>
      <c r="C72" s="60" t="s">
        <v>131</v>
      </c>
      <c r="D72" s="60" t="s">
        <v>125</v>
      </c>
      <c r="E72" s="60">
        <f>COUNTIFS(RETAIL!L:L,B72)</f>
        <v>0</v>
      </c>
      <c r="F72" s="60">
        <f>COUNTIFS(IH!K:K,B72,IH!S:S,"DISBURSED")</f>
        <v>0</v>
      </c>
      <c r="G72" s="257">
        <f t="shared" si="10"/>
        <v>0</v>
      </c>
      <c r="H72" s="60">
        <f>COUNTIFS([1]RETAIL!$L:$L,B72)</f>
        <v>1</v>
      </c>
      <c r="I72" s="60">
        <f>COUNTIFS([1]IH!$S:$S,"DISBURSED",[1]IH!$K:$K,B72)</f>
        <v>0</v>
      </c>
      <c r="J72" s="257">
        <f t="shared" si="11"/>
        <v>0</v>
      </c>
      <c r="K72" s="60">
        <f t="shared" si="12"/>
        <v>1</v>
      </c>
      <c r="L72" s="60">
        <f t="shared" si="13"/>
        <v>0</v>
      </c>
      <c r="M72" s="257">
        <f t="shared" si="14"/>
        <v>0</v>
      </c>
    </row>
    <row r="73" spans="2:13">
      <c r="B73" s="59" t="s">
        <v>148</v>
      </c>
      <c r="C73" s="60" t="s">
        <v>149</v>
      </c>
      <c r="D73" s="60" t="s">
        <v>125</v>
      </c>
      <c r="E73" s="60">
        <f>COUNTIFS(RETAIL!L:L,B73)</f>
        <v>0</v>
      </c>
      <c r="F73" s="60">
        <f>COUNTIFS(IH!K:K,B73,IH!S:S,"DISBURSED")</f>
        <v>0</v>
      </c>
      <c r="G73" s="257">
        <f t="shared" si="10"/>
        <v>0</v>
      </c>
      <c r="H73" s="60">
        <f>COUNTIFS([1]RETAIL!$L:$L,B73)</f>
        <v>0</v>
      </c>
      <c r="I73" s="60">
        <f>COUNTIFS([1]IH!$S:$S,"DISBURSED",[1]IH!$K:$K,B73)</f>
        <v>0</v>
      </c>
      <c r="J73" s="257">
        <f t="shared" si="11"/>
        <v>0</v>
      </c>
      <c r="K73" s="60">
        <f t="shared" si="12"/>
        <v>0</v>
      </c>
      <c r="L73" s="60">
        <f t="shared" si="13"/>
        <v>0</v>
      </c>
      <c r="M73" s="257">
        <f t="shared" si="14"/>
        <v>0</v>
      </c>
    </row>
    <row r="74" spans="2:13">
      <c r="B74" s="59" t="s">
        <v>150</v>
      </c>
      <c r="C74" s="60" t="s">
        <v>149</v>
      </c>
      <c r="D74" s="60" t="s">
        <v>125</v>
      </c>
      <c r="E74" s="60">
        <f>COUNTIFS(RETAIL!L:L,B74)</f>
        <v>0</v>
      </c>
      <c r="F74" s="60">
        <f>COUNTIFS(IH!K:K,B74,IH!S:S,"DISBURSED")</f>
        <v>0</v>
      </c>
      <c r="G74" s="257">
        <f t="shared" si="10"/>
        <v>0</v>
      </c>
      <c r="H74" s="60">
        <f>COUNTIFS([1]RETAIL!$L:$L,B74)</f>
        <v>0</v>
      </c>
      <c r="I74" s="60">
        <f>COUNTIFS([1]IH!$S:$S,"DISBURSED",[1]IH!$K:$K,B74)</f>
        <v>0</v>
      </c>
      <c r="J74" s="257">
        <f t="shared" si="11"/>
        <v>0</v>
      </c>
      <c r="K74" s="60">
        <f t="shared" si="12"/>
        <v>0</v>
      </c>
      <c r="L74" s="60">
        <f t="shared" si="13"/>
        <v>0</v>
      </c>
      <c r="M74" s="257">
        <f t="shared" si="14"/>
        <v>0</v>
      </c>
    </row>
    <row r="75" spans="2:13">
      <c r="B75" s="59" t="s">
        <v>151</v>
      </c>
      <c r="C75" s="60" t="s">
        <v>133</v>
      </c>
      <c r="D75" s="60" t="s">
        <v>125</v>
      </c>
      <c r="E75" s="60">
        <f>COUNTIFS(RETAIL!L:L,B75)</f>
        <v>1</v>
      </c>
      <c r="F75" s="60">
        <f>COUNTIFS(IH!K:K,B75,IH!S:S,"DISBURSED")</f>
        <v>1</v>
      </c>
      <c r="G75" s="257">
        <f t="shared" si="10"/>
        <v>1</v>
      </c>
      <c r="H75" s="60">
        <f>COUNTIFS([1]RETAIL!$L:$L,B75)</f>
        <v>4</v>
      </c>
      <c r="I75" s="60">
        <f>COUNTIFS([1]IH!$S:$S,"DISBURSED",[1]IH!$K:$K,B75)</f>
        <v>4</v>
      </c>
      <c r="J75" s="257">
        <f t="shared" si="11"/>
        <v>1</v>
      </c>
      <c r="K75" s="60">
        <f t="shared" si="12"/>
        <v>5</v>
      </c>
      <c r="L75" s="60">
        <f t="shared" si="13"/>
        <v>5</v>
      </c>
      <c r="M75" s="257">
        <f t="shared" si="14"/>
        <v>1</v>
      </c>
    </row>
    <row r="76" spans="2:13">
      <c r="B76" s="59" t="s">
        <v>152</v>
      </c>
      <c r="C76" s="60" t="s">
        <v>133</v>
      </c>
      <c r="D76" s="60" t="s">
        <v>125</v>
      </c>
      <c r="E76" s="60">
        <f>COUNTIFS(RETAIL!L:L,B76)</f>
        <v>2</v>
      </c>
      <c r="F76" s="60">
        <f>COUNTIFS(IH!K:K,B76,IH!S:S,"DISBURSED")</f>
        <v>1</v>
      </c>
      <c r="G76" s="257">
        <f t="shared" si="10"/>
        <v>0.5</v>
      </c>
      <c r="H76" s="60">
        <f>COUNTIFS([1]RETAIL!$L:$L,B76)</f>
        <v>4</v>
      </c>
      <c r="I76" s="60">
        <f>COUNTIFS([1]IH!$S:$S,"DISBURSED",[1]IH!$K:$K,B76)</f>
        <v>4</v>
      </c>
      <c r="J76" s="257">
        <f t="shared" si="11"/>
        <v>1</v>
      </c>
      <c r="K76" s="60">
        <f t="shared" si="12"/>
        <v>6</v>
      </c>
      <c r="L76" s="60">
        <f t="shared" si="13"/>
        <v>5</v>
      </c>
      <c r="M76" s="257">
        <f t="shared" si="14"/>
        <v>0.833333333333333</v>
      </c>
    </row>
    <row r="77" spans="2:13">
      <c r="B77" s="59" t="s">
        <v>153</v>
      </c>
      <c r="C77" s="60" t="s">
        <v>133</v>
      </c>
      <c r="D77" s="60" t="s">
        <v>125</v>
      </c>
      <c r="E77" s="60">
        <f>COUNTIFS(RETAIL!L:L,B77)</f>
        <v>0</v>
      </c>
      <c r="F77" s="60">
        <f>COUNTIFS(IH!K:K,B77,IH!S:S,"DISBURSED")</f>
        <v>0</v>
      </c>
      <c r="G77" s="257">
        <f t="shared" si="10"/>
        <v>0</v>
      </c>
      <c r="H77" s="60">
        <f>COUNTIFS([1]RETAIL!$L:$L,B77)</f>
        <v>3</v>
      </c>
      <c r="I77" s="60">
        <f>COUNTIFS([1]IH!$S:$S,"DISBURSED",[1]IH!$K:$K,B77)</f>
        <v>3</v>
      </c>
      <c r="J77" s="257">
        <f t="shared" si="11"/>
        <v>1</v>
      </c>
      <c r="K77" s="60">
        <f t="shared" si="12"/>
        <v>3</v>
      </c>
      <c r="L77" s="60">
        <f t="shared" si="13"/>
        <v>3</v>
      </c>
      <c r="M77" s="257">
        <f t="shared" si="14"/>
        <v>1</v>
      </c>
    </row>
    <row r="78" spans="2:13">
      <c r="B78" s="59" t="s">
        <v>154</v>
      </c>
      <c r="C78" s="60" t="s">
        <v>149</v>
      </c>
      <c r="D78" s="60" t="s">
        <v>125</v>
      </c>
      <c r="E78" s="60">
        <f>COUNTIFS(RETAIL!L:L,B78)</f>
        <v>0</v>
      </c>
      <c r="F78" s="60">
        <f>COUNTIFS(IH!K:K,B78,IH!S:S,"DISBURSED")</f>
        <v>0</v>
      </c>
      <c r="G78" s="257">
        <f t="shared" si="10"/>
        <v>0</v>
      </c>
      <c r="H78" s="60">
        <f>COUNTIFS([1]RETAIL!$L:$L,B78)</f>
        <v>3</v>
      </c>
      <c r="I78" s="60">
        <f>COUNTIFS([1]IH!$S:$S,"DISBURSED",[1]IH!$K:$K,B78)</f>
        <v>1</v>
      </c>
      <c r="J78" s="257">
        <f t="shared" si="11"/>
        <v>0.333333333333333</v>
      </c>
      <c r="K78" s="60">
        <f t="shared" si="12"/>
        <v>3</v>
      </c>
      <c r="L78" s="60">
        <f t="shared" si="13"/>
        <v>1</v>
      </c>
      <c r="M78" s="257">
        <f t="shared" si="14"/>
        <v>0.333333333333333</v>
      </c>
    </row>
    <row r="79" spans="2:13">
      <c r="B79" s="59" t="s">
        <v>155</v>
      </c>
      <c r="C79" s="60" t="s">
        <v>129</v>
      </c>
      <c r="D79" s="60" t="s">
        <v>125</v>
      </c>
      <c r="E79" s="60">
        <f>COUNTIFS(RETAIL!L:L,B79)</f>
        <v>0</v>
      </c>
      <c r="F79" s="60">
        <f>COUNTIFS(IH!K:K,B79,IH!S:S,"DISBURSED")</f>
        <v>0</v>
      </c>
      <c r="G79" s="257">
        <f t="shared" si="10"/>
        <v>0</v>
      </c>
      <c r="H79" s="60">
        <f>COUNTIFS([1]RETAIL!$L:$L,B79)</f>
        <v>1</v>
      </c>
      <c r="I79" s="60">
        <f>COUNTIFS([1]IH!$S:$S,"DISBURSED",[1]IH!$K:$K,B79)</f>
        <v>1</v>
      </c>
      <c r="J79" s="257">
        <f t="shared" si="11"/>
        <v>1</v>
      </c>
      <c r="K79" s="60">
        <f t="shared" si="12"/>
        <v>1</v>
      </c>
      <c r="L79" s="60">
        <f t="shared" si="13"/>
        <v>1</v>
      </c>
      <c r="M79" s="257">
        <f t="shared" si="14"/>
        <v>1</v>
      </c>
    </row>
    <row r="80" spans="2:13">
      <c r="B80" s="59" t="s">
        <v>156</v>
      </c>
      <c r="C80" s="60" t="s">
        <v>127</v>
      </c>
      <c r="D80" s="60" t="s">
        <v>125</v>
      </c>
      <c r="E80" s="60">
        <f>COUNTIFS(RETAIL!L:L,B80)</f>
        <v>0</v>
      </c>
      <c r="F80" s="60">
        <f>COUNTIFS(IH!K:K,B80,IH!S:S,"DISBURSED")</f>
        <v>0</v>
      </c>
      <c r="G80" s="257">
        <f t="shared" si="10"/>
        <v>0</v>
      </c>
      <c r="H80" s="60">
        <f>COUNTIFS([1]RETAIL!$L:$L,B80)</f>
        <v>0</v>
      </c>
      <c r="I80" s="60">
        <f>COUNTIFS([1]IH!$S:$S,"DISBURSED",[1]IH!$K:$K,B80)</f>
        <v>0</v>
      </c>
      <c r="J80" s="257">
        <f t="shared" si="11"/>
        <v>0</v>
      </c>
      <c r="K80" s="60">
        <f t="shared" si="12"/>
        <v>0</v>
      </c>
      <c r="L80" s="60">
        <f t="shared" si="13"/>
        <v>0</v>
      </c>
      <c r="M80" s="257">
        <f t="shared" si="14"/>
        <v>0</v>
      </c>
    </row>
    <row r="81" spans="2:13">
      <c r="B81" s="59" t="s">
        <v>157</v>
      </c>
      <c r="C81" s="60" t="s">
        <v>158</v>
      </c>
      <c r="D81" s="60" t="s">
        <v>29</v>
      </c>
      <c r="E81" s="60">
        <f>COUNTIFS(RETAIL!L:L,B81)</f>
        <v>4</v>
      </c>
      <c r="F81" s="60">
        <f>COUNTIFS(IH!K:K,B81,IH!S:S,"DISBURSED")</f>
        <v>2</v>
      </c>
      <c r="G81" s="257">
        <f t="shared" si="10"/>
        <v>0.5</v>
      </c>
      <c r="H81" s="60">
        <f>COUNTIFS([1]RETAIL!$L:$L,B81)</f>
        <v>1</v>
      </c>
      <c r="I81" s="60">
        <f>COUNTIFS([1]IH!$S:$S,"DISBURSED",[1]IH!$K:$K,B81)</f>
        <v>0</v>
      </c>
      <c r="J81" s="257">
        <f t="shared" si="11"/>
        <v>0</v>
      </c>
      <c r="K81" s="60">
        <f t="shared" si="12"/>
        <v>5</v>
      </c>
      <c r="L81" s="60">
        <f t="shared" si="13"/>
        <v>2</v>
      </c>
      <c r="M81" s="257">
        <f t="shared" si="14"/>
        <v>0.4</v>
      </c>
    </row>
    <row r="82" spans="2:13">
      <c r="B82" s="59" t="s">
        <v>159</v>
      </c>
      <c r="C82" s="60" t="s">
        <v>158</v>
      </c>
      <c r="D82" s="60" t="s">
        <v>29</v>
      </c>
      <c r="E82" s="60">
        <f>COUNTIFS(RETAIL!L:L,B82)</f>
        <v>0</v>
      </c>
      <c r="F82" s="60">
        <f>COUNTIFS(IH!K:K,B82,IH!S:S,"DISBURSED")</f>
        <v>0</v>
      </c>
      <c r="G82" s="257">
        <f t="shared" si="10"/>
        <v>0</v>
      </c>
      <c r="H82" s="60">
        <f>COUNTIFS([1]RETAIL!$L:$L,B82)</f>
        <v>0</v>
      </c>
      <c r="I82" s="60">
        <f>COUNTIFS([1]IH!$S:$S,"DISBURSED",[1]IH!$K:$K,B82)</f>
        <v>0</v>
      </c>
      <c r="J82" s="257">
        <f t="shared" si="11"/>
        <v>0</v>
      </c>
      <c r="K82" s="60">
        <f t="shared" si="12"/>
        <v>0</v>
      </c>
      <c r="L82" s="60">
        <f t="shared" si="13"/>
        <v>0</v>
      </c>
      <c r="M82" s="257">
        <f t="shared" si="14"/>
        <v>0</v>
      </c>
    </row>
    <row r="83" spans="2:13">
      <c r="B83" s="59" t="s">
        <v>160</v>
      </c>
      <c r="C83" s="60" t="s">
        <v>158</v>
      </c>
      <c r="D83" s="60" t="s">
        <v>29</v>
      </c>
      <c r="E83" s="60">
        <f>COUNTIFS(RETAIL!L:L,B83)</f>
        <v>2</v>
      </c>
      <c r="F83" s="60">
        <f>COUNTIFS(IH!K:K,B83,IH!S:S,"DISBURSED")</f>
        <v>2</v>
      </c>
      <c r="G83" s="257">
        <f t="shared" si="10"/>
        <v>1</v>
      </c>
      <c r="H83" s="60">
        <f>COUNTIFS([1]RETAIL!$L:$L,B83)</f>
        <v>1</v>
      </c>
      <c r="I83" s="60">
        <f>COUNTIFS([1]IH!$S:$S,"DISBURSED",[1]IH!$K:$K,B83)</f>
        <v>1</v>
      </c>
      <c r="J83" s="257">
        <f t="shared" si="11"/>
        <v>1</v>
      </c>
      <c r="K83" s="60">
        <f t="shared" si="12"/>
        <v>3</v>
      </c>
      <c r="L83" s="60">
        <f t="shared" si="13"/>
        <v>3</v>
      </c>
      <c r="M83" s="257">
        <f t="shared" si="14"/>
        <v>1</v>
      </c>
    </row>
    <row r="84" spans="2:13">
      <c r="B84" s="59" t="s">
        <v>161</v>
      </c>
      <c r="C84" s="60" t="s">
        <v>158</v>
      </c>
      <c r="D84" s="60" t="s">
        <v>29</v>
      </c>
      <c r="E84" s="60">
        <f>COUNTIFS(RETAIL!L:L,B84)</f>
        <v>5</v>
      </c>
      <c r="F84" s="60">
        <f>COUNTIFS(IH!K:K,B84,IH!S:S,"DISBURSED")</f>
        <v>5</v>
      </c>
      <c r="G84" s="257">
        <f t="shared" si="10"/>
        <v>1</v>
      </c>
      <c r="H84" s="60">
        <f>COUNTIFS([1]RETAIL!$L:$L,B84)</f>
        <v>1</v>
      </c>
      <c r="I84" s="60">
        <f>COUNTIFS([1]IH!$S:$S,"DISBURSED",[1]IH!$K:$K,B84)</f>
        <v>1</v>
      </c>
      <c r="J84" s="257">
        <f t="shared" si="11"/>
        <v>1</v>
      </c>
      <c r="K84" s="60">
        <f t="shared" si="12"/>
        <v>6</v>
      </c>
      <c r="L84" s="60">
        <f t="shared" si="13"/>
        <v>6</v>
      </c>
      <c r="M84" s="257">
        <f t="shared" si="14"/>
        <v>1</v>
      </c>
    </row>
    <row r="85" spans="2:13">
      <c r="B85" s="59" t="s">
        <v>162</v>
      </c>
      <c r="C85" s="60" t="s">
        <v>163</v>
      </c>
      <c r="D85" s="60" t="s">
        <v>34</v>
      </c>
      <c r="E85" s="60">
        <f>COUNTIFS(RETAIL!L:L,B85)</f>
        <v>3</v>
      </c>
      <c r="F85" s="60">
        <f>COUNTIFS(IH!K:K,B85,IH!S:S,"DISBURSED")</f>
        <v>0</v>
      </c>
      <c r="G85" s="257">
        <f t="shared" si="10"/>
        <v>0</v>
      </c>
      <c r="H85" s="60">
        <f>COUNTIFS([1]RETAIL!$L:$L,B85)</f>
        <v>0</v>
      </c>
      <c r="I85" s="60">
        <f>COUNTIFS([1]IH!$S:$S,"DISBURSED",[1]IH!$K:$K,B85)</f>
        <v>0</v>
      </c>
      <c r="J85" s="257">
        <f t="shared" si="11"/>
        <v>0</v>
      </c>
      <c r="K85" s="60">
        <f t="shared" si="12"/>
        <v>3</v>
      </c>
      <c r="L85" s="60">
        <f t="shared" si="13"/>
        <v>0</v>
      </c>
      <c r="M85" s="257">
        <f t="shared" si="14"/>
        <v>0</v>
      </c>
    </row>
    <row r="86" spans="2:13">
      <c r="B86" s="59" t="s">
        <v>164</v>
      </c>
      <c r="C86" s="60" t="s">
        <v>163</v>
      </c>
      <c r="D86" s="60" t="s">
        <v>34</v>
      </c>
      <c r="E86" s="60">
        <f>COUNTIFS(RETAIL!L:L,B86)</f>
        <v>0</v>
      </c>
      <c r="F86" s="60">
        <f>COUNTIFS(IH!K:K,B86,IH!S:S,"DISBURSED")</f>
        <v>0</v>
      </c>
      <c r="G86" s="257">
        <f t="shared" si="10"/>
        <v>0</v>
      </c>
      <c r="H86" s="60">
        <f>COUNTIFS([1]RETAIL!$L:$L,B86)</f>
        <v>0</v>
      </c>
      <c r="I86" s="60">
        <f>COUNTIFS([1]IH!$S:$S,"DISBURSED",[1]IH!$K:$K,B86)</f>
        <v>0</v>
      </c>
      <c r="J86" s="257">
        <f t="shared" si="11"/>
        <v>0</v>
      </c>
      <c r="K86" s="60">
        <f t="shared" si="12"/>
        <v>0</v>
      </c>
      <c r="L86" s="60">
        <f t="shared" si="13"/>
        <v>0</v>
      </c>
      <c r="M86" s="257">
        <f t="shared" si="14"/>
        <v>0</v>
      </c>
    </row>
    <row r="87" spans="2:13">
      <c r="B87" s="59" t="s">
        <v>165</v>
      </c>
      <c r="C87" s="60" t="s">
        <v>163</v>
      </c>
      <c r="D87" s="60" t="s">
        <v>34</v>
      </c>
      <c r="E87" s="60">
        <f>COUNTIFS(RETAIL!L:L,B87)</f>
        <v>5</v>
      </c>
      <c r="F87" s="60">
        <f>COUNTIFS(IH!K:K,B87,IH!S:S,"DISBURSED")</f>
        <v>3</v>
      </c>
      <c r="G87" s="257">
        <f t="shared" si="10"/>
        <v>0.6</v>
      </c>
      <c r="H87" s="60">
        <f>COUNTIFS([1]RETAIL!$L:$L,B87)</f>
        <v>0</v>
      </c>
      <c r="I87" s="60">
        <f>COUNTIFS([1]IH!$S:$S,"DISBURSED",[1]IH!$K:$K,B87)</f>
        <v>0</v>
      </c>
      <c r="J87" s="257">
        <f t="shared" si="11"/>
        <v>0</v>
      </c>
      <c r="K87" s="60">
        <f t="shared" si="12"/>
        <v>5</v>
      </c>
      <c r="L87" s="60">
        <f t="shared" si="13"/>
        <v>3</v>
      </c>
      <c r="M87" s="257">
        <f t="shared" si="14"/>
        <v>0.6</v>
      </c>
    </row>
    <row r="88" spans="2:13">
      <c r="B88" s="59" t="s">
        <v>166</v>
      </c>
      <c r="C88" s="60" t="s">
        <v>163</v>
      </c>
      <c r="D88" s="60" t="s">
        <v>34</v>
      </c>
      <c r="E88" s="60">
        <f>COUNTIFS(RETAIL!L:L,B88)</f>
        <v>2</v>
      </c>
      <c r="F88" s="60">
        <f>COUNTIFS(IH!K:K,B88,IH!S:S,"DISBURSED")</f>
        <v>1</v>
      </c>
      <c r="G88" s="257">
        <f t="shared" si="10"/>
        <v>0.5</v>
      </c>
      <c r="H88" s="60">
        <f>COUNTIFS([1]RETAIL!$L:$L,B88)</f>
        <v>0</v>
      </c>
      <c r="I88" s="60">
        <f>COUNTIFS([1]IH!$S:$S,"DISBURSED",[1]IH!$K:$K,B88)</f>
        <v>0</v>
      </c>
      <c r="J88" s="257">
        <f t="shared" si="11"/>
        <v>0</v>
      </c>
      <c r="K88" s="60">
        <f t="shared" si="12"/>
        <v>2</v>
      </c>
      <c r="L88" s="60">
        <f t="shared" si="13"/>
        <v>1</v>
      </c>
      <c r="M88" s="257">
        <f t="shared" si="14"/>
        <v>0.5</v>
      </c>
    </row>
    <row r="89" spans="2:13">
      <c r="B89" s="59" t="s">
        <v>167</v>
      </c>
      <c r="C89" s="60" t="s">
        <v>168</v>
      </c>
      <c r="D89" s="60" t="s">
        <v>38</v>
      </c>
      <c r="E89" s="60">
        <f>COUNTIFS(RETAIL!L:L,B89)</f>
        <v>3</v>
      </c>
      <c r="F89" s="60">
        <f>COUNTIFS(IH!K:K,B89,IH!S:S,"DISBURSED")</f>
        <v>2</v>
      </c>
      <c r="G89" s="257">
        <f t="shared" si="10"/>
        <v>0.666666666666667</v>
      </c>
      <c r="H89" s="60">
        <f>COUNTIFS([1]RETAIL!$L:$L,B89)</f>
        <v>0</v>
      </c>
      <c r="I89" s="60">
        <f>COUNTIFS([1]IH!$S:$S,"DISBURSED",[1]IH!$K:$K,B89)</f>
        <v>0</v>
      </c>
      <c r="J89" s="257">
        <f t="shared" si="11"/>
        <v>0</v>
      </c>
      <c r="K89" s="60">
        <f t="shared" si="12"/>
        <v>3</v>
      </c>
      <c r="L89" s="60">
        <f t="shared" si="13"/>
        <v>2</v>
      </c>
      <c r="M89" s="257">
        <f t="shared" si="14"/>
        <v>0.666666666666667</v>
      </c>
    </row>
    <row r="90" spans="2:13">
      <c r="B90" s="59" t="s">
        <v>169</v>
      </c>
      <c r="C90" s="60" t="s">
        <v>168</v>
      </c>
      <c r="D90" s="60" t="s">
        <v>38</v>
      </c>
      <c r="E90" s="60">
        <f>COUNTIFS(RETAIL!L:L,B90)</f>
        <v>4</v>
      </c>
      <c r="F90" s="60">
        <f>COUNTIFS(IH!K:K,B90,IH!S:S,"DISBURSED")</f>
        <v>3</v>
      </c>
      <c r="G90" s="257">
        <f t="shared" si="10"/>
        <v>0.75</v>
      </c>
      <c r="H90" s="60">
        <f>COUNTIFS([1]RETAIL!$L:$L,B90)</f>
        <v>0</v>
      </c>
      <c r="I90" s="60">
        <f>COUNTIFS([1]IH!$S:$S,"DISBURSED",[1]IH!$K:$K,B90)</f>
        <v>0</v>
      </c>
      <c r="J90" s="257">
        <f t="shared" si="11"/>
        <v>0</v>
      </c>
      <c r="K90" s="60">
        <f t="shared" si="12"/>
        <v>4</v>
      </c>
      <c r="L90" s="60">
        <f t="shared" si="13"/>
        <v>3</v>
      </c>
      <c r="M90" s="257">
        <f t="shared" si="14"/>
        <v>0.75</v>
      </c>
    </row>
    <row r="91" spans="2:13">
      <c r="B91" s="59" t="s">
        <v>170</v>
      </c>
      <c r="C91" s="60" t="s">
        <v>168</v>
      </c>
      <c r="D91" s="60" t="s">
        <v>38</v>
      </c>
      <c r="E91" s="60">
        <f>COUNTIFS(RETAIL!L:L,B91)</f>
        <v>3</v>
      </c>
      <c r="F91" s="60">
        <f>COUNTIFS(IH!K:K,B91,IH!S:S,"DISBURSED")</f>
        <v>1</v>
      </c>
      <c r="G91" s="257">
        <f t="shared" si="10"/>
        <v>0.333333333333333</v>
      </c>
      <c r="H91" s="60">
        <f>COUNTIFS([1]RETAIL!$L:$L,B91)</f>
        <v>0</v>
      </c>
      <c r="I91" s="60">
        <f>COUNTIFS([1]IH!$S:$S,"DISBURSED",[1]IH!$K:$K,B91)</f>
        <v>0</v>
      </c>
      <c r="J91" s="257">
        <f t="shared" si="11"/>
        <v>0</v>
      </c>
      <c r="K91" s="60">
        <f t="shared" si="12"/>
        <v>3</v>
      </c>
      <c r="L91" s="60">
        <f t="shared" si="13"/>
        <v>1</v>
      </c>
      <c r="M91" s="257">
        <f t="shared" si="14"/>
        <v>0.333333333333333</v>
      </c>
    </row>
    <row r="92" spans="2:13">
      <c r="B92" s="59" t="s">
        <v>171</v>
      </c>
      <c r="C92" s="60" t="s">
        <v>168</v>
      </c>
      <c r="D92" s="60" t="s">
        <v>38</v>
      </c>
      <c r="E92" s="60">
        <f>COUNTIFS(RETAIL!L:L,B92)</f>
        <v>0</v>
      </c>
      <c r="F92" s="60">
        <f>COUNTIFS(IH!K:K,B92,IH!S:S,"DISBURSED")</f>
        <v>0</v>
      </c>
      <c r="G92" s="257">
        <f t="shared" si="10"/>
        <v>0</v>
      </c>
      <c r="H92" s="60">
        <f>COUNTIFS([1]RETAIL!$L:$L,B92)</f>
        <v>0</v>
      </c>
      <c r="I92" s="60">
        <f>COUNTIFS([1]IH!$S:$S,"DISBURSED",[1]IH!$K:$K,B92)</f>
        <v>0</v>
      </c>
      <c r="J92" s="257">
        <f t="shared" si="11"/>
        <v>0</v>
      </c>
      <c r="K92" s="60">
        <f t="shared" si="12"/>
        <v>0</v>
      </c>
      <c r="L92" s="60">
        <f t="shared" si="13"/>
        <v>0</v>
      </c>
      <c r="M92" s="257">
        <f t="shared" si="14"/>
        <v>0</v>
      </c>
    </row>
    <row r="93" spans="2:13">
      <c r="B93" s="59" t="s">
        <v>172</v>
      </c>
      <c r="C93" s="60" t="s">
        <v>168</v>
      </c>
      <c r="D93" s="60" t="s">
        <v>38</v>
      </c>
      <c r="E93" s="60">
        <f>COUNTIFS(RETAIL!L:L,B93)</f>
        <v>3</v>
      </c>
      <c r="F93" s="60">
        <f>COUNTIFS(IH!K:K,B93,IH!S:S,"DISBURSED")</f>
        <v>1</v>
      </c>
      <c r="G93" s="257">
        <f t="shared" si="10"/>
        <v>0.333333333333333</v>
      </c>
      <c r="H93" s="60">
        <f>COUNTIFS([1]RETAIL!$L:$L,B93)</f>
        <v>1</v>
      </c>
      <c r="I93" s="60">
        <f>COUNTIFS([1]IH!$S:$S,"DISBURSED",[1]IH!$K:$K,B93)</f>
        <v>1</v>
      </c>
      <c r="J93" s="257">
        <f t="shared" si="11"/>
        <v>1</v>
      </c>
      <c r="K93" s="60">
        <f t="shared" si="12"/>
        <v>4</v>
      </c>
      <c r="L93" s="60">
        <f t="shared" si="13"/>
        <v>2</v>
      </c>
      <c r="M93" s="257">
        <f t="shared" si="14"/>
        <v>0.5</v>
      </c>
    </row>
    <row r="94" spans="2:13">
      <c r="B94" s="59" t="s">
        <v>173</v>
      </c>
      <c r="C94" s="60" t="s">
        <v>174</v>
      </c>
      <c r="D94" s="60" t="s">
        <v>175</v>
      </c>
      <c r="E94" s="60">
        <f>COUNTIFS(RETAIL!L:L,B94)</f>
        <v>2</v>
      </c>
      <c r="F94" s="60">
        <f>COUNTIFS(IH!K:K,B94,IH!S:S,"DISBURSED")</f>
        <v>0</v>
      </c>
      <c r="G94" s="257">
        <f t="shared" si="10"/>
        <v>0</v>
      </c>
      <c r="H94" s="60">
        <f>COUNTIFS([1]RETAIL!$L:$L,B94)</f>
        <v>0</v>
      </c>
      <c r="I94" s="60">
        <f>COUNTIFS([1]IH!$S:$S,"DISBURSED",[1]IH!$K:$K,B94)</f>
        <v>0</v>
      </c>
      <c r="J94" s="257">
        <f t="shared" si="11"/>
        <v>0</v>
      </c>
      <c r="K94" s="60">
        <f t="shared" si="12"/>
        <v>2</v>
      </c>
      <c r="L94" s="60">
        <f t="shared" si="13"/>
        <v>0</v>
      </c>
      <c r="M94" s="257">
        <f t="shared" si="14"/>
        <v>0</v>
      </c>
    </row>
    <row r="95" spans="2:13">
      <c r="B95" s="59" t="s">
        <v>176</v>
      </c>
      <c r="C95" s="60" t="s">
        <v>174</v>
      </c>
      <c r="D95" s="60" t="s">
        <v>175</v>
      </c>
      <c r="E95" s="60">
        <f>COUNTIFS(RETAIL!L:L,B95)</f>
        <v>3</v>
      </c>
      <c r="F95" s="60">
        <f>COUNTIFS(IH!K:K,B95,IH!S:S,"DISBURSED")</f>
        <v>3</v>
      </c>
      <c r="G95" s="257">
        <f t="shared" si="10"/>
        <v>1</v>
      </c>
      <c r="H95" s="60">
        <f>COUNTIFS([1]RETAIL!$L:$L,B95)</f>
        <v>2</v>
      </c>
      <c r="I95" s="60">
        <f>COUNTIFS([1]IH!$S:$S,"DISBURSED",[1]IH!$K:$K,B95)</f>
        <v>1</v>
      </c>
      <c r="J95" s="257">
        <f t="shared" si="11"/>
        <v>0.5</v>
      </c>
      <c r="K95" s="60">
        <f t="shared" si="12"/>
        <v>5</v>
      </c>
      <c r="L95" s="60">
        <f t="shared" si="13"/>
        <v>4</v>
      </c>
      <c r="M95" s="257">
        <f t="shared" si="14"/>
        <v>0.8</v>
      </c>
    </row>
    <row r="96" spans="2:13">
      <c r="B96" s="59" t="s">
        <v>177</v>
      </c>
      <c r="C96" s="60" t="s">
        <v>174</v>
      </c>
      <c r="D96" s="60" t="s">
        <v>175</v>
      </c>
      <c r="E96" s="60">
        <f>COUNTIFS(RETAIL!L:L,B96)</f>
        <v>4</v>
      </c>
      <c r="F96" s="60">
        <f>COUNTIFS(IH!K:K,B96,IH!S:S,"DISBURSED")</f>
        <v>2</v>
      </c>
      <c r="G96" s="257">
        <f t="shared" si="10"/>
        <v>0.5</v>
      </c>
      <c r="H96" s="60">
        <f>COUNTIFS([1]RETAIL!$L:$L,B96)</f>
        <v>0</v>
      </c>
      <c r="I96" s="60">
        <f>COUNTIFS([1]IH!$S:$S,"DISBURSED",[1]IH!$K:$K,B96)</f>
        <v>0</v>
      </c>
      <c r="J96" s="257">
        <f t="shared" si="11"/>
        <v>0</v>
      </c>
      <c r="K96" s="60">
        <f t="shared" si="12"/>
        <v>4</v>
      </c>
      <c r="L96" s="60">
        <f t="shared" si="13"/>
        <v>2</v>
      </c>
      <c r="M96" s="257">
        <f t="shared" si="14"/>
        <v>0.5</v>
      </c>
    </row>
    <row r="97" spans="2:13">
      <c r="B97" s="59" t="s">
        <v>178</v>
      </c>
      <c r="C97" s="60" t="s">
        <v>88</v>
      </c>
      <c r="D97" s="60" t="s">
        <v>19</v>
      </c>
      <c r="E97" s="60">
        <f>COUNTIFS(RETAIL!L:L,B97)</f>
        <v>0</v>
      </c>
      <c r="F97" s="60">
        <f>COUNTIFS(IH!K:K,B97,IH!S:S,"DISBURSED")</f>
        <v>0</v>
      </c>
      <c r="G97" s="257">
        <f t="shared" si="10"/>
        <v>0</v>
      </c>
      <c r="H97" s="60">
        <f>COUNTIFS([1]RETAIL!$L:$L,B97)</f>
        <v>0</v>
      </c>
      <c r="I97" s="60">
        <f>COUNTIFS([1]IH!$S:$S,"DISBURSED",[1]IH!$K:$K,B97)</f>
        <v>0</v>
      </c>
      <c r="J97" s="257">
        <f t="shared" si="11"/>
        <v>0</v>
      </c>
      <c r="K97" s="60">
        <f t="shared" si="12"/>
        <v>0</v>
      </c>
      <c r="L97" s="60">
        <f t="shared" si="13"/>
        <v>0</v>
      </c>
      <c r="M97" s="257">
        <f t="shared" si="14"/>
        <v>0</v>
      </c>
    </row>
    <row r="98" spans="2:13">
      <c r="B98" s="59" t="s">
        <v>179</v>
      </c>
      <c r="C98" s="60" t="s">
        <v>106</v>
      </c>
      <c r="D98" s="60" t="s">
        <v>107</v>
      </c>
      <c r="E98" s="60">
        <f>COUNTIFS(RETAIL!L:L,B98)</f>
        <v>0</v>
      </c>
      <c r="F98" s="60">
        <f>COUNTIFS(IH!K:K,B98,IH!S:S,"DISBURSED")</f>
        <v>0</v>
      </c>
      <c r="G98" s="257">
        <f t="shared" si="10"/>
        <v>0</v>
      </c>
      <c r="H98" s="60">
        <f>COUNTIFS([1]RETAIL!$L:$L,B98)</f>
        <v>0</v>
      </c>
      <c r="I98" s="60">
        <f>COUNTIFS([1]IH!$S:$S,"DISBURSED",[1]IH!$K:$K,B98)</f>
        <v>0</v>
      </c>
      <c r="J98" s="257">
        <f t="shared" si="11"/>
        <v>0</v>
      </c>
      <c r="K98" s="60">
        <f t="shared" si="12"/>
        <v>0</v>
      </c>
      <c r="L98" s="60">
        <f t="shared" si="13"/>
        <v>0</v>
      </c>
      <c r="M98" s="257">
        <f t="shared" si="14"/>
        <v>0</v>
      </c>
    </row>
    <row r="99" spans="2:13">
      <c r="B99" s="59" t="s">
        <v>180</v>
      </c>
      <c r="C99" s="60" t="s">
        <v>106</v>
      </c>
      <c r="D99" s="60" t="s">
        <v>107</v>
      </c>
      <c r="E99" s="60">
        <f>COUNTIFS(RETAIL!L:L,B99)</f>
        <v>0</v>
      </c>
      <c r="F99" s="60">
        <f>COUNTIFS(IH!K:K,B99,IH!S:S,"DISBURSED")</f>
        <v>0</v>
      </c>
      <c r="G99" s="257">
        <f t="shared" si="10"/>
        <v>0</v>
      </c>
      <c r="H99" s="60">
        <f>COUNTIFS([1]RETAIL!$L:$L,B99)</f>
        <v>0</v>
      </c>
      <c r="I99" s="60">
        <f>COUNTIFS([1]IH!$S:$S,"DISBURSED",[1]IH!$K:$K,B99)</f>
        <v>0</v>
      </c>
      <c r="J99" s="257">
        <f t="shared" si="11"/>
        <v>0</v>
      </c>
      <c r="K99" s="60">
        <f t="shared" si="12"/>
        <v>0</v>
      </c>
      <c r="L99" s="60">
        <f t="shared" si="13"/>
        <v>0</v>
      </c>
      <c r="M99" s="257">
        <f t="shared" si="14"/>
        <v>0</v>
      </c>
    </row>
    <row r="100" spans="2:13">
      <c r="B100" s="59" t="s">
        <v>181</v>
      </c>
      <c r="C100" s="60" t="s">
        <v>149</v>
      </c>
      <c r="D100" s="60" t="s">
        <v>125</v>
      </c>
      <c r="E100" s="60">
        <f>COUNTIFS(RETAIL!L:L,B100)</f>
        <v>0</v>
      </c>
      <c r="F100" s="60">
        <f>COUNTIFS(IH!K:K,B100,IH!S:S,"DISBURSED")</f>
        <v>0</v>
      </c>
      <c r="G100" s="257">
        <f t="shared" si="10"/>
        <v>0</v>
      </c>
      <c r="H100" s="60">
        <f>COUNTIFS([1]RETAIL!$L:$L,B100)</f>
        <v>0</v>
      </c>
      <c r="I100" s="60">
        <f>COUNTIFS([1]IH!$S:$S,"DISBURSED",[1]IH!$K:$K,B100)</f>
        <v>0</v>
      </c>
      <c r="J100" s="257">
        <f t="shared" si="11"/>
        <v>0</v>
      </c>
      <c r="K100" s="60">
        <f t="shared" si="12"/>
        <v>0</v>
      </c>
      <c r="L100" s="60">
        <f t="shared" si="13"/>
        <v>0</v>
      </c>
      <c r="M100" s="257">
        <f t="shared" si="14"/>
        <v>0</v>
      </c>
    </row>
    <row r="101" spans="2:13">
      <c r="B101" s="59" t="s">
        <v>182</v>
      </c>
      <c r="C101" s="60" t="s">
        <v>92</v>
      </c>
      <c r="D101" s="60" t="s">
        <v>23</v>
      </c>
      <c r="E101" s="60">
        <f>COUNTIFS(RETAIL!L:L,B101)</f>
        <v>0</v>
      </c>
      <c r="F101" s="60">
        <f>COUNTIFS(IH!K:K,B101,IH!S:S,"DISBURSED")</f>
        <v>0</v>
      </c>
      <c r="G101" s="257">
        <f t="shared" si="10"/>
        <v>0</v>
      </c>
      <c r="H101" s="60">
        <f>COUNTIFS([1]RETAIL!$L:$L,B101)</f>
        <v>0</v>
      </c>
      <c r="I101" s="60">
        <f>COUNTIFS([1]IH!$S:$S,"DISBURSED",[1]IH!$K:$K,B101)</f>
        <v>0</v>
      </c>
      <c r="J101" s="257">
        <f t="shared" si="11"/>
        <v>0</v>
      </c>
      <c r="K101" s="60">
        <f t="shared" si="12"/>
        <v>0</v>
      </c>
      <c r="L101" s="60">
        <f t="shared" si="13"/>
        <v>0</v>
      </c>
      <c r="M101" s="257">
        <f t="shared" si="14"/>
        <v>0</v>
      </c>
    </row>
    <row r="102" spans="2:13">
      <c r="B102" s="59" t="s">
        <v>183</v>
      </c>
      <c r="C102" s="60" t="s">
        <v>149</v>
      </c>
      <c r="D102" s="60" t="s">
        <v>125</v>
      </c>
      <c r="E102" s="60">
        <f>COUNTIFS(RETAIL!L:L,B102)</f>
        <v>0</v>
      </c>
      <c r="F102" s="60">
        <f>COUNTIFS(IH!K:K,B102,IH!S:S,"DISBURSED")</f>
        <v>0</v>
      </c>
      <c r="G102" s="257">
        <f t="shared" si="10"/>
        <v>0</v>
      </c>
      <c r="H102" s="60">
        <f>COUNTIFS([1]RETAIL!$L:$L,B102)</f>
        <v>0</v>
      </c>
      <c r="I102" s="60">
        <f>COUNTIFS([1]IH!$S:$S,"DISBURSED",[1]IH!$K:$K,B102)</f>
        <v>0</v>
      </c>
      <c r="J102" s="257">
        <f t="shared" si="11"/>
        <v>0</v>
      </c>
      <c r="K102" s="60">
        <f t="shared" si="12"/>
        <v>0</v>
      </c>
      <c r="L102" s="60">
        <f t="shared" si="13"/>
        <v>0</v>
      </c>
      <c r="M102" s="257">
        <f t="shared" si="14"/>
        <v>0</v>
      </c>
    </row>
    <row r="103" spans="2:13">
      <c r="B103" s="59" t="s">
        <v>184</v>
      </c>
      <c r="C103" s="60" t="s">
        <v>79</v>
      </c>
      <c r="D103" s="60" t="s">
        <v>17</v>
      </c>
      <c r="E103" s="60">
        <f>COUNTIFS(RETAIL!L:L,B103)</f>
        <v>0</v>
      </c>
      <c r="F103" s="60">
        <f>COUNTIFS(IH!K:K,B103,IH!S:S,"DISBURSED")</f>
        <v>0</v>
      </c>
      <c r="G103" s="257">
        <f t="shared" si="10"/>
        <v>0</v>
      </c>
      <c r="H103" s="60">
        <f>COUNTIFS([1]RETAIL!$L:$L,B103)</f>
        <v>0</v>
      </c>
      <c r="I103" s="60">
        <f>COUNTIFS([1]IH!$S:$S,"DISBURSED",[1]IH!$K:$K,B103)</f>
        <v>0</v>
      </c>
      <c r="J103" s="257">
        <f t="shared" si="11"/>
        <v>0</v>
      </c>
      <c r="K103" s="60">
        <f t="shared" si="12"/>
        <v>0</v>
      </c>
      <c r="L103" s="60">
        <f t="shared" si="13"/>
        <v>0</v>
      </c>
      <c r="M103" s="257">
        <f t="shared" si="14"/>
        <v>0</v>
      </c>
    </row>
    <row r="104" spans="2:13">
      <c r="B104" s="59" t="s">
        <v>185</v>
      </c>
      <c r="C104" s="60" t="s">
        <v>186</v>
      </c>
      <c r="D104" s="60" t="s">
        <v>187</v>
      </c>
      <c r="E104" s="60">
        <f>COUNTIFS(RETAIL!L:L,B104)</f>
        <v>0</v>
      </c>
      <c r="F104" s="60">
        <f>COUNTIFS(IH!K:K,B104,IH!S:S,"DISBURSED")</f>
        <v>0</v>
      </c>
      <c r="G104" s="257">
        <f t="shared" si="10"/>
        <v>0</v>
      </c>
      <c r="H104" s="60">
        <f>COUNTIFS([1]RETAIL!$L:$L,B104)</f>
        <v>0</v>
      </c>
      <c r="I104" s="60">
        <f>COUNTIFS([1]IH!$S:$S,"DISBURSED",[1]IH!$K:$K,B104)</f>
        <v>0</v>
      </c>
      <c r="J104" s="257">
        <f t="shared" si="11"/>
        <v>0</v>
      </c>
      <c r="K104" s="60">
        <f t="shared" si="12"/>
        <v>0</v>
      </c>
      <c r="L104" s="60">
        <f t="shared" si="13"/>
        <v>0</v>
      </c>
      <c r="M104" s="257">
        <f t="shared" si="14"/>
        <v>0</v>
      </c>
    </row>
    <row r="105" spans="2:13">
      <c r="B105" s="59" t="s">
        <v>188</v>
      </c>
      <c r="C105" s="60" t="s">
        <v>163</v>
      </c>
      <c r="D105" s="60" t="s">
        <v>34</v>
      </c>
      <c r="E105" s="60">
        <f>COUNTIFS(RETAIL!L:L,B105)</f>
        <v>2</v>
      </c>
      <c r="F105" s="60">
        <f>COUNTIFS(IH!K:K,B105,IH!S:S,"DISBURSED")</f>
        <v>1</v>
      </c>
      <c r="G105" s="257">
        <f t="shared" si="10"/>
        <v>0.5</v>
      </c>
      <c r="H105" s="60">
        <f>COUNTIFS([1]RETAIL!$L:$L,B105)</f>
        <v>0</v>
      </c>
      <c r="I105" s="60">
        <f>COUNTIFS([1]IH!$S:$S,"DISBURSED",[1]IH!$K:$K,B105)</f>
        <v>0</v>
      </c>
      <c r="J105" s="257">
        <f t="shared" si="11"/>
        <v>0</v>
      </c>
      <c r="K105" s="60">
        <f t="shared" si="12"/>
        <v>2</v>
      </c>
      <c r="L105" s="60">
        <f t="shared" si="13"/>
        <v>1</v>
      </c>
      <c r="M105" s="257">
        <f t="shared" si="14"/>
        <v>0.5</v>
      </c>
    </row>
    <row r="106" spans="2:13">
      <c r="B106" s="59" t="s">
        <v>189</v>
      </c>
      <c r="C106" s="60" t="s">
        <v>96</v>
      </c>
      <c r="D106" s="60" t="s">
        <v>23</v>
      </c>
      <c r="E106" s="60">
        <f>COUNTIFS(RETAIL!L:L,B106)</f>
        <v>5</v>
      </c>
      <c r="F106" s="60">
        <f>COUNTIFS(IH!K:K,B106,IH!S:S,"DISBURSED")</f>
        <v>2</v>
      </c>
      <c r="G106" s="257">
        <f t="shared" ref="G106:G169" si="15">IFERROR((F106/E106),0)</f>
        <v>0.4</v>
      </c>
      <c r="H106" s="60">
        <f>COUNTIFS([1]RETAIL!$L:$L,B106)</f>
        <v>0</v>
      </c>
      <c r="I106" s="60">
        <f>COUNTIFS([1]IH!$S:$S,"DISBURSED",[1]IH!$K:$K,B106)</f>
        <v>0</v>
      </c>
      <c r="J106" s="257">
        <f t="shared" ref="J106:J169" si="16">IFERROR((I106/H106),0)</f>
        <v>0</v>
      </c>
      <c r="K106" s="60">
        <f t="shared" ref="K106:K169" si="17">E106+H106</f>
        <v>5</v>
      </c>
      <c r="L106" s="60">
        <f t="shared" ref="L106:L169" si="18">F106+I106</f>
        <v>2</v>
      </c>
      <c r="M106" s="257">
        <f t="shared" ref="M106:M169" si="19">IFERROR((L106/K106),0)</f>
        <v>0.4</v>
      </c>
    </row>
    <row r="107" spans="2:13">
      <c r="B107" s="59" t="s">
        <v>190</v>
      </c>
      <c r="C107" s="60" t="s">
        <v>110</v>
      </c>
      <c r="D107" s="60" t="s">
        <v>111</v>
      </c>
      <c r="E107" s="60">
        <f>COUNTIFS(RETAIL!L:L,B107)</f>
        <v>1</v>
      </c>
      <c r="F107" s="60">
        <f>COUNTIFS(IH!K:K,B107,IH!S:S,"DISBURSED")</f>
        <v>0</v>
      </c>
      <c r="G107" s="257">
        <f t="shared" si="15"/>
        <v>0</v>
      </c>
      <c r="H107" s="60">
        <f>COUNTIFS([1]RETAIL!$L:$L,B107)</f>
        <v>2</v>
      </c>
      <c r="I107" s="60">
        <f>COUNTIFS([1]IH!$S:$S,"DISBURSED",[1]IH!$K:$K,B107)</f>
        <v>1</v>
      </c>
      <c r="J107" s="257">
        <f t="shared" si="16"/>
        <v>0.5</v>
      </c>
      <c r="K107" s="60">
        <f t="shared" si="17"/>
        <v>3</v>
      </c>
      <c r="L107" s="60">
        <f t="shared" si="18"/>
        <v>1</v>
      </c>
      <c r="M107" s="257">
        <f t="shared" si="19"/>
        <v>0.333333333333333</v>
      </c>
    </row>
    <row r="108" spans="2:13">
      <c r="B108" s="59" t="s">
        <v>191</v>
      </c>
      <c r="C108" s="60" t="s">
        <v>186</v>
      </c>
      <c r="D108" s="60" t="s">
        <v>187</v>
      </c>
      <c r="E108" s="60">
        <f>COUNTIFS(RETAIL!L:L,B108)</f>
        <v>0</v>
      </c>
      <c r="F108" s="60">
        <f>COUNTIFS(IH!K:K,B108,IH!S:S,"DISBURSED")</f>
        <v>0</v>
      </c>
      <c r="G108" s="257">
        <f t="shared" si="15"/>
        <v>0</v>
      </c>
      <c r="H108" s="60">
        <f>COUNTIFS([1]RETAIL!$L:$L,B108)</f>
        <v>0</v>
      </c>
      <c r="I108" s="60">
        <f>COUNTIFS([1]IH!$S:$S,"DISBURSED",[1]IH!$K:$K,B108)</f>
        <v>0</v>
      </c>
      <c r="J108" s="257">
        <f t="shared" si="16"/>
        <v>0</v>
      </c>
      <c r="K108" s="60">
        <f t="shared" si="17"/>
        <v>0</v>
      </c>
      <c r="L108" s="60">
        <f t="shared" si="18"/>
        <v>0</v>
      </c>
      <c r="M108" s="257">
        <f t="shared" si="19"/>
        <v>0</v>
      </c>
    </row>
    <row r="109" spans="2:13">
      <c r="B109" s="59" t="s">
        <v>192</v>
      </c>
      <c r="C109" s="60" t="s">
        <v>96</v>
      </c>
      <c r="D109" s="60" t="s">
        <v>23</v>
      </c>
      <c r="E109" s="60">
        <f>COUNTIFS(RETAIL!L:L,B109)</f>
        <v>3</v>
      </c>
      <c r="F109" s="60">
        <f>COUNTIFS(IH!K:K,B109,IH!S:S,"DISBURSED")</f>
        <v>2</v>
      </c>
      <c r="G109" s="257">
        <f t="shared" si="15"/>
        <v>0.666666666666667</v>
      </c>
      <c r="H109" s="60">
        <f>COUNTIFS([1]RETAIL!$L:$L,B109)</f>
        <v>0</v>
      </c>
      <c r="I109" s="60">
        <f>COUNTIFS([1]IH!$S:$S,"DISBURSED",[1]IH!$K:$K,B109)</f>
        <v>0</v>
      </c>
      <c r="J109" s="257">
        <f t="shared" si="16"/>
        <v>0</v>
      </c>
      <c r="K109" s="60">
        <f t="shared" si="17"/>
        <v>3</v>
      </c>
      <c r="L109" s="60">
        <f t="shared" si="18"/>
        <v>2</v>
      </c>
      <c r="M109" s="257">
        <f t="shared" si="19"/>
        <v>0.666666666666667</v>
      </c>
    </row>
    <row r="110" spans="2:13">
      <c r="B110" s="59" t="s">
        <v>193</v>
      </c>
      <c r="C110" s="60" t="s">
        <v>194</v>
      </c>
      <c r="D110" s="60" t="s">
        <v>125</v>
      </c>
      <c r="E110" s="60">
        <f>COUNTIFS(RETAIL!L:L,B110)</f>
        <v>0</v>
      </c>
      <c r="F110" s="60">
        <f>COUNTIFS(IH!K:K,B110,IH!S:S,"DISBURSED")</f>
        <v>0</v>
      </c>
      <c r="G110" s="257">
        <f t="shared" si="15"/>
        <v>0</v>
      </c>
      <c r="H110" s="60">
        <f>COUNTIFS([1]RETAIL!$L:$L,B110)</f>
        <v>0</v>
      </c>
      <c r="I110" s="60">
        <f>COUNTIFS([1]IH!$S:$S,"DISBURSED",[1]IH!$K:$K,B110)</f>
        <v>0</v>
      </c>
      <c r="J110" s="257">
        <f t="shared" si="16"/>
        <v>0</v>
      </c>
      <c r="K110" s="60">
        <f t="shared" si="17"/>
        <v>0</v>
      </c>
      <c r="L110" s="60">
        <f t="shared" si="18"/>
        <v>0</v>
      </c>
      <c r="M110" s="257">
        <f t="shared" si="19"/>
        <v>0</v>
      </c>
    </row>
    <row r="111" spans="2:13">
      <c r="B111" s="59" t="s">
        <v>195</v>
      </c>
      <c r="C111" s="60" t="s">
        <v>158</v>
      </c>
      <c r="D111" s="60" t="s">
        <v>29</v>
      </c>
      <c r="E111" s="60">
        <f>COUNTIFS(RETAIL!L:L,B111)</f>
        <v>1</v>
      </c>
      <c r="F111" s="60">
        <f>COUNTIFS(IH!K:K,B111,IH!S:S,"DISBURSED")</f>
        <v>0</v>
      </c>
      <c r="G111" s="257">
        <f t="shared" si="15"/>
        <v>0</v>
      </c>
      <c r="H111" s="60">
        <f>COUNTIFS([1]RETAIL!$L:$L,B111)</f>
        <v>1</v>
      </c>
      <c r="I111" s="60">
        <f>COUNTIFS([1]IH!$S:$S,"DISBURSED",[1]IH!$K:$K,B111)</f>
        <v>1</v>
      </c>
      <c r="J111" s="257">
        <f t="shared" si="16"/>
        <v>1</v>
      </c>
      <c r="K111" s="60">
        <f t="shared" si="17"/>
        <v>2</v>
      </c>
      <c r="L111" s="60">
        <f t="shared" si="18"/>
        <v>1</v>
      </c>
      <c r="M111" s="257">
        <f t="shared" si="19"/>
        <v>0.5</v>
      </c>
    </row>
    <row r="112" spans="2:13">
      <c r="B112" s="59" t="s">
        <v>196</v>
      </c>
      <c r="C112" s="60" t="s">
        <v>106</v>
      </c>
      <c r="D112" s="60" t="s">
        <v>107</v>
      </c>
      <c r="E112" s="60">
        <f>COUNTIFS(RETAIL!L:L,B112)</f>
        <v>0</v>
      </c>
      <c r="F112" s="60">
        <f>COUNTIFS(IH!K:K,B112,IH!S:S,"DISBURSED")</f>
        <v>0</v>
      </c>
      <c r="G112" s="257">
        <f t="shared" si="15"/>
        <v>0</v>
      </c>
      <c r="H112" s="60">
        <f>COUNTIFS([1]RETAIL!$L:$L,B112)</f>
        <v>0</v>
      </c>
      <c r="I112" s="60">
        <f>COUNTIFS([1]IH!$S:$S,"DISBURSED",[1]IH!$K:$K,B112)</f>
        <v>0</v>
      </c>
      <c r="J112" s="257">
        <f t="shared" si="16"/>
        <v>0</v>
      </c>
      <c r="K112" s="60">
        <f t="shared" si="17"/>
        <v>0</v>
      </c>
      <c r="L112" s="60">
        <f t="shared" si="18"/>
        <v>0</v>
      </c>
      <c r="M112" s="257">
        <f t="shared" si="19"/>
        <v>0</v>
      </c>
    </row>
    <row r="113" spans="2:13">
      <c r="B113" s="59" t="s">
        <v>197</v>
      </c>
      <c r="C113" s="60" t="s">
        <v>124</v>
      </c>
      <c r="D113" s="60" t="s">
        <v>125</v>
      </c>
      <c r="E113" s="60">
        <f>COUNTIFS(RETAIL!L:L,B113)</f>
        <v>1</v>
      </c>
      <c r="F113" s="60">
        <f>COUNTIFS(IH!K:K,B113,IH!S:S,"DISBURSED")</f>
        <v>0</v>
      </c>
      <c r="G113" s="257">
        <f t="shared" si="15"/>
        <v>0</v>
      </c>
      <c r="H113" s="60">
        <f>COUNTIFS([1]RETAIL!$L:$L,B113)</f>
        <v>4</v>
      </c>
      <c r="I113" s="60">
        <f>COUNTIFS([1]IH!$S:$S,"DISBURSED",[1]IH!$K:$K,B113)</f>
        <v>5</v>
      </c>
      <c r="J113" s="257">
        <f t="shared" si="16"/>
        <v>1.25</v>
      </c>
      <c r="K113" s="60">
        <f t="shared" si="17"/>
        <v>5</v>
      </c>
      <c r="L113" s="60">
        <f t="shared" si="18"/>
        <v>5</v>
      </c>
      <c r="M113" s="257">
        <f t="shared" si="19"/>
        <v>1</v>
      </c>
    </row>
    <row r="114" spans="2:13">
      <c r="B114" s="59" t="s">
        <v>198</v>
      </c>
      <c r="C114" s="60" t="s">
        <v>186</v>
      </c>
      <c r="D114" s="60" t="s">
        <v>187</v>
      </c>
      <c r="E114" s="60">
        <f>COUNTIFS(RETAIL!L:L,B114)</f>
        <v>0</v>
      </c>
      <c r="F114" s="60">
        <f>COUNTIFS(IH!K:K,B114,IH!S:S,"DISBURSED")</f>
        <v>0</v>
      </c>
      <c r="G114" s="257">
        <f t="shared" si="15"/>
        <v>0</v>
      </c>
      <c r="H114" s="60">
        <f>COUNTIFS([1]RETAIL!$L:$L,B114)</f>
        <v>0</v>
      </c>
      <c r="I114" s="60">
        <f>COUNTIFS([1]IH!$S:$S,"DISBURSED",[1]IH!$K:$K,B114)</f>
        <v>0</v>
      </c>
      <c r="J114" s="257">
        <f t="shared" si="16"/>
        <v>0</v>
      </c>
      <c r="K114" s="60">
        <f t="shared" si="17"/>
        <v>0</v>
      </c>
      <c r="L114" s="60">
        <f t="shared" si="18"/>
        <v>0</v>
      </c>
      <c r="M114" s="257">
        <f t="shared" si="19"/>
        <v>0</v>
      </c>
    </row>
    <row r="115" spans="2:13">
      <c r="B115" s="59" t="s">
        <v>199</v>
      </c>
      <c r="C115" s="60" t="s">
        <v>186</v>
      </c>
      <c r="D115" s="60" t="s">
        <v>187</v>
      </c>
      <c r="E115" s="60">
        <f>COUNTIFS(RETAIL!L:L,B115)</f>
        <v>0</v>
      </c>
      <c r="F115" s="60">
        <f>COUNTIFS(IH!K:K,B115,IH!S:S,"DISBURSED")</f>
        <v>0</v>
      </c>
      <c r="G115" s="257">
        <f t="shared" si="15"/>
        <v>0</v>
      </c>
      <c r="H115" s="60">
        <f>COUNTIFS([1]RETAIL!$L:$L,B115)</f>
        <v>1</v>
      </c>
      <c r="I115" s="60">
        <f>COUNTIFS([1]IH!$S:$S,"DISBURSED",[1]IH!$K:$K,B115)</f>
        <v>1</v>
      </c>
      <c r="J115" s="257">
        <f t="shared" si="16"/>
        <v>1</v>
      </c>
      <c r="K115" s="60">
        <f t="shared" si="17"/>
        <v>1</v>
      </c>
      <c r="L115" s="60">
        <f t="shared" si="18"/>
        <v>1</v>
      </c>
      <c r="M115" s="257">
        <f t="shared" si="19"/>
        <v>1</v>
      </c>
    </row>
    <row r="116" spans="2:13">
      <c r="B116" s="59" t="s">
        <v>200</v>
      </c>
      <c r="C116" s="60" t="s">
        <v>168</v>
      </c>
      <c r="D116" s="60" t="s">
        <v>38</v>
      </c>
      <c r="E116" s="60">
        <f>COUNTIFS(RETAIL!L:L,B116)</f>
        <v>0</v>
      </c>
      <c r="F116" s="60">
        <f>COUNTIFS(IH!K:K,B116,IH!S:S,"DISBURSED")</f>
        <v>0</v>
      </c>
      <c r="G116" s="257">
        <f t="shared" si="15"/>
        <v>0</v>
      </c>
      <c r="H116" s="60">
        <f>COUNTIFS([1]RETAIL!$L:$L,B116)</f>
        <v>0</v>
      </c>
      <c r="I116" s="60">
        <f>COUNTIFS([1]IH!$S:$S,"DISBURSED",[1]IH!$K:$K,B116)</f>
        <v>0</v>
      </c>
      <c r="J116" s="257">
        <f t="shared" si="16"/>
        <v>0</v>
      </c>
      <c r="K116" s="60">
        <f t="shared" si="17"/>
        <v>0</v>
      </c>
      <c r="L116" s="60">
        <f t="shared" si="18"/>
        <v>0</v>
      </c>
      <c r="M116" s="257">
        <f t="shared" si="19"/>
        <v>0</v>
      </c>
    </row>
    <row r="117" spans="2:13">
      <c r="B117" s="59" t="s">
        <v>201</v>
      </c>
      <c r="C117" s="60" t="s">
        <v>168</v>
      </c>
      <c r="D117" s="60" t="s">
        <v>38</v>
      </c>
      <c r="E117" s="60">
        <f>COUNTIFS(RETAIL!L:L,B117)</f>
        <v>3</v>
      </c>
      <c r="F117" s="60">
        <f>COUNTIFS(IH!K:K,B117,IH!S:S,"DISBURSED")</f>
        <v>1</v>
      </c>
      <c r="G117" s="257">
        <f t="shared" si="15"/>
        <v>0.333333333333333</v>
      </c>
      <c r="H117" s="60">
        <f>COUNTIFS([1]RETAIL!$L:$L,B117)</f>
        <v>1</v>
      </c>
      <c r="I117" s="60">
        <f>COUNTIFS([1]IH!$S:$S,"DISBURSED",[1]IH!$K:$K,B117)</f>
        <v>1</v>
      </c>
      <c r="J117" s="257">
        <f t="shared" si="16"/>
        <v>1</v>
      </c>
      <c r="K117" s="60">
        <f t="shared" si="17"/>
        <v>4</v>
      </c>
      <c r="L117" s="60">
        <f t="shared" si="18"/>
        <v>2</v>
      </c>
      <c r="M117" s="257">
        <f t="shared" si="19"/>
        <v>0.5</v>
      </c>
    </row>
    <row r="118" spans="2:13">
      <c r="B118" s="59" t="s">
        <v>202</v>
      </c>
      <c r="C118" s="60" t="s">
        <v>92</v>
      </c>
      <c r="D118" s="60" t="s">
        <v>23</v>
      </c>
      <c r="E118" s="60">
        <f>COUNTIFS(RETAIL!L:L,B118)</f>
        <v>1</v>
      </c>
      <c r="F118" s="60">
        <f>COUNTIFS(IH!K:K,B118,IH!S:S,"DISBURSED")</f>
        <v>0</v>
      </c>
      <c r="G118" s="257">
        <f t="shared" si="15"/>
        <v>0</v>
      </c>
      <c r="H118" s="60">
        <f>COUNTIFS([1]RETAIL!$L:$L,B118)</f>
        <v>0</v>
      </c>
      <c r="I118" s="60">
        <f>COUNTIFS([1]IH!$S:$S,"DISBURSED",[1]IH!$K:$K,B118)</f>
        <v>0</v>
      </c>
      <c r="J118" s="257">
        <f t="shared" si="16"/>
        <v>0</v>
      </c>
      <c r="K118" s="60">
        <f t="shared" si="17"/>
        <v>1</v>
      </c>
      <c r="L118" s="60">
        <f t="shared" si="18"/>
        <v>0</v>
      </c>
      <c r="M118" s="257">
        <f t="shared" si="19"/>
        <v>0</v>
      </c>
    </row>
    <row r="119" spans="2:13">
      <c r="B119" s="59" t="s">
        <v>203</v>
      </c>
      <c r="C119" s="60" t="s">
        <v>54</v>
      </c>
      <c r="D119" s="60" t="s">
        <v>11</v>
      </c>
      <c r="E119" s="60">
        <f>COUNTIFS(RETAIL!L:L,B119)</f>
        <v>0</v>
      </c>
      <c r="F119" s="60">
        <f>COUNTIFS(IH!K:K,B119,IH!S:S,"DISBURSED")</f>
        <v>0</v>
      </c>
      <c r="G119" s="257">
        <f t="shared" si="15"/>
        <v>0</v>
      </c>
      <c r="H119" s="60">
        <f>COUNTIFS([1]RETAIL!$L:$L,B119)</f>
        <v>0</v>
      </c>
      <c r="I119" s="60">
        <f>COUNTIFS([1]IH!$S:$S,"DISBURSED",[1]IH!$K:$K,B119)</f>
        <v>0</v>
      </c>
      <c r="J119" s="257">
        <f t="shared" si="16"/>
        <v>0</v>
      </c>
      <c r="K119" s="60">
        <f t="shared" si="17"/>
        <v>0</v>
      </c>
      <c r="L119" s="60">
        <f t="shared" si="18"/>
        <v>0</v>
      </c>
      <c r="M119" s="257">
        <f t="shared" si="19"/>
        <v>0</v>
      </c>
    </row>
    <row r="120" spans="2:13">
      <c r="B120" s="59" t="s">
        <v>204</v>
      </c>
      <c r="C120" s="60" t="s">
        <v>186</v>
      </c>
      <c r="D120" s="60" t="s">
        <v>187</v>
      </c>
      <c r="E120" s="60">
        <f>COUNTIFS(RETAIL!L:L,B120)</f>
        <v>0</v>
      </c>
      <c r="F120" s="60">
        <f>COUNTIFS(IH!K:K,B120,IH!S:S,"DISBURSED")</f>
        <v>0</v>
      </c>
      <c r="G120" s="257">
        <f t="shared" si="15"/>
        <v>0</v>
      </c>
      <c r="H120" s="60">
        <f>COUNTIFS([1]RETAIL!$L:$L,B120)</f>
        <v>0</v>
      </c>
      <c r="I120" s="60">
        <f>COUNTIFS([1]IH!$S:$S,"DISBURSED",[1]IH!$K:$K,B120)</f>
        <v>0</v>
      </c>
      <c r="J120" s="257">
        <f t="shared" si="16"/>
        <v>0</v>
      </c>
      <c r="K120" s="60">
        <f t="shared" si="17"/>
        <v>0</v>
      </c>
      <c r="L120" s="60">
        <f t="shared" si="18"/>
        <v>0</v>
      </c>
      <c r="M120" s="257">
        <f t="shared" si="19"/>
        <v>0</v>
      </c>
    </row>
    <row r="121" spans="2:13">
      <c r="B121" s="59" t="s">
        <v>205</v>
      </c>
      <c r="C121" s="60" t="s">
        <v>56</v>
      </c>
      <c r="D121" s="60" t="s">
        <v>13</v>
      </c>
      <c r="E121" s="60">
        <f>COUNTIFS(RETAIL!L:L,B121)</f>
        <v>0</v>
      </c>
      <c r="F121" s="60">
        <f>COUNTIFS(IH!K:K,B121,IH!S:S,"DISBURSED")</f>
        <v>0</v>
      </c>
      <c r="G121" s="257">
        <f t="shared" si="15"/>
        <v>0</v>
      </c>
      <c r="H121" s="60">
        <f>COUNTIFS([1]RETAIL!$L:$L,B121)</f>
        <v>0</v>
      </c>
      <c r="I121" s="60">
        <f>COUNTIFS([1]IH!$S:$S,"DISBURSED",[1]IH!$K:$K,B121)</f>
        <v>0</v>
      </c>
      <c r="J121" s="257">
        <f t="shared" si="16"/>
        <v>0</v>
      </c>
      <c r="K121" s="60">
        <f t="shared" si="17"/>
        <v>0</v>
      </c>
      <c r="L121" s="60">
        <f t="shared" si="18"/>
        <v>0</v>
      </c>
      <c r="M121" s="257">
        <f t="shared" si="19"/>
        <v>0</v>
      </c>
    </row>
    <row r="122" spans="2:13">
      <c r="B122" s="59" t="s">
        <v>206</v>
      </c>
      <c r="C122" s="60" t="s">
        <v>158</v>
      </c>
      <c r="D122" s="60" t="s">
        <v>29</v>
      </c>
      <c r="E122" s="60">
        <f>COUNTIFS(RETAIL!L:L,B122)</f>
        <v>0</v>
      </c>
      <c r="F122" s="60">
        <f>COUNTIFS(IH!K:K,B122,IH!S:S,"DISBURSED")</f>
        <v>0</v>
      </c>
      <c r="G122" s="257">
        <f t="shared" si="15"/>
        <v>0</v>
      </c>
      <c r="H122" s="60">
        <f>COUNTIFS([1]RETAIL!$L:$L,B122)</f>
        <v>0</v>
      </c>
      <c r="I122" s="60">
        <f>COUNTIFS([1]IH!$S:$S,"DISBURSED",[1]IH!$K:$K,B122)</f>
        <v>0</v>
      </c>
      <c r="J122" s="257">
        <f t="shared" si="16"/>
        <v>0</v>
      </c>
      <c r="K122" s="60">
        <f t="shared" si="17"/>
        <v>0</v>
      </c>
      <c r="L122" s="60">
        <f t="shared" si="18"/>
        <v>0</v>
      </c>
      <c r="M122" s="257">
        <f t="shared" si="19"/>
        <v>0</v>
      </c>
    </row>
    <row r="123" spans="2:13">
      <c r="B123" s="59" t="s">
        <v>207</v>
      </c>
      <c r="C123" s="60" t="s">
        <v>106</v>
      </c>
      <c r="D123" s="60" t="s">
        <v>107</v>
      </c>
      <c r="E123" s="60">
        <f>COUNTIFS(RETAIL!L:L,B123)</f>
        <v>0</v>
      </c>
      <c r="F123" s="60">
        <f>COUNTIFS(IH!K:K,B123,IH!S:S,"DISBURSED")</f>
        <v>0</v>
      </c>
      <c r="G123" s="257">
        <f t="shared" si="15"/>
        <v>0</v>
      </c>
      <c r="H123" s="60">
        <f>COUNTIFS([1]RETAIL!$L:$L,B123)</f>
        <v>0</v>
      </c>
      <c r="I123" s="60">
        <f>COUNTIFS([1]IH!$S:$S,"DISBURSED",[1]IH!$K:$K,B123)</f>
        <v>1</v>
      </c>
      <c r="J123" s="257">
        <f t="shared" si="16"/>
        <v>0</v>
      </c>
      <c r="K123" s="60">
        <f t="shared" si="17"/>
        <v>0</v>
      </c>
      <c r="L123" s="60">
        <f t="shared" si="18"/>
        <v>1</v>
      </c>
      <c r="M123" s="257">
        <f t="shared" si="19"/>
        <v>0</v>
      </c>
    </row>
    <row r="124" spans="2:13">
      <c r="B124" s="59" t="s">
        <v>208</v>
      </c>
      <c r="C124" s="60" t="s">
        <v>209</v>
      </c>
      <c r="D124" s="60" t="s">
        <v>100</v>
      </c>
      <c r="E124" s="60">
        <f>COUNTIFS(RETAIL!L:L,B124)</f>
        <v>1</v>
      </c>
      <c r="F124" s="60">
        <f>COUNTIFS(IH!K:K,B124,IH!S:S,"DISBURSED")</f>
        <v>1</v>
      </c>
      <c r="G124" s="257">
        <f t="shared" si="15"/>
        <v>1</v>
      </c>
      <c r="H124" s="60">
        <f>COUNTIFS([1]RETAIL!$L:$L,B124)</f>
        <v>2</v>
      </c>
      <c r="I124" s="60">
        <f>COUNTIFS([1]IH!$S:$S,"DISBURSED",[1]IH!$K:$K,B124)</f>
        <v>1</v>
      </c>
      <c r="J124" s="257">
        <f t="shared" si="16"/>
        <v>0.5</v>
      </c>
      <c r="K124" s="60">
        <f t="shared" si="17"/>
        <v>3</v>
      </c>
      <c r="L124" s="60">
        <f t="shared" si="18"/>
        <v>2</v>
      </c>
      <c r="M124" s="257">
        <f t="shared" si="19"/>
        <v>0.666666666666667</v>
      </c>
    </row>
    <row r="125" spans="2:13">
      <c r="B125" s="59" t="s">
        <v>210</v>
      </c>
      <c r="C125" s="59" t="s">
        <v>194</v>
      </c>
      <c r="D125" s="60" t="s">
        <v>125</v>
      </c>
      <c r="E125" s="60">
        <f>COUNTIFS(RETAIL!L:L,B125)</f>
        <v>0</v>
      </c>
      <c r="F125" s="60">
        <f>COUNTIFS(IH!K:K,B125,IH!S:S,"DISBURSED")</f>
        <v>0</v>
      </c>
      <c r="G125" s="257">
        <f t="shared" si="15"/>
        <v>0</v>
      </c>
      <c r="H125" s="60">
        <f>COUNTIFS([1]RETAIL!$L:$L,B125)</f>
        <v>0</v>
      </c>
      <c r="I125" s="60">
        <f>COUNTIFS([1]IH!$S:$S,"DISBURSED",[1]IH!$K:$K,B125)</f>
        <v>0</v>
      </c>
      <c r="J125" s="257">
        <f t="shared" si="16"/>
        <v>0</v>
      </c>
      <c r="K125" s="60">
        <f t="shared" si="17"/>
        <v>0</v>
      </c>
      <c r="L125" s="60">
        <f t="shared" si="18"/>
        <v>0</v>
      </c>
      <c r="M125" s="257">
        <f t="shared" si="19"/>
        <v>0</v>
      </c>
    </row>
    <row r="126" spans="2:13">
      <c r="B126" s="59" t="s">
        <v>211</v>
      </c>
      <c r="C126" s="59" t="s">
        <v>131</v>
      </c>
      <c r="D126" s="60" t="s">
        <v>125</v>
      </c>
      <c r="E126" s="60">
        <f>COUNTIFS(RETAIL!L:L,B126)</f>
        <v>0</v>
      </c>
      <c r="F126" s="60">
        <f>COUNTIFS(IH!K:K,B126,IH!S:S,"DISBURSED")</f>
        <v>0</v>
      </c>
      <c r="G126" s="257">
        <f t="shared" si="15"/>
        <v>0</v>
      </c>
      <c r="H126" s="60">
        <f>COUNTIFS([1]RETAIL!$L:$L,B126)</f>
        <v>2</v>
      </c>
      <c r="I126" s="60">
        <f>COUNTIFS([1]IH!$S:$S,"DISBURSED",[1]IH!$K:$K,B126)</f>
        <v>2</v>
      </c>
      <c r="J126" s="257">
        <f t="shared" si="16"/>
        <v>1</v>
      </c>
      <c r="K126" s="60">
        <f t="shared" si="17"/>
        <v>2</v>
      </c>
      <c r="L126" s="60">
        <f t="shared" si="18"/>
        <v>2</v>
      </c>
      <c r="M126" s="257">
        <f t="shared" si="19"/>
        <v>1</v>
      </c>
    </row>
    <row r="127" spans="2:13">
      <c r="B127" s="59" t="s">
        <v>212</v>
      </c>
      <c r="C127" s="59" t="s">
        <v>127</v>
      </c>
      <c r="D127" s="60" t="s">
        <v>125</v>
      </c>
      <c r="E127" s="60">
        <f>COUNTIFS(RETAIL!L:L,B127)</f>
        <v>0</v>
      </c>
      <c r="F127" s="60">
        <f>COUNTIFS(IH!K:K,B127,IH!S:S,"DISBURSED")</f>
        <v>0</v>
      </c>
      <c r="G127" s="257">
        <f t="shared" si="15"/>
        <v>0</v>
      </c>
      <c r="H127" s="60">
        <f>COUNTIFS([1]RETAIL!$L:$L,B127)</f>
        <v>0</v>
      </c>
      <c r="I127" s="60">
        <f>COUNTIFS([1]IH!$S:$S,"DISBURSED",[1]IH!$K:$K,B127)</f>
        <v>0</v>
      </c>
      <c r="J127" s="257">
        <f t="shared" si="16"/>
        <v>0</v>
      </c>
      <c r="K127" s="60">
        <f t="shared" si="17"/>
        <v>0</v>
      </c>
      <c r="L127" s="60">
        <f t="shared" si="18"/>
        <v>0</v>
      </c>
      <c r="M127" s="257">
        <f t="shared" si="19"/>
        <v>0</v>
      </c>
    </row>
    <row r="128" spans="2:13">
      <c r="B128" s="58" t="s">
        <v>213</v>
      </c>
      <c r="C128" s="60" t="s">
        <v>168</v>
      </c>
      <c r="D128" s="59" t="s">
        <v>38</v>
      </c>
      <c r="E128" s="60">
        <f>COUNTIFS(RETAIL!L:L,B128)</f>
        <v>6</v>
      </c>
      <c r="F128" s="60">
        <f>COUNTIFS(IH!K:K,B128,IH!S:S,"DISBURSED")</f>
        <v>3</v>
      </c>
      <c r="G128" s="257">
        <f t="shared" si="15"/>
        <v>0.5</v>
      </c>
      <c r="H128" s="60">
        <f>COUNTIFS([1]RETAIL!$L:$L,B128)</f>
        <v>1</v>
      </c>
      <c r="I128" s="60">
        <f>COUNTIFS([1]IH!$S:$S,"DISBURSED",[1]IH!$K:$K,B128)</f>
        <v>1</v>
      </c>
      <c r="J128" s="257">
        <f t="shared" si="16"/>
        <v>1</v>
      </c>
      <c r="K128" s="60">
        <f t="shared" si="17"/>
        <v>7</v>
      </c>
      <c r="L128" s="60">
        <f t="shared" si="18"/>
        <v>4</v>
      </c>
      <c r="M128" s="257">
        <f t="shared" si="19"/>
        <v>0.571428571428571</v>
      </c>
    </row>
    <row r="129" spans="2:13">
      <c r="B129" s="58" t="s">
        <v>214</v>
      </c>
      <c r="C129" s="59" t="s">
        <v>94</v>
      </c>
      <c r="D129" s="59" t="s">
        <v>23</v>
      </c>
      <c r="E129" s="60">
        <f>COUNTIFS(RETAIL!L:L,B129)</f>
        <v>1</v>
      </c>
      <c r="F129" s="60">
        <f>COUNTIFS(IH!K:K,B129,IH!S:S,"DISBURSED")</f>
        <v>2</v>
      </c>
      <c r="G129" s="257">
        <f t="shared" si="15"/>
        <v>2</v>
      </c>
      <c r="H129" s="60">
        <f>COUNTIFS([1]RETAIL!$L:$L,B129)</f>
        <v>1</v>
      </c>
      <c r="I129" s="60">
        <f>COUNTIFS([1]IH!$S:$S,"DISBURSED",[1]IH!$K:$K,B129)</f>
        <v>0</v>
      </c>
      <c r="J129" s="257">
        <f t="shared" si="16"/>
        <v>0</v>
      </c>
      <c r="K129" s="60">
        <f t="shared" si="17"/>
        <v>2</v>
      </c>
      <c r="L129" s="60">
        <f t="shared" si="18"/>
        <v>2</v>
      </c>
      <c r="M129" s="257">
        <f t="shared" si="19"/>
        <v>1</v>
      </c>
    </row>
    <row r="130" spans="2:13">
      <c r="B130" s="58" t="s">
        <v>215</v>
      </c>
      <c r="C130" s="59" t="s">
        <v>124</v>
      </c>
      <c r="D130" s="59" t="s">
        <v>125</v>
      </c>
      <c r="E130" s="60">
        <f>COUNTIFS(RETAIL!L:L,B130)</f>
        <v>0</v>
      </c>
      <c r="F130" s="60">
        <f>COUNTIFS(IH!K:K,B130,IH!S:S,"DISBURSED")</f>
        <v>0</v>
      </c>
      <c r="G130" s="257">
        <f t="shared" si="15"/>
        <v>0</v>
      </c>
      <c r="H130" s="60">
        <f>COUNTIFS([1]RETAIL!$L:$L,B130)</f>
        <v>0</v>
      </c>
      <c r="I130" s="60">
        <f>COUNTIFS([1]IH!$S:$S,"DISBURSED",[1]IH!$K:$K,B130)</f>
        <v>0</v>
      </c>
      <c r="J130" s="257">
        <f t="shared" si="16"/>
        <v>0</v>
      </c>
      <c r="K130" s="60">
        <f t="shared" si="17"/>
        <v>0</v>
      </c>
      <c r="L130" s="60">
        <f t="shared" si="18"/>
        <v>0</v>
      </c>
      <c r="M130" s="257">
        <f t="shared" si="19"/>
        <v>0</v>
      </c>
    </row>
    <row r="131" spans="2:13">
      <c r="B131" s="58" t="s">
        <v>216</v>
      </c>
      <c r="C131" s="59" t="s">
        <v>129</v>
      </c>
      <c r="D131" s="59" t="s">
        <v>125</v>
      </c>
      <c r="E131" s="60">
        <f>COUNTIFS(RETAIL!L:L,B131)</f>
        <v>0</v>
      </c>
      <c r="F131" s="60">
        <f>COUNTIFS(IH!K:K,B131,IH!S:S,"DISBURSED")</f>
        <v>0</v>
      </c>
      <c r="G131" s="257">
        <f t="shared" si="15"/>
        <v>0</v>
      </c>
      <c r="H131" s="60">
        <f>COUNTIFS([1]RETAIL!$L:$L,B131)</f>
        <v>3</v>
      </c>
      <c r="I131" s="60">
        <f>COUNTIFS([1]IH!$S:$S,"DISBURSED",[1]IH!$K:$K,B131)</f>
        <v>1</v>
      </c>
      <c r="J131" s="257">
        <f t="shared" si="16"/>
        <v>0.333333333333333</v>
      </c>
      <c r="K131" s="60">
        <f t="shared" si="17"/>
        <v>3</v>
      </c>
      <c r="L131" s="60">
        <f t="shared" si="18"/>
        <v>1</v>
      </c>
      <c r="M131" s="257">
        <f t="shared" si="19"/>
        <v>0.333333333333333</v>
      </c>
    </row>
    <row r="132" spans="2:13">
      <c r="B132" s="383" t="s">
        <v>217</v>
      </c>
      <c r="C132" s="59" t="s">
        <v>133</v>
      </c>
      <c r="D132" s="59" t="s">
        <v>125</v>
      </c>
      <c r="E132" s="60">
        <f>COUNTIFS(RETAIL!L:L,B132)</f>
        <v>0</v>
      </c>
      <c r="F132" s="60">
        <f>COUNTIFS(IH!K:K,B132,IH!S:S,"DISBURSED")</f>
        <v>0</v>
      </c>
      <c r="G132" s="257">
        <f t="shared" si="15"/>
        <v>0</v>
      </c>
      <c r="H132" s="60">
        <f>COUNTIFS([1]RETAIL!$L:$L,B132)</f>
        <v>0</v>
      </c>
      <c r="I132" s="60">
        <f>COUNTIFS([1]IH!$S:$S,"DISBURSED",[1]IH!$K:$K,B132)</f>
        <v>0</v>
      </c>
      <c r="J132" s="257">
        <f t="shared" si="16"/>
        <v>0</v>
      </c>
      <c r="K132" s="60">
        <f t="shared" si="17"/>
        <v>0</v>
      </c>
      <c r="L132" s="60">
        <f t="shared" si="18"/>
        <v>0</v>
      </c>
      <c r="M132" s="257">
        <f t="shared" si="19"/>
        <v>0</v>
      </c>
    </row>
    <row r="133" spans="2:13">
      <c r="B133" s="58" t="s">
        <v>218</v>
      </c>
      <c r="C133" s="59" t="s">
        <v>56</v>
      </c>
      <c r="D133" s="59" t="s">
        <v>13</v>
      </c>
      <c r="E133" s="60">
        <f>COUNTIFS(RETAIL!L:L,B133)</f>
        <v>2</v>
      </c>
      <c r="F133" s="60">
        <f>COUNTIFS(IH!K:K,B133,IH!S:S,"DISBURSED")</f>
        <v>2</v>
      </c>
      <c r="G133" s="257">
        <f t="shared" si="15"/>
        <v>1</v>
      </c>
      <c r="H133" s="60">
        <f>COUNTIFS([1]RETAIL!$L:$L,B133)</f>
        <v>1</v>
      </c>
      <c r="I133" s="60">
        <f>COUNTIFS([1]IH!$S:$S,"DISBURSED",[1]IH!$K:$K,B133)</f>
        <v>1</v>
      </c>
      <c r="J133" s="257">
        <f t="shared" si="16"/>
        <v>1</v>
      </c>
      <c r="K133" s="60">
        <f t="shared" si="17"/>
        <v>3</v>
      </c>
      <c r="L133" s="60">
        <f t="shared" si="18"/>
        <v>3</v>
      </c>
      <c r="M133" s="257">
        <f t="shared" si="19"/>
        <v>1</v>
      </c>
    </row>
    <row r="134" spans="2:13">
      <c r="B134" s="58" t="s">
        <v>219</v>
      </c>
      <c r="C134" s="59" t="s">
        <v>88</v>
      </c>
      <c r="D134" s="59" t="s">
        <v>19</v>
      </c>
      <c r="E134" s="60">
        <f>COUNTIFS(RETAIL!L:L,B134)</f>
        <v>0</v>
      </c>
      <c r="F134" s="60">
        <f>COUNTIFS(IH!K:K,B134,IH!S:S,"DISBURSED")</f>
        <v>0</v>
      </c>
      <c r="G134" s="257">
        <f t="shared" si="15"/>
        <v>0</v>
      </c>
      <c r="H134" s="60">
        <f>COUNTIFS([1]RETAIL!$L:$L,B134)</f>
        <v>0</v>
      </c>
      <c r="I134" s="60">
        <f>COUNTIFS([1]IH!$S:$S,"DISBURSED",[1]IH!$K:$K,B134)</f>
        <v>0</v>
      </c>
      <c r="J134" s="257">
        <f t="shared" si="16"/>
        <v>0</v>
      </c>
      <c r="K134" s="60">
        <f t="shared" si="17"/>
        <v>0</v>
      </c>
      <c r="L134" s="60">
        <f t="shared" si="18"/>
        <v>0</v>
      </c>
      <c r="M134" s="257">
        <f t="shared" si="19"/>
        <v>0</v>
      </c>
    </row>
    <row r="135" spans="2:13">
      <c r="B135" s="58" t="s">
        <v>220</v>
      </c>
      <c r="C135" s="60" t="s">
        <v>186</v>
      </c>
      <c r="D135" s="59" t="s">
        <v>187</v>
      </c>
      <c r="E135" s="60">
        <f>COUNTIFS(RETAIL!L:L,B135)</f>
        <v>0</v>
      </c>
      <c r="F135" s="60">
        <f>COUNTIFS(IH!K:K,B135,IH!S:S,"DISBURSED")</f>
        <v>0</v>
      </c>
      <c r="G135" s="257">
        <f t="shared" si="15"/>
        <v>0</v>
      </c>
      <c r="H135" s="60">
        <f>COUNTIFS([1]RETAIL!$L:$L,B135)</f>
        <v>0</v>
      </c>
      <c r="I135" s="60">
        <f>COUNTIFS([1]IH!$S:$S,"DISBURSED",[1]IH!$K:$K,B135)</f>
        <v>0</v>
      </c>
      <c r="J135" s="257">
        <f t="shared" si="16"/>
        <v>0</v>
      </c>
      <c r="K135" s="60">
        <f t="shared" si="17"/>
        <v>0</v>
      </c>
      <c r="L135" s="60">
        <f t="shared" si="18"/>
        <v>0</v>
      </c>
      <c r="M135" s="257">
        <f t="shared" si="19"/>
        <v>0</v>
      </c>
    </row>
    <row r="136" spans="2:13">
      <c r="B136" s="58" t="s">
        <v>221</v>
      </c>
      <c r="C136" s="59" t="s">
        <v>59</v>
      </c>
      <c r="D136" s="59" t="s">
        <v>15</v>
      </c>
      <c r="E136" s="60">
        <f>COUNTIFS(RETAIL!L:L,B136)</f>
        <v>1</v>
      </c>
      <c r="F136" s="60">
        <f>COUNTIFS(IH!K:K,B136,IH!S:S,"DISBURSED")</f>
        <v>0</v>
      </c>
      <c r="G136" s="257">
        <f t="shared" si="15"/>
        <v>0</v>
      </c>
      <c r="H136" s="60">
        <f>COUNTIFS([1]RETAIL!$L:$L,B136)</f>
        <v>0</v>
      </c>
      <c r="I136" s="60">
        <f>COUNTIFS([1]IH!$S:$S,"DISBURSED",[1]IH!$K:$K,B136)</f>
        <v>0</v>
      </c>
      <c r="J136" s="257">
        <f t="shared" si="16"/>
        <v>0</v>
      </c>
      <c r="K136" s="60">
        <f t="shared" si="17"/>
        <v>1</v>
      </c>
      <c r="L136" s="60">
        <f t="shared" si="18"/>
        <v>0</v>
      </c>
      <c r="M136" s="257">
        <f t="shared" si="19"/>
        <v>0</v>
      </c>
    </row>
    <row r="137" spans="2:13">
      <c r="B137" s="58" t="s">
        <v>222</v>
      </c>
      <c r="C137" s="59" t="s">
        <v>56</v>
      </c>
      <c r="D137" s="59" t="s">
        <v>13</v>
      </c>
      <c r="E137" s="60">
        <f>COUNTIFS(RETAIL!L:L,B137)</f>
        <v>1</v>
      </c>
      <c r="F137" s="60">
        <f>COUNTIFS(IH!K:K,B137,IH!S:S,"DISBURSED")</f>
        <v>1</v>
      </c>
      <c r="G137" s="257">
        <f t="shared" si="15"/>
        <v>1</v>
      </c>
      <c r="H137" s="60">
        <f>COUNTIFS([1]RETAIL!$L:$L,B137)</f>
        <v>0</v>
      </c>
      <c r="I137" s="60">
        <f>COUNTIFS([1]IH!$S:$S,"DISBURSED",[1]IH!$K:$K,B137)</f>
        <v>0</v>
      </c>
      <c r="J137" s="257">
        <f t="shared" si="16"/>
        <v>0</v>
      </c>
      <c r="K137" s="60">
        <f t="shared" si="17"/>
        <v>1</v>
      </c>
      <c r="L137" s="60">
        <f t="shared" si="18"/>
        <v>1</v>
      </c>
      <c r="M137" s="257">
        <f t="shared" si="19"/>
        <v>1</v>
      </c>
    </row>
    <row r="138" spans="2:13">
      <c r="B138" s="58" t="s">
        <v>223</v>
      </c>
      <c r="C138" s="59" t="s">
        <v>99</v>
      </c>
      <c r="D138" s="60" t="s">
        <v>100</v>
      </c>
      <c r="E138" s="60">
        <f>COUNTIFS(RETAIL!L:L,B138)</f>
        <v>0</v>
      </c>
      <c r="F138" s="60">
        <f>COUNTIFS(IH!K:K,B138,IH!S:S,"DISBURSED")</f>
        <v>0</v>
      </c>
      <c r="G138" s="257">
        <f t="shared" si="15"/>
        <v>0</v>
      </c>
      <c r="H138" s="60">
        <f>COUNTIFS([1]RETAIL!$L:$L,B138)</f>
        <v>0</v>
      </c>
      <c r="I138" s="60">
        <f>COUNTIFS([1]IH!$S:$S,"DISBURSED",[1]IH!$K:$K,B138)</f>
        <v>0</v>
      </c>
      <c r="J138" s="257">
        <f t="shared" si="16"/>
        <v>0</v>
      </c>
      <c r="K138" s="60">
        <f t="shared" si="17"/>
        <v>0</v>
      </c>
      <c r="L138" s="60">
        <f t="shared" si="18"/>
        <v>0</v>
      </c>
      <c r="M138" s="257">
        <f t="shared" si="19"/>
        <v>0</v>
      </c>
    </row>
    <row r="139" spans="2:13">
      <c r="B139" s="58" t="s">
        <v>224</v>
      </c>
      <c r="C139" s="59" t="s">
        <v>174</v>
      </c>
      <c r="D139" s="59" t="s">
        <v>175</v>
      </c>
      <c r="E139" s="60">
        <f>COUNTIFS(RETAIL!L:L,B139)</f>
        <v>0</v>
      </c>
      <c r="F139" s="60">
        <f>COUNTIFS(IH!K:K,B139,IH!S:S,"DISBURSED")</f>
        <v>0</v>
      </c>
      <c r="G139" s="257">
        <f t="shared" si="15"/>
        <v>0</v>
      </c>
      <c r="H139" s="60">
        <f>COUNTIFS([1]RETAIL!$L:$L,B139)</f>
        <v>0</v>
      </c>
      <c r="I139" s="60">
        <f>COUNTIFS([1]IH!$S:$S,"DISBURSED",[1]IH!$K:$K,B139)</f>
        <v>0</v>
      </c>
      <c r="J139" s="257">
        <f t="shared" si="16"/>
        <v>0</v>
      </c>
      <c r="K139" s="60">
        <f t="shared" si="17"/>
        <v>0</v>
      </c>
      <c r="L139" s="60">
        <f t="shared" si="18"/>
        <v>0</v>
      </c>
      <c r="M139" s="257">
        <f t="shared" si="19"/>
        <v>0</v>
      </c>
    </row>
    <row r="140" spans="2:13">
      <c r="B140" s="58" t="s">
        <v>225</v>
      </c>
      <c r="C140" s="59" t="s">
        <v>110</v>
      </c>
      <c r="D140" s="59" t="s">
        <v>111</v>
      </c>
      <c r="E140" s="60">
        <f>COUNTIFS(RETAIL!L:L,B140)</f>
        <v>0</v>
      </c>
      <c r="F140" s="60">
        <f>COUNTIFS(IH!K:K,B140,IH!S:S,"DISBURSED")</f>
        <v>0</v>
      </c>
      <c r="G140" s="257">
        <f t="shared" si="15"/>
        <v>0</v>
      </c>
      <c r="H140" s="60">
        <f>COUNTIFS([1]RETAIL!$L:$L,B140)</f>
        <v>0</v>
      </c>
      <c r="I140" s="60">
        <f>COUNTIFS([1]IH!$S:$S,"DISBURSED",[1]IH!$K:$K,B140)</f>
        <v>0</v>
      </c>
      <c r="J140" s="257">
        <f t="shared" si="16"/>
        <v>0</v>
      </c>
      <c r="K140" s="60">
        <f t="shared" si="17"/>
        <v>0</v>
      </c>
      <c r="L140" s="60">
        <f t="shared" si="18"/>
        <v>0</v>
      </c>
      <c r="M140" s="257">
        <f t="shared" si="19"/>
        <v>0</v>
      </c>
    </row>
    <row r="141" spans="2:13">
      <c r="B141" s="59" t="s">
        <v>226</v>
      </c>
      <c r="C141" s="59" t="s">
        <v>88</v>
      </c>
      <c r="D141" s="59" t="s">
        <v>19</v>
      </c>
      <c r="E141" s="60">
        <f>COUNTIFS(RETAIL!L:L,B141)</f>
        <v>3</v>
      </c>
      <c r="F141" s="60">
        <f>COUNTIFS(IH!K:K,B141,IH!S:S,"DISBURSED")</f>
        <v>2</v>
      </c>
      <c r="G141" s="257">
        <f t="shared" si="15"/>
        <v>0.666666666666667</v>
      </c>
      <c r="H141" s="60">
        <f>COUNTIFS([1]RETAIL!$L:$L,B141)</f>
        <v>0</v>
      </c>
      <c r="I141" s="60">
        <f>COUNTIFS([1]IH!$S:$S,"DISBURSED",[1]IH!$K:$K,B141)</f>
        <v>0</v>
      </c>
      <c r="J141" s="257">
        <f t="shared" si="16"/>
        <v>0</v>
      </c>
      <c r="K141" s="60">
        <f t="shared" si="17"/>
        <v>3</v>
      </c>
      <c r="L141" s="60">
        <f t="shared" si="18"/>
        <v>2</v>
      </c>
      <c r="M141" s="257">
        <f t="shared" si="19"/>
        <v>0.666666666666667</v>
      </c>
    </row>
    <row r="142" spans="2:13">
      <c r="B142" s="58" t="s">
        <v>227</v>
      </c>
      <c r="C142" s="147" t="s">
        <v>106</v>
      </c>
      <c r="D142" s="147" t="s">
        <v>107</v>
      </c>
      <c r="E142" s="60">
        <f>COUNTIFS(RETAIL!L:L,B142)</f>
        <v>0</v>
      </c>
      <c r="F142" s="60">
        <f>COUNTIFS(IH!K:K,B142,IH!S:S,"DISBURSED")</f>
        <v>0</v>
      </c>
      <c r="G142" s="257">
        <f t="shared" si="15"/>
        <v>0</v>
      </c>
      <c r="H142" s="60">
        <f>COUNTIFS([1]RETAIL!$L:$L,B142)</f>
        <v>1</v>
      </c>
      <c r="I142" s="60">
        <f>COUNTIFS([1]IH!$S:$S,"DISBURSED",[1]IH!$K:$K,B142)</f>
        <v>0</v>
      </c>
      <c r="J142" s="257">
        <f t="shared" si="16"/>
        <v>0</v>
      </c>
      <c r="K142" s="60">
        <f t="shared" si="17"/>
        <v>1</v>
      </c>
      <c r="L142" s="60">
        <f t="shared" si="18"/>
        <v>0</v>
      </c>
      <c r="M142" s="257">
        <f t="shared" si="19"/>
        <v>0</v>
      </c>
    </row>
    <row r="143" spans="2:13">
      <c r="B143" s="58" t="s">
        <v>228</v>
      </c>
      <c r="C143" s="59" t="s">
        <v>99</v>
      </c>
      <c r="D143" s="60" t="s">
        <v>100</v>
      </c>
      <c r="E143" s="60">
        <f>COUNTIFS(RETAIL!L:L,B143)</f>
        <v>1</v>
      </c>
      <c r="F143" s="60">
        <f>COUNTIFS(IH!K:K,B143,IH!S:S,"DISBURSED")</f>
        <v>0</v>
      </c>
      <c r="G143" s="257">
        <f t="shared" si="15"/>
        <v>0</v>
      </c>
      <c r="H143" s="60">
        <f>COUNTIFS([1]RETAIL!$L:$L,B143)</f>
        <v>0</v>
      </c>
      <c r="I143" s="60">
        <f>COUNTIFS([1]IH!$S:$S,"DISBURSED",[1]IH!$K:$K,B143)</f>
        <v>0</v>
      </c>
      <c r="J143" s="257">
        <f t="shared" si="16"/>
        <v>0</v>
      </c>
      <c r="K143" s="60">
        <f t="shared" si="17"/>
        <v>1</v>
      </c>
      <c r="L143" s="60">
        <f t="shared" si="18"/>
        <v>0</v>
      </c>
      <c r="M143" s="257">
        <f t="shared" si="19"/>
        <v>0</v>
      </c>
    </row>
    <row r="144" spans="2:13">
      <c r="B144" s="58" t="s">
        <v>229</v>
      </c>
      <c r="C144" s="59" t="s">
        <v>124</v>
      </c>
      <c r="D144" s="59" t="s">
        <v>125</v>
      </c>
      <c r="E144" s="60">
        <f>COUNTIFS(RETAIL!L:L,B144)</f>
        <v>0</v>
      </c>
      <c r="F144" s="60">
        <f>COUNTIFS(IH!K:K,B144,IH!S:S,"DISBURSED")</f>
        <v>0</v>
      </c>
      <c r="G144" s="257">
        <f t="shared" si="15"/>
        <v>0</v>
      </c>
      <c r="H144" s="60">
        <f>COUNTIFS([1]RETAIL!$L:$L,B144)</f>
        <v>2</v>
      </c>
      <c r="I144" s="60">
        <f>COUNTIFS([1]IH!$S:$S,"DISBURSED",[1]IH!$K:$K,B144)</f>
        <v>0</v>
      </c>
      <c r="J144" s="257">
        <f t="shared" si="16"/>
        <v>0</v>
      </c>
      <c r="K144" s="60">
        <f t="shared" si="17"/>
        <v>2</v>
      </c>
      <c r="L144" s="60">
        <f t="shared" si="18"/>
        <v>0</v>
      </c>
      <c r="M144" s="257">
        <f t="shared" si="19"/>
        <v>0</v>
      </c>
    </row>
    <row r="145" spans="2:13">
      <c r="B145" s="58" t="s">
        <v>230</v>
      </c>
      <c r="C145" s="59" t="s">
        <v>106</v>
      </c>
      <c r="D145" s="59" t="s">
        <v>107</v>
      </c>
      <c r="E145" s="60">
        <f>COUNTIFS(RETAIL!L:L,B145)</f>
        <v>0</v>
      </c>
      <c r="F145" s="60">
        <f>COUNTIFS(IH!K:K,B145,IH!S:S,"DISBURSED")</f>
        <v>0</v>
      </c>
      <c r="G145" s="257">
        <f t="shared" si="15"/>
        <v>0</v>
      </c>
      <c r="H145" s="60">
        <f>COUNTIFS([1]RETAIL!$L:$L,B145)</f>
        <v>0</v>
      </c>
      <c r="I145" s="60">
        <f>COUNTIFS([1]IH!$S:$S,"DISBURSED",[1]IH!$K:$K,B145)</f>
        <v>0</v>
      </c>
      <c r="J145" s="257">
        <f t="shared" si="16"/>
        <v>0</v>
      </c>
      <c r="K145" s="60">
        <f t="shared" si="17"/>
        <v>0</v>
      </c>
      <c r="L145" s="60">
        <f t="shared" si="18"/>
        <v>0</v>
      </c>
      <c r="M145" s="257">
        <f t="shared" si="19"/>
        <v>0</v>
      </c>
    </row>
    <row r="146" spans="2:13">
      <c r="B146" s="58" t="s">
        <v>231</v>
      </c>
      <c r="C146" s="60" t="s">
        <v>168</v>
      </c>
      <c r="D146" s="59" t="s">
        <v>38</v>
      </c>
      <c r="E146" s="60">
        <f>COUNTIFS(RETAIL!L:L,B146)</f>
        <v>1</v>
      </c>
      <c r="F146" s="60">
        <f>COUNTIFS(IH!K:K,B146,IH!S:S,"DISBURSED")</f>
        <v>0</v>
      </c>
      <c r="G146" s="257">
        <f t="shared" si="15"/>
        <v>0</v>
      </c>
      <c r="H146" s="60">
        <f>COUNTIFS([1]RETAIL!$L:$L,B146)</f>
        <v>1</v>
      </c>
      <c r="I146" s="60">
        <f>COUNTIFS([1]IH!$S:$S,"DISBURSED",[1]IH!$K:$K,B146)</f>
        <v>0</v>
      </c>
      <c r="J146" s="257">
        <f t="shared" si="16"/>
        <v>0</v>
      </c>
      <c r="K146" s="60">
        <f t="shared" si="17"/>
        <v>2</v>
      </c>
      <c r="L146" s="60">
        <f t="shared" si="18"/>
        <v>0</v>
      </c>
      <c r="M146" s="257">
        <f t="shared" si="19"/>
        <v>0</v>
      </c>
    </row>
    <row r="147" spans="2:13">
      <c r="B147" s="58" t="s">
        <v>232</v>
      </c>
      <c r="C147" s="59" t="s">
        <v>110</v>
      </c>
      <c r="D147" s="59" t="s">
        <v>111</v>
      </c>
      <c r="E147" s="60">
        <f>COUNTIFS(RETAIL!L:L,B147)</f>
        <v>0</v>
      </c>
      <c r="F147" s="60">
        <f>COUNTIFS(IH!K:K,B147,IH!S:S,"DISBURSED")</f>
        <v>0</v>
      </c>
      <c r="G147" s="257">
        <f t="shared" si="15"/>
        <v>0</v>
      </c>
      <c r="H147" s="60">
        <f>COUNTIFS([1]RETAIL!$L:$L,B147)</f>
        <v>0</v>
      </c>
      <c r="I147" s="60">
        <f>COUNTIFS([1]IH!$S:$S,"DISBURSED",[1]IH!$K:$K,B147)</f>
        <v>0</v>
      </c>
      <c r="J147" s="257">
        <f t="shared" si="16"/>
        <v>0</v>
      </c>
      <c r="K147" s="60">
        <f t="shared" si="17"/>
        <v>0</v>
      </c>
      <c r="L147" s="60">
        <f t="shared" si="18"/>
        <v>0</v>
      </c>
      <c r="M147" s="257">
        <f t="shared" si="19"/>
        <v>0</v>
      </c>
    </row>
    <row r="148" spans="2:13">
      <c r="B148" s="144" t="s">
        <v>233</v>
      </c>
      <c r="C148" s="60" t="s">
        <v>69</v>
      </c>
      <c r="D148" s="60" t="s">
        <v>17</v>
      </c>
      <c r="E148" s="60">
        <f>COUNTIFS(RETAIL!L:L,B148)</f>
        <v>0</v>
      </c>
      <c r="F148" s="60">
        <f>COUNTIFS(IH!K:K,B148,IH!S:S,"DISBURSED")</f>
        <v>0</v>
      </c>
      <c r="G148" s="257">
        <f t="shared" si="15"/>
        <v>0</v>
      </c>
      <c r="H148" s="60">
        <f>COUNTIFS([1]RETAIL!$L:$L,B148)</f>
        <v>0</v>
      </c>
      <c r="I148" s="60">
        <f>COUNTIFS([1]IH!$S:$S,"DISBURSED",[1]IH!$K:$K,B148)</f>
        <v>0</v>
      </c>
      <c r="J148" s="257">
        <f t="shared" si="16"/>
        <v>0</v>
      </c>
      <c r="K148" s="60">
        <f t="shared" si="17"/>
        <v>0</v>
      </c>
      <c r="L148" s="60">
        <f t="shared" si="18"/>
        <v>0</v>
      </c>
      <c r="M148" s="257">
        <f t="shared" si="19"/>
        <v>0</v>
      </c>
    </row>
    <row r="149" spans="2:13">
      <c r="B149" s="58" t="s">
        <v>234</v>
      </c>
      <c r="C149" s="60" t="s">
        <v>186</v>
      </c>
      <c r="D149" s="59" t="s">
        <v>187</v>
      </c>
      <c r="E149" s="60">
        <f>COUNTIFS(RETAIL!L:L,B149)</f>
        <v>0</v>
      </c>
      <c r="F149" s="60">
        <f>COUNTIFS(IH!K:K,B149,IH!S:S,"DISBURSED")</f>
        <v>0</v>
      </c>
      <c r="G149" s="257">
        <f t="shared" si="15"/>
        <v>0</v>
      </c>
      <c r="H149" s="60">
        <f>COUNTIFS([1]RETAIL!$L:$L,B149)</f>
        <v>0</v>
      </c>
      <c r="I149" s="60">
        <f>COUNTIFS([1]IH!$S:$S,"DISBURSED",[1]IH!$K:$K,B149)</f>
        <v>0</v>
      </c>
      <c r="J149" s="257">
        <f t="shared" si="16"/>
        <v>0</v>
      </c>
      <c r="K149" s="60">
        <f t="shared" si="17"/>
        <v>0</v>
      </c>
      <c r="L149" s="60">
        <f t="shared" si="18"/>
        <v>0</v>
      </c>
      <c r="M149" s="257">
        <f t="shared" si="19"/>
        <v>0</v>
      </c>
    </row>
    <row r="150" spans="2:13">
      <c r="B150" s="58" t="s">
        <v>235</v>
      </c>
      <c r="C150" s="59" t="s">
        <v>94</v>
      </c>
      <c r="D150" s="59" t="s">
        <v>23</v>
      </c>
      <c r="E150" s="60">
        <f>COUNTIFS(RETAIL!L:L,B150)</f>
        <v>0</v>
      </c>
      <c r="F150" s="60">
        <f>COUNTIFS(IH!K:K,B150,IH!S:S,"DISBURSED")</f>
        <v>0</v>
      </c>
      <c r="G150" s="257">
        <f t="shared" si="15"/>
        <v>0</v>
      </c>
      <c r="H150" s="60">
        <f>COUNTIFS([1]RETAIL!$L:$L,B150)</f>
        <v>0</v>
      </c>
      <c r="I150" s="60">
        <f>COUNTIFS([1]IH!$S:$S,"DISBURSED",[1]IH!$K:$K,B150)</f>
        <v>0</v>
      </c>
      <c r="J150" s="257">
        <f t="shared" si="16"/>
        <v>0</v>
      </c>
      <c r="K150" s="60">
        <f t="shared" si="17"/>
        <v>0</v>
      </c>
      <c r="L150" s="60">
        <f t="shared" si="18"/>
        <v>0</v>
      </c>
      <c r="M150" s="257">
        <f t="shared" si="19"/>
        <v>0</v>
      </c>
    </row>
    <row r="151" spans="2:13">
      <c r="B151" s="58" t="s">
        <v>236</v>
      </c>
      <c r="C151" s="59" t="s">
        <v>59</v>
      </c>
      <c r="D151" s="59" t="s">
        <v>15</v>
      </c>
      <c r="E151" s="60">
        <f>COUNTIFS(RETAIL!L:L,B151)</f>
        <v>1</v>
      </c>
      <c r="F151" s="60">
        <f>COUNTIFS(IH!K:K,B151,IH!S:S,"DISBURSED")</f>
        <v>1</v>
      </c>
      <c r="G151" s="257">
        <f t="shared" si="15"/>
        <v>1</v>
      </c>
      <c r="H151" s="60">
        <f>COUNTIFS([1]RETAIL!$L:$L,B151)</f>
        <v>0</v>
      </c>
      <c r="I151" s="60">
        <f>COUNTIFS([1]IH!$S:$S,"DISBURSED",[1]IH!$K:$K,B151)</f>
        <v>0</v>
      </c>
      <c r="J151" s="257">
        <f t="shared" si="16"/>
        <v>0</v>
      </c>
      <c r="K151" s="60">
        <f t="shared" si="17"/>
        <v>1</v>
      </c>
      <c r="L151" s="60">
        <f t="shared" si="18"/>
        <v>1</v>
      </c>
      <c r="M151" s="257">
        <f t="shared" si="19"/>
        <v>1</v>
      </c>
    </row>
    <row r="152" spans="2:13">
      <c r="B152" s="58" t="s">
        <v>237</v>
      </c>
      <c r="C152" s="59" t="s">
        <v>59</v>
      </c>
      <c r="D152" s="59" t="s">
        <v>15</v>
      </c>
      <c r="E152" s="60">
        <f>COUNTIFS(RETAIL!L:L,B152)</f>
        <v>1</v>
      </c>
      <c r="F152" s="60">
        <f>COUNTIFS(IH!K:K,B152,IH!S:S,"DISBURSED")</f>
        <v>2</v>
      </c>
      <c r="G152" s="257">
        <f t="shared" si="15"/>
        <v>2</v>
      </c>
      <c r="H152" s="60">
        <f>COUNTIFS([1]RETAIL!$L:$L,B152)</f>
        <v>0</v>
      </c>
      <c r="I152" s="60">
        <f>COUNTIFS([1]IH!$S:$S,"DISBURSED",[1]IH!$K:$K,B152)</f>
        <v>0</v>
      </c>
      <c r="J152" s="257">
        <f t="shared" si="16"/>
        <v>0</v>
      </c>
      <c r="K152" s="60">
        <f t="shared" si="17"/>
        <v>1</v>
      </c>
      <c r="L152" s="60">
        <f t="shared" si="18"/>
        <v>2</v>
      </c>
      <c r="M152" s="257">
        <f t="shared" si="19"/>
        <v>2</v>
      </c>
    </row>
    <row r="153" spans="2:13">
      <c r="B153" s="60" t="s">
        <v>238</v>
      </c>
      <c r="C153" s="59" t="s">
        <v>209</v>
      </c>
      <c r="D153" s="60" t="s">
        <v>100</v>
      </c>
      <c r="E153" s="60">
        <f>COUNTIFS(RETAIL!L:L,B153)</f>
        <v>1</v>
      </c>
      <c r="F153" s="60">
        <f>COUNTIFS(IH!K:K,B153,IH!S:S,"DISBURSED")</f>
        <v>1</v>
      </c>
      <c r="G153" s="257">
        <f t="shared" si="15"/>
        <v>1</v>
      </c>
      <c r="H153" s="60">
        <f>COUNTIFS([1]RETAIL!$L:$L,B153)</f>
        <v>2</v>
      </c>
      <c r="I153" s="60">
        <f>COUNTIFS([1]IH!$S:$S,"DISBURSED",[1]IH!$K:$K,B153)</f>
        <v>2</v>
      </c>
      <c r="J153" s="257">
        <f t="shared" si="16"/>
        <v>1</v>
      </c>
      <c r="K153" s="60">
        <f t="shared" si="17"/>
        <v>3</v>
      </c>
      <c r="L153" s="60">
        <f t="shared" si="18"/>
        <v>3</v>
      </c>
      <c r="M153" s="257">
        <f t="shared" si="19"/>
        <v>1</v>
      </c>
    </row>
    <row r="154" spans="2:13">
      <c r="B154" s="58" t="s">
        <v>239</v>
      </c>
      <c r="C154" s="59" t="s">
        <v>59</v>
      </c>
      <c r="D154" s="59" t="s">
        <v>15</v>
      </c>
      <c r="E154" s="60">
        <f>COUNTIFS(RETAIL!L:L,B154)</f>
        <v>0</v>
      </c>
      <c r="F154" s="60">
        <f>COUNTIFS(IH!K:K,B154,IH!S:S,"DISBURSED")</f>
        <v>0</v>
      </c>
      <c r="G154" s="257">
        <f t="shared" si="15"/>
        <v>0</v>
      </c>
      <c r="H154" s="60">
        <f>COUNTIFS([1]RETAIL!$L:$L,B154)</f>
        <v>0</v>
      </c>
      <c r="I154" s="60">
        <f>COUNTIFS([1]IH!$S:$S,"DISBURSED",[1]IH!$K:$K,B154)</f>
        <v>0</v>
      </c>
      <c r="J154" s="257">
        <f t="shared" si="16"/>
        <v>0</v>
      </c>
      <c r="K154" s="60">
        <f t="shared" si="17"/>
        <v>0</v>
      </c>
      <c r="L154" s="60">
        <f t="shared" si="18"/>
        <v>0</v>
      </c>
      <c r="M154" s="257">
        <f t="shared" si="19"/>
        <v>0</v>
      </c>
    </row>
    <row r="155" spans="2:13">
      <c r="B155" s="60" t="s">
        <v>240</v>
      </c>
      <c r="C155" s="60" t="s">
        <v>209</v>
      </c>
      <c r="D155" s="60" t="s">
        <v>100</v>
      </c>
      <c r="E155" s="60">
        <f>COUNTIFS(RETAIL!L:L,B155)</f>
        <v>2</v>
      </c>
      <c r="F155" s="60">
        <f>COUNTIFS(IH!K:K,B155,IH!S:S,"DISBURSED")</f>
        <v>1</v>
      </c>
      <c r="G155" s="257">
        <f t="shared" si="15"/>
        <v>0.5</v>
      </c>
      <c r="H155" s="60">
        <f>COUNTIFS([1]RETAIL!$L:$L,B155)</f>
        <v>1</v>
      </c>
      <c r="I155" s="60">
        <f>COUNTIFS([1]IH!$S:$S,"DISBURSED",[1]IH!$K:$K,B155)</f>
        <v>0</v>
      </c>
      <c r="J155" s="257">
        <f t="shared" si="16"/>
        <v>0</v>
      </c>
      <c r="K155" s="60">
        <f t="shared" si="17"/>
        <v>3</v>
      </c>
      <c r="L155" s="60">
        <f t="shared" si="18"/>
        <v>1</v>
      </c>
      <c r="M155" s="257">
        <f t="shared" si="19"/>
        <v>0.333333333333333</v>
      </c>
    </row>
    <row r="156" spans="2:13">
      <c r="B156" s="60" t="s">
        <v>241</v>
      </c>
      <c r="C156" s="58" t="s">
        <v>54</v>
      </c>
      <c r="D156" s="59" t="s">
        <v>11</v>
      </c>
      <c r="E156" s="60">
        <f>COUNTIFS(RETAIL!L:L,B156)</f>
        <v>1</v>
      </c>
      <c r="F156" s="60">
        <f>COUNTIFS(IH!K:K,B156,IH!S:S,"DISBURSED")</f>
        <v>0</v>
      </c>
      <c r="G156" s="257">
        <f t="shared" si="15"/>
        <v>0</v>
      </c>
      <c r="H156" s="60">
        <f>COUNTIFS([1]RETAIL!$L:$L,B156)</f>
        <v>0</v>
      </c>
      <c r="I156" s="60">
        <f>COUNTIFS([1]IH!$S:$S,"DISBURSED",[1]IH!$K:$K,B156)</f>
        <v>0</v>
      </c>
      <c r="J156" s="257">
        <f t="shared" si="16"/>
        <v>0</v>
      </c>
      <c r="K156" s="60">
        <f t="shared" si="17"/>
        <v>1</v>
      </c>
      <c r="L156" s="60">
        <f t="shared" si="18"/>
        <v>0</v>
      </c>
      <c r="M156" s="257">
        <f t="shared" si="19"/>
        <v>0</v>
      </c>
    </row>
    <row r="157" spans="2:13">
      <c r="B157" s="58" t="s">
        <v>242</v>
      </c>
      <c r="C157" s="59" t="s">
        <v>59</v>
      </c>
      <c r="D157" s="59" t="s">
        <v>15</v>
      </c>
      <c r="E157" s="60">
        <f>COUNTIFS(RETAIL!L:L,B157)</f>
        <v>0</v>
      </c>
      <c r="F157" s="60">
        <f>COUNTIFS(IH!K:K,B157,IH!S:S,"DISBURSED")</f>
        <v>0</v>
      </c>
      <c r="G157" s="257">
        <f t="shared" si="15"/>
        <v>0</v>
      </c>
      <c r="H157" s="60">
        <f>COUNTIFS([1]RETAIL!$L:$L,B157)</f>
        <v>1</v>
      </c>
      <c r="I157" s="60">
        <f>COUNTIFS([1]IH!$S:$S,"DISBURSED",[1]IH!$K:$K,B157)</f>
        <v>1</v>
      </c>
      <c r="J157" s="257">
        <f t="shared" si="16"/>
        <v>1</v>
      </c>
      <c r="K157" s="60">
        <f t="shared" si="17"/>
        <v>1</v>
      </c>
      <c r="L157" s="60">
        <f t="shared" si="18"/>
        <v>1</v>
      </c>
      <c r="M157" s="257">
        <f t="shared" si="19"/>
        <v>1</v>
      </c>
    </row>
    <row r="158" spans="2:13">
      <c r="B158" s="58" t="s">
        <v>243</v>
      </c>
      <c r="C158" s="59" t="s">
        <v>158</v>
      </c>
      <c r="D158" s="59" t="s">
        <v>29</v>
      </c>
      <c r="E158" s="60">
        <f>COUNTIFS(RETAIL!L:L,B158)</f>
        <v>0</v>
      </c>
      <c r="F158" s="60">
        <f>COUNTIFS(IH!K:K,B158,IH!S:S,"DISBURSED")</f>
        <v>0</v>
      </c>
      <c r="G158" s="257">
        <f t="shared" si="15"/>
        <v>0</v>
      </c>
      <c r="H158" s="60">
        <f>COUNTIFS([1]RETAIL!$L:$L,B158)</f>
        <v>0</v>
      </c>
      <c r="I158" s="60">
        <f>COUNTIFS([1]IH!$S:$S,"DISBURSED",[1]IH!$K:$K,B158)</f>
        <v>0</v>
      </c>
      <c r="J158" s="257">
        <f t="shared" si="16"/>
        <v>0</v>
      </c>
      <c r="K158" s="60">
        <f t="shared" si="17"/>
        <v>0</v>
      </c>
      <c r="L158" s="60">
        <f t="shared" si="18"/>
        <v>0</v>
      </c>
      <c r="M158" s="257">
        <f t="shared" si="19"/>
        <v>0</v>
      </c>
    </row>
    <row r="159" spans="2:13">
      <c r="B159" s="144" t="s">
        <v>244</v>
      </c>
      <c r="C159" s="58" t="s">
        <v>74</v>
      </c>
      <c r="D159" s="60" t="s">
        <v>17</v>
      </c>
      <c r="E159" s="60">
        <f>COUNTIFS(RETAIL!L:L,B159)</f>
        <v>1</v>
      </c>
      <c r="F159" s="60">
        <f>COUNTIFS(IH!K:K,B159,IH!S:S,"DISBURSED")</f>
        <v>0</v>
      </c>
      <c r="G159" s="257">
        <f t="shared" si="15"/>
        <v>0</v>
      </c>
      <c r="H159" s="60">
        <f>COUNTIFS([1]RETAIL!$L:$L,B159)</f>
        <v>0</v>
      </c>
      <c r="I159" s="60">
        <f>COUNTIFS([1]IH!$S:$S,"DISBURSED",[1]IH!$K:$K,B159)</f>
        <v>0</v>
      </c>
      <c r="J159" s="257">
        <f t="shared" si="16"/>
        <v>0</v>
      </c>
      <c r="K159" s="60">
        <f t="shared" si="17"/>
        <v>1</v>
      </c>
      <c r="L159" s="60">
        <f t="shared" si="18"/>
        <v>0</v>
      </c>
      <c r="M159" s="257">
        <f t="shared" si="19"/>
        <v>0</v>
      </c>
    </row>
    <row r="160" spans="2:13">
      <c r="B160" s="146" t="s">
        <v>245</v>
      </c>
      <c r="C160" s="146" t="s">
        <v>131</v>
      </c>
      <c r="D160" s="142" t="s">
        <v>125</v>
      </c>
      <c r="E160" s="60">
        <f>COUNTIFS(RETAIL!L:L,B160)</f>
        <v>0</v>
      </c>
      <c r="F160" s="60">
        <f>COUNTIFS(IH!K:K,B160,IH!S:S,"DISBURSED")</f>
        <v>0</v>
      </c>
      <c r="G160" s="257">
        <f t="shared" si="15"/>
        <v>0</v>
      </c>
      <c r="H160" s="60">
        <f>COUNTIFS([1]RETAIL!$L:$L,B160)</f>
        <v>2</v>
      </c>
      <c r="I160" s="60">
        <f>COUNTIFS([1]IH!$S:$S,"DISBURSED",[1]IH!$K:$K,B160)</f>
        <v>2</v>
      </c>
      <c r="J160" s="257">
        <f t="shared" si="16"/>
        <v>1</v>
      </c>
      <c r="K160" s="60">
        <f t="shared" si="17"/>
        <v>2</v>
      </c>
      <c r="L160" s="60">
        <f t="shared" si="18"/>
        <v>2</v>
      </c>
      <c r="M160" s="257">
        <f t="shared" si="19"/>
        <v>1</v>
      </c>
    </row>
    <row r="161" spans="2:13">
      <c r="B161" s="146" t="s">
        <v>246</v>
      </c>
      <c r="C161" s="60" t="s">
        <v>149</v>
      </c>
      <c r="D161" s="142" t="s">
        <v>125</v>
      </c>
      <c r="E161" s="60">
        <f>COUNTIFS(RETAIL!L:L,B161)</f>
        <v>1</v>
      </c>
      <c r="F161" s="60">
        <f>COUNTIFS(IH!K:K,B161,IH!S:S,"DISBURSED")</f>
        <v>0</v>
      </c>
      <c r="G161" s="257">
        <f t="shared" si="15"/>
        <v>0</v>
      </c>
      <c r="H161" s="60">
        <f>COUNTIFS([1]RETAIL!$L:$L,B161)</f>
        <v>1</v>
      </c>
      <c r="I161" s="60">
        <f>COUNTIFS([1]IH!$S:$S,"DISBURSED",[1]IH!$K:$K,B161)</f>
        <v>0</v>
      </c>
      <c r="J161" s="257">
        <f t="shared" si="16"/>
        <v>0</v>
      </c>
      <c r="K161" s="60">
        <f t="shared" si="17"/>
        <v>2</v>
      </c>
      <c r="L161" s="60">
        <f t="shared" si="18"/>
        <v>0</v>
      </c>
      <c r="M161" s="257">
        <f t="shared" si="19"/>
        <v>0</v>
      </c>
    </row>
    <row r="162" spans="2:13">
      <c r="B162" s="146" t="s">
        <v>247</v>
      </c>
      <c r="C162" s="147" t="s">
        <v>186</v>
      </c>
      <c r="D162" s="147" t="s">
        <v>187</v>
      </c>
      <c r="E162" s="60">
        <f>COUNTIFS(RETAIL!L:L,B162)</f>
        <v>0</v>
      </c>
      <c r="F162" s="60">
        <f>COUNTIFS(IH!K:K,B162,IH!S:S,"DISBURSED")</f>
        <v>0</v>
      </c>
      <c r="G162" s="257">
        <f t="shared" si="15"/>
        <v>0</v>
      </c>
      <c r="H162" s="60">
        <f>COUNTIFS([1]RETAIL!$L:$L,B162)</f>
        <v>0</v>
      </c>
      <c r="I162" s="60">
        <f>COUNTIFS([1]IH!$S:$S,"DISBURSED",[1]IH!$K:$K,B162)</f>
        <v>0</v>
      </c>
      <c r="J162" s="257">
        <f t="shared" si="16"/>
        <v>0</v>
      </c>
      <c r="K162" s="60">
        <f t="shared" si="17"/>
        <v>0</v>
      </c>
      <c r="L162" s="60">
        <f t="shared" si="18"/>
        <v>0</v>
      </c>
      <c r="M162" s="257">
        <f t="shared" si="19"/>
        <v>0</v>
      </c>
    </row>
    <row r="163" spans="2:13">
      <c r="B163" s="58" t="s">
        <v>248</v>
      </c>
      <c r="C163" s="59" t="s">
        <v>163</v>
      </c>
      <c r="D163" s="59" t="s">
        <v>34</v>
      </c>
      <c r="E163" s="60">
        <f>COUNTIFS(RETAIL!L:L,B163)</f>
        <v>2</v>
      </c>
      <c r="F163" s="60">
        <f>COUNTIFS(IH!K:K,B163,IH!S:S,"DISBURSED")</f>
        <v>1</v>
      </c>
      <c r="G163" s="257">
        <f t="shared" si="15"/>
        <v>0.5</v>
      </c>
      <c r="H163" s="60">
        <f>COUNTIFS([1]RETAIL!$L:$L,B163)</f>
        <v>0</v>
      </c>
      <c r="I163" s="60">
        <f>COUNTIFS([1]IH!$S:$S,"DISBURSED",[1]IH!$K:$K,B163)</f>
        <v>0</v>
      </c>
      <c r="J163" s="257">
        <f t="shared" si="16"/>
        <v>0</v>
      </c>
      <c r="K163" s="60">
        <f t="shared" si="17"/>
        <v>2</v>
      </c>
      <c r="L163" s="60">
        <f t="shared" si="18"/>
        <v>1</v>
      </c>
      <c r="M163" s="257">
        <f t="shared" si="19"/>
        <v>0.5</v>
      </c>
    </row>
    <row r="164" spans="2:13">
      <c r="B164" s="146" t="s">
        <v>249</v>
      </c>
      <c r="C164" s="59" t="s">
        <v>209</v>
      </c>
      <c r="D164" s="60" t="s">
        <v>100</v>
      </c>
      <c r="E164" s="60">
        <f>COUNTIFS(RETAIL!L:L,B164)</f>
        <v>1</v>
      </c>
      <c r="F164" s="60">
        <f>COUNTIFS(IH!K:K,B164,IH!S:S,"DISBURSED")</f>
        <v>0</v>
      </c>
      <c r="G164" s="257">
        <f t="shared" si="15"/>
        <v>0</v>
      </c>
      <c r="H164" s="60">
        <f>COUNTIFS([1]RETAIL!$L:$L,B164)</f>
        <v>1</v>
      </c>
      <c r="I164" s="60">
        <f>COUNTIFS([1]IH!$S:$S,"DISBURSED",[1]IH!$K:$K,B164)</f>
        <v>1</v>
      </c>
      <c r="J164" s="257">
        <f t="shared" si="16"/>
        <v>1</v>
      </c>
      <c r="K164" s="60">
        <f t="shared" si="17"/>
        <v>2</v>
      </c>
      <c r="L164" s="60">
        <f t="shared" si="18"/>
        <v>1</v>
      </c>
      <c r="M164" s="257">
        <f t="shared" si="19"/>
        <v>0.5</v>
      </c>
    </row>
    <row r="165" spans="2:13">
      <c r="B165" s="58" t="s">
        <v>250</v>
      </c>
      <c r="C165" s="58" t="s">
        <v>168</v>
      </c>
      <c r="D165" s="59" t="s">
        <v>38</v>
      </c>
      <c r="E165" s="60">
        <f>COUNTIFS(RETAIL!L:L,B165)</f>
        <v>2</v>
      </c>
      <c r="F165" s="60">
        <f>COUNTIFS(IH!K:K,B165,IH!S:S,"DISBURSED")</f>
        <v>1</v>
      </c>
      <c r="G165" s="257">
        <f t="shared" si="15"/>
        <v>0.5</v>
      </c>
      <c r="H165" s="60">
        <f>COUNTIFS([1]RETAIL!$L:$L,B165)</f>
        <v>0</v>
      </c>
      <c r="I165" s="60">
        <f>COUNTIFS([1]IH!$S:$S,"DISBURSED",[1]IH!$K:$K,B165)</f>
        <v>0</v>
      </c>
      <c r="J165" s="257">
        <f t="shared" si="16"/>
        <v>0</v>
      </c>
      <c r="K165" s="60">
        <f t="shared" si="17"/>
        <v>2</v>
      </c>
      <c r="L165" s="60">
        <f t="shared" si="18"/>
        <v>1</v>
      </c>
      <c r="M165" s="257">
        <f t="shared" si="19"/>
        <v>0.5</v>
      </c>
    </row>
    <row r="166" spans="2:13">
      <c r="B166" s="146" t="s">
        <v>251</v>
      </c>
      <c r="C166" s="147" t="s">
        <v>94</v>
      </c>
      <c r="D166" s="147" t="s">
        <v>23</v>
      </c>
      <c r="E166" s="60">
        <f>COUNTIFS(RETAIL!L:L,B166)</f>
        <v>2</v>
      </c>
      <c r="F166" s="60">
        <f>COUNTIFS(IH!K:K,B166,IH!S:S,"DISBURSED")</f>
        <v>2</v>
      </c>
      <c r="G166" s="257">
        <f t="shared" si="15"/>
        <v>1</v>
      </c>
      <c r="H166" s="60">
        <f>COUNTIFS([1]RETAIL!$L:$L,B166)</f>
        <v>2</v>
      </c>
      <c r="I166" s="60">
        <f>COUNTIFS([1]IH!$S:$S,"DISBURSED",[1]IH!$K:$K,B166)</f>
        <v>2</v>
      </c>
      <c r="J166" s="257">
        <f t="shared" si="16"/>
        <v>1</v>
      </c>
      <c r="K166" s="60">
        <f t="shared" si="17"/>
        <v>4</v>
      </c>
      <c r="L166" s="60">
        <f t="shared" si="18"/>
        <v>4</v>
      </c>
      <c r="M166" s="257">
        <f t="shared" si="19"/>
        <v>1</v>
      </c>
    </row>
    <row r="167" spans="2:13">
      <c r="B167" s="58" t="s">
        <v>252</v>
      </c>
      <c r="C167" s="59" t="s">
        <v>79</v>
      </c>
      <c r="D167" s="59" t="s">
        <v>17</v>
      </c>
      <c r="E167" s="60">
        <f>COUNTIFS(RETAIL!L:L,B167)</f>
        <v>0</v>
      </c>
      <c r="F167" s="60">
        <f>COUNTIFS(IH!K:K,B167,IH!S:S,"DISBURSED")</f>
        <v>1</v>
      </c>
      <c r="G167" s="257">
        <f t="shared" si="15"/>
        <v>0</v>
      </c>
      <c r="H167" s="60">
        <f>COUNTIFS([1]RETAIL!$L:$L,B167)</f>
        <v>1</v>
      </c>
      <c r="I167" s="60">
        <f>COUNTIFS([1]IH!$S:$S,"DISBURSED",[1]IH!$K:$K,B167)</f>
        <v>1</v>
      </c>
      <c r="J167" s="257">
        <f t="shared" si="16"/>
        <v>1</v>
      </c>
      <c r="K167" s="60">
        <f t="shared" si="17"/>
        <v>1</v>
      </c>
      <c r="L167" s="60">
        <f t="shared" si="18"/>
        <v>2</v>
      </c>
      <c r="M167" s="257">
        <f t="shared" si="19"/>
        <v>2</v>
      </c>
    </row>
    <row r="168" spans="2:13">
      <c r="B168" s="58" t="s">
        <v>253</v>
      </c>
      <c r="C168" s="58" t="s">
        <v>168</v>
      </c>
      <c r="D168" s="59" t="s">
        <v>38</v>
      </c>
      <c r="E168" s="60">
        <f>COUNTIFS(RETAIL!L:L,B168)</f>
        <v>0</v>
      </c>
      <c r="F168" s="60">
        <f>COUNTIFS(IH!K:K,B168,IH!S:S,"DISBURSED")</f>
        <v>0</v>
      </c>
      <c r="G168" s="257">
        <f t="shared" si="15"/>
        <v>0</v>
      </c>
      <c r="H168" s="60">
        <f>COUNTIFS([1]RETAIL!$L:$L,B168)</f>
        <v>0</v>
      </c>
      <c r="I168" s="60">
        <f>COUNTIFS([1]IH!$S:$S,"DISBURSED",[1]IH!$K:$K,B168)</f>
        <v>0</v>
      </c>
      <c r="J168" s="257">
        <f t="shared" si="16"/>
        <v>0</v>
      </c>
      <c r="K168" s="60">
        <f t="shared" si="17"/>
        <v>0</v>
      </c>
      <c r="L168" s="60">
        <f t="shared" si="18"/>
        <v>0</v>
      </c>
      <c r="M168" s="257">
        <f t="shared" si="19"/>
        <v>0</v>
      </c>
    </row>
    <row r="169" spans="2:13">
      <c r="B169" s="146" t="s">
        <v>254</v>
      </c>
      <c r="C169" s="142" t="s">
        <v>124</v>
      </c>
      <c r="D169" s="142" t="s">
        <v>125</v>
      </c>
      <c r="E169" s="60">
        <f>COUNTIFS(RETAIL!L:L,B169)</f>
        <v>0</v>
      </c>
      <c r="F169" s="60">
        <f>COUNTIFS(IH!K:K,B169,IH!S:S,"DISBURSED")</f>
        <v>0</v>
      </c>
      <c r="G169" s="257">
        <f t="shared" si="15"/>
        <v>0</v>
      </c>
      <c r="H169" s="60">
        <f>COUNTIFS([1]RETAIL!$L:$L,B169)</f>
        <v>3</v>
      </c>
      <c r="I169" s="60">
        <f>COUNTIFS([1]IH!$S:$S,"DISBURSED",[1]IH!$K:$K,B169)</f>
        <v>0</v>
      </c>
      <c r="J169" s="257">
        <f t="shared" si="16"/>
        <v>0</v>
      </c>
      <c r="K169" s="60">
        <f t="shared" si="17"/>
        <v>3</v>
      </c>
      <c r="L169" s="60">
        <f t="shared" si="18"/>
        <v>0</v>
      </c>
      <c r="M169" s="257">
        <f t="shared" si="19"/>
        <v>0</v>
      </c>
    </row>
    <row r="170" spans="2:13">
      <c r="B170" s="146" t="s">
        <v>255</v>
      </c>
      <c r="C170" s="147" t="s">
        <v>106</v>
      </c>
      <c r="D170" s="147" t="s">
        <v>107</v>
      </c>
      <c r="E170" s="60">
        <f>COUNTIFS(RETAIL!L:L,B170)</f>
        <v>0</v>
      </c>
      <c r="F170" s="60">
        <f>COUNTIFS(IH!K:K,B170,IH!S:S,"DISBURSED")</f>
        <v>0</v>
      </c>
      <c r="G170" s="257">
        <f>IFERROR((F170/E170),0)</f>
        <v>0</v>
      </c>
      <c r="H170" s="60">
        <f>COUNTIFS([1]RETAIL!$L:$L,B170)</f>
        <v>1</v>
      </c>
      <c r="I170" s="60">
        <f>COUNTIFS([1]IH!$S:$S,"DISBURSED",[1]IH!$K:$K,B170)</f>
        <v>0</v>
      </c>
      <c r="J170" s="257">
        <f>IFERROR((I170/H170),0)</f>
        <v>0</v>
      </c>
      <c r="K170" s="60">
        <f>E170+H170</f>
        <v>1</v>
      </c>
      <c r="L170" s="60">
        <f>F170+I170</f>
        <v>0</v>
      </c>
      <c r="M170" s="257">
        <f>IFERROR((L170/K170),0)</f>
        <v>0</v>
      </c>
    </row>
    <row r="171" spans="2:13">
      <c r="B171" s="146" t="s">
        <v>256</v>
      </c>
      <c r="C171" s="147" t="s">
        <v>106</v>
      </c>
      <c r="D171" s="147" t="s">
        <v>107</v>
      </c>
      <c r="E171" s="60">
        <f>COUNTIFS(RETAIL!L:L,B171)</f>
        <v>0</v>
      </c>
      <c r="F171" s="60">
        <f>COUNTIFS(IH!K:K,B171,IH!S:S,"DISBURSED")</f>
        <v>0</v>
      </c>
      <c r="G171" s="257">
        <f>IFERROR((F171/E171),0)</f>
        <v>0</v>
      </c>
      <c r="H171" s="60">
        <f>COUNTIFS([1]RETAIL!$L:$L,B171)</f>
        <v>0</v>
      </c>
      <c r="I171" s="60">
        <f>COUNTIFS([1]IH!$S:$S,"DISBURSED",[1]IH!$K:$K,B171)</f>
        <v>0</v>
      </c>
      <c r="J171" s="257">
        <f>IFERROR((I171/H171),0)</f>
        <v>0</v>
      </c>
      <c r="K171" s="60">
        <f>E171+H171</f>
        <v>0</v>
      </c>
      <c r="L171" s="60">
        <f>F171+I171</f>
        <v>0</v>
      </c>
      <c r="M171" s="257">
        <f>IFERROR((L171/K171),0)</f>
        <v>0</v>
      </c>
    </row>
    <row r="172" spans="2:13">
      <c r="B172" s="58" t="s">
        <v>54</v>
      </c>
      <c r="C172" s="59" t="s">
        <v>79</v>
      </c>
      <c r="D172" s="59" t="s">
        <v>17</v>
      </c>
      <c r="E172" s="60">
        <f>COUNTIFS(RETAIL!L:L,B172)</f>
        <v>1</v>
      </c>
      <c r="F172" s="60">
        <f>COUNTIFS(IH!K:K,B172,IH!S:S,"DISBURSED")</f>
        <v>1</v>
      </c>
      <c r="G172" s="257">
        <f>IFERROR((F172/E172),0)</f>
        <v>1</v>
      </c>
      <c r="H172" s="60">
        <f>COUNTIFS([1]RETAIL!$L:$L,B172)</f>
        <v>0</v>
      </c>
      <c r="I172" s="60">
        <f>COUNTIFS([1]IH!$S:$S,"DISBURSED",[1]IH!$K:$K,B172)</f>
        <v>0</v>
      </c>
      <c r="J172" s="257">
        <f>IFERROR((I172/H172),0)</f>
        <v>0</v>
      </c>
      <c r="K172" s="60">
        <f>E172+H172</f>
        <v>1</v>
      </c>
      <c r="L172" s="60">
        <f>F172+I172</f>
        <v>1</v>
      </c>
      <c r="M172" s="257">
        <f>IFERROR((L172/K172),0)</f>
        <v>1</v>
      </c>
    </row>
    <row r="173" spans="2:13">
      <c r="B173" s="146" t="s">
        <v>257</v>
      </c>
      <c r="C173" s="142" t="s">
        <v>124</v>
      </c>
      <c r="D173" s="142" t="s">
        <v>125</v>
      </c>
      <c r="E173" s="60">
        <f>COUNTIFS(RETAIL!L:L,B173)</f>
        <v>0</v>
      </c>
      <c r="F173" s="60">
        <f>COUNTIFS(IH!K:K,B173,IH!S:S,"DISBURSED")</f>
        <v>0</v>
      </c>
      <c r="G173" s="257">
        <f>IFERROR((F173/E173),0)</f>
        <v>0</v>
      </c>
      <c r="H173" s="60">
        <f>COUNTIFS([1]RETAIL!$L:$L,B173)</f>
        <v>0</v>
      </c>
      <c r="I173" s="60">
        <f>COUNTIFS([1]IH!$S:$S,"DISBURSED",[1]IH!$K:$K,B173)</f>
        <v>0</v>
      </c>
      <c r="J173" s="257">
        <f>IFERROR((I173/H173),0)</f>
        <v>0</v>
      </c>
      <c r="K173" s="60">
        <f>E173+H173</f>
        <v>0</v>
      </c>
      <c r="L173" s="60">
        <f>F173+I173</f>
        <v>0</v>
      </c>
      <c r="M173" s="257">
        <f>IFERROR((L173/K173),0)</f>
        <v>0</v>
      </c>
    </row>
    <row r="174" spans="2:13">
      <c r="B174" s="381" t="s">
        <v>46</v>
      </c>
      <c r="C174" s="381"/>
      <c r="D174" s="381"/>
      <c r="E174" s="384">
        <f>SUM(E3:E173)</f>
        <v>185</v>
      </c>
      <c r="F174" s="384">
        <f>SUM(F3:F173)</f>
        <v>109</v>
      </c>
      <c r="G174" s="385">
        <f>IFERROR((F174/E174),0)</f>
        <v>0.589189189189189</v>
      </c>
      <c r="H174" s="384">
        <f>SUM(H3:H173)</f>
        <v>125</v>
      </c>
      <c r="I174" s="384">
        <f>SUM(I3:I173)</f>
        <v>88</v>
      </c>
      <c r="J174" s="385">
        <f>IFERROR(I174/H174,0)</f>
        <v>0.704</v>
      </c>
      <c r="K174" s="384">
        <f>E174+H174</f>
        <v>310</v>
      </c>
      <c r="L174" s="384">
        <f>F174+I174</f>
        <v>197</v>
      </c>
      <c r="M174" s="385">
        <f>IFERROR(L174/K174,0)</f>
        <v>0.635483870967742</v>
      </c>
    </row>
  </sheetData>
  <mergeCells count="5">
    <mergeCell ref="B1:D1"/>
    <mergeCell ref="E1:G1"/>
    <mergeCell ref="H1:J1"/>
    <mergeCell ref="K1:M1"/>
    <mergeCell ref="B174:D174"/>
  </mergeCells>
  <conditionalFormatting sqref="K1">
    <cfRule type="duplicateValues" dxfId="0" priority="282" stopIfTrue="1"/>
  </conditionalFormatting>
  <conditionalFormatting sqref="B2:C2">
    <cfRule type="duplicateValues" dxfId="0" priority="285" stopIfTrue="1"/>
  </conditionalFormatting>
  <conditionalFormatting sqref="E2:G2">
    <cfRule type="duplicateValues" dxfId="0" priority="284" stopIfTrue="1"/>
  </conditionalFormatting>
  <conditionalFormatting sqref="H2:J2">
    <cfRule type="duplicateValues" dxfId="0" priority="283" stopIfTrue="1"/>
  </conditionalFormatting>
  <conditionalFormatting sqref="K2:M2">
    <cfRule type="duplicateValues" dxfId="0" priority="281" stopIfTrue="1"/>
  </conditionalFormatting>
  <conditionalFormatting sqref="B125">
    <cfRule type="duplicateValues" dxfId="1" priority="280"/>
  </conditionalFormatting>
  <conditionalFormatting sqref="B126">
    <cfRule type="duplicateValues" dxfId="1" priority="261"/>
  </conditionalFormatting>
  <conditionalFormatting sqref="B127">
    <cfRule type="duplicateValues" dxfId="1" priority="259"/>
  </conditionalFormatting>
  <conditionalFormatting sqref="B128">
    <cfRule type="duplicateValues" dxfId="1" priority="252"/>
    <cfRule type="duplicateValues" dxfId="2" priority="253"/>
  </conditionalFormatting>
  <conditionalFormatting sqref="B129">
    <cfRule type="duplicateValues" dxfId="1" priority="235"/>
    <cfRule type="duplicateValues" dxfId="2" priority="238"/>
  </conditionalFormatting>
  <conditionalFormatting sqref="B130">
    <cfRule type="duplicateValues" dxfId="1" priority="230"/>
    <cfRule type="duplicateValues" dxfId="2" priority="231"/>
    <cfRule type="duplicateValues" dxfId="1" priority="233"/>
  </conditionalFormatting>
  <conditionalFormatting sqref="B131">
    <cfRule type="duplicateValues" dxfId="1" priority="222"/>
    <cfRule type="duplicateValues" dxfId="2" priority="224"/>
  </conditionalFormatting>
  <conditionalFormatting sqref="B132">
    <cfRule type="duplicateValues" dxfId="1" priority="218"/>
  </conditionalFormatting>
  <conditionalFormatting sqref="B133">
    <cfRule type="duplicateValues" dxfId="1" priority="212"/>
    <cfRule type="duplicateValues" dxfId="2" priority="213"/>
    <cfRule type="duplicateValues" dxfId="1" priority="215"/>
  </conditionalFormatting>
  <conditionalFormatting sqref="B134">
    <cfRule type="duplicateValues" dxfId="1" priority="173"/>
    <cfRule type="duplicateValues" dxfId="2" priority="179"/>
  </conditionalFormatting>
  <conditionalFormatting sqref="B135">
    <cfRule type="duplicateValues" dxfId="1" priority="193"/>
    <cfRule type="duplicateValues" dxfId="2" priority="197"/>
  </conditionalFormatting>
  <conditionalFormatting sqref="B136">
    <cfRule type="duplicateValues" dxfId="1" priority="186"/>
    <cfRule type="duplicateValues" dxfId="2" priority="188"/>
    <cfRule type="duplicateValues" dxfId="1" priority="190"/>
  </conditionalFormatting>
  <conditionalFormatting sqref="B137">
    <cfRule type="duplicateValues" dxfId="1" priority="166"/>
    <cfRule type="duplicateValues" dxfId="2" priority="170"/>
  </conditionalFormatting>
  <conditionalFormatting sqref="B138">
    <cfRule type="duplicateValues" dxfId="1" priority="159"/>
    <cfRule type="duplicateValues" dxfId="2" priority="163"/>
  </conditionalFormatting>
  <conditionalFormatting sqref="B139">
    <cfRule type="duplicateValues" dxfId="1" priority="152"/>
    <cfRule type="duplicateValues" dxfId="2" priority="156"/>
    <cfRule type="duplicateValues" dxfId="1" priority="157"/>
  </conditionalFormatting>
  <conditionalFormatting sqref="B140">
    <cfRule type="duplicateValues" dxfId="1" priority="144"/>
    <cfRule type="duplicateValues" dxfId="2" priority="147"/>
  </conditionalFormatting>
  <conditionalFormatting sqref="B141">
    <cfRule type="duplicateValues" dxfId="1" priority="137"/>
  </conditionalFormatting>
  <conditionalFormatting sqref="C141">
    <cfRule type="duplicateValues" dxfId="2" priority="133"/>
    <cfRule type="duplicateValues" dxfId="1" priority="134"/>
  </conditionalFormatting>
  <conditionalFormatting sqref="B142">
    <cfRule type="duplicateValues" dxfId="1" priority="125"/>
    <cfRule type="duplicateValues" dxfId="2" priority="126"/>
    <cfRule type="duplicateValues" dxfId="1" priority="127"/>
  </conditionalFormatting>
  <conditionalFormatting sqref="B143">
    <cfRule type="duplicateValues" dxfId="1" priority="116"/>
    <cfRule type="duplicateValues" dxfId="2" priority="119"/>
    <cfRule type="duplicateValues" dxfId="1" priority="120"/>
  </conditionalFormatting>
  <conditionalFormatting sqref="B144">
    <cfRule type="duplicateValues" dxfId="1" priority="109"/>
    <cfRule type="duplicateValues" dxfId="2" priority="112"/>
    <cfRule type="duplicateValues" dxfId="1" priority="113"/>
  </conditionalFormatting>
  <conditionalFormatting sqref="B145">
    <cfRule type="duplicateValues" dxfId="1" priority="94"/>
    <cfRule type="duplicateValues" dxfId="2" priority="98"/>
  </conditionalFormatting>
  <conditionalFormatting sqref="B146">
    <cfRule type="duplicateValues" dxfId="1" priority="89"/>
    <cfRule type="duplicateValues" dxfId="2" priority="91"/>
    <cfRule type="duplicateValues" dxfId="1" priority="92"/>
  </conditionalFormatting>
  <conditionalFormatting sqref="B147">
    <cfRule type="duplicateValues" dxfId="2" priority="82"/>
    <cfRule type="duplicateValues" dxfId="1" priority="83"/>
  </conditionalFormatting>
  <conditionalFormatting sqref="B148">
    <cfRule type="duplicateValues" dxfId="1" priority="70"/>
  </conditionalFormatting>
  <conditionalFormatting sqref="B149">
    <cfRule type="duplicateValues" dxfId="1" priority="59"/>
    <cfRule type="duplicateValues" dxfId="2" priority="63"/>
    <cfRule type="duplicateValues" dxfId="1" priority="64"/>
  </conditionalFormatting>
  <conditionalFormatting sqref="B150">
    <cfRule type="duplicateValues" dxfId="1" priority="55"/>
    <cfRule type="duplicateValues" dxfId="2" priority="56"/>
  </conditionalFormatting>
  <conditionalFormatting sqref="B153">
    <cfRule type="duplicateValues" dxfId="3" priority="27"/>
  </conditionalFormatting>
  <conditionalFormatting sqref="B154">
    <cfRule type="duplicateValues" dxfId="1" priority="43"/>
    <cfRule type="duplicateValues" dxfId="2" priority="44"/>
    <cfRule type="duplicateValues" dxfId="1" priority="45"/>
  </conditionalFormatting>
  <conditionalFormatting sqref="B155">
    <cfRule type="duplicateValues" dxfId="3" priority="32"/>
  </conditionalFormatting>
  <conditionalFormatting sqref="B156">
    <cfRule type="duplicateValues" dxfId="3" priority="25"/>
  </conditionalFormatting>
  <conditionalFormatting sqref="B157">
    <cfRule type="duplicateValues" dxfId="1" priority="22"/>
    <cfRule type="duplicateValues" dxfId="2" priority="23"/>
    <cfRule type="duplicateValues" dxfId="1" priority="24"/>
  </conditionalFormatting>
  <conditionalFormatting sqref="B158">
    <cfRule type="duplicateValues" dxfId="3" priority="19"/>
  </conditionalFormatting>
  <conditionalFormatting sqref="B159">
    <cfRule type="duplicateValues" dxfId="3" priority="29"/>
  </conditionalFormatting>
  <conditionalFormatting sqref="B160">
    <cfRule type="duplicateValues" dxfId="3" priority="13"/>
  </conditionalFormatting>
  <conditionalFormatting sqref="B161">
    <cfRule type="duplicateValues" dxfId="1" priority="15"/>
    <cfRule type="duplicateValues" dxfId="2" priority="17"/>
    <cfRule type="duplicateValues" dxfId="1" priority="18"/>
  </conditionalFormatting>
  <conditionalFormatting sqref="B162">
    <cfRule type="duplicateValues" dxfId="3" priority="11"/>
  </conditionalFormatting>
  <conditionalFormatting sqref="B163">
    <cfRule type="duplicateValues" dxfId="3" priority="12"/>
  </conditionalFormatting>
  <conditionalFormatting sqref="B164">
    <cfRule type="duplicateValues" dxfId="3" priority="10"/>
  </conditionalFormatting>
  <conditionalFormatting sqref="B165">
    <cfRule type="duplicateValues" dxfId="3" priority="9"/>
  </conditionalFormatting>
  <conditionalFormatting sqref="B166">
    <cfRule type="duplicateValues" dxfId="3" priority="7"/>
  </conditionalFormatting>
  <conditionalFormatting sqref="B167">
    <cfRule type="duplicateValues" dxfId="3" priority="8"/>
  </conditionalFormatting>
  <conditionalFormatting sqref="B168">
    <cfRule type="duplicateValues" dxfId="3" priority="6"/>
  </conditionalFormatting>
  <conditionalFormatting sqref="B169">
    <cfRule type="duplicateValues" dxfId="1" priority="2"/>
    <cfRule type="duplicateValues" dxfId="1" priority="3"/>
    <cfRule type="duplicateValues" dxfId="3" priority="4"/>
  </conditionalFormatting>
  <conditionalFormatting sqref="B172">
    <cfRule type="duplicateValues" dxfId="3" priority="5"/>
  </conditionalFormatting>
  <conditionalFormatting sqref="B173">
    <cfRule type="duplicateValues" dxfId="3" priority="30"/>
  </conditionalFormatting>
  <conditionalFormatting sqref="B151:B152">
    <cfRule type="duplicateValues" dxfId="1" priority="46"/>
    <cfRule type="duplicateValues" dxfId="2" priority="47"/>
    <cfRule type="duplicateValues" dxfId="1" priority="48"/>
  </conditionalFormatting>
  <conditionalFormatting sqref="B170:B171">
    <cfRule type="duplicateValues" dxfId="3" priority="1"/>
  </conditionalFormatting>
  <conditionalFormatting sqref="B1:B152 B154 B174:B1048576">
    <cfRule type="duplicateValues" dxfId="1" priority="33"/>
  </conditionalFormatting>
  <conditionalFormatting sqref="B1:B152 B154:B155 B159 B173:B1048576">
    <cfRule type="duplicateValues" dxfId="1" priority="28"/>
  </conditionalFormatting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M41"/>
  <sheetViews>
    <sheetView zoomScale="85" zoomScaleNormal="85" workbookViewId="0">
      <pane ySplit="2" topLeftCell="A9" activePane="bottomLeft" state="frozen"/>
      <selection/>
      <selection pane="bottomLeft" activeCell="B3" sqref="B3:F32"/>
    </sheetView>
  </sheetViews>
  <sheetFormatPr defaultColWidth="9" defaultRowHeight="15"/>
  <cols>
    <col min="1" max="1" width="9" style="137"/>
    <col min="2" max="2" width="22.125" style="137" customWidth="1"/>
    <col min="3" max="3" width="20.75" style="137" customWidth="1"/>
    <col min="4" max="4" width="9.875" style="137" customWidth="1"/>
    <col min="5" max="5" width="8.75" style="137" customWidth="1"/>
    <col min="6" max="6" width="10" style="137" customWidth="1"/>
    <col min="7" max="7" width="4" style="137" customWidth="1"/>
    <col min="8" max="16384" width="9" style="137"/>
  </cols>
  <sheetData>
    <row r="1" ht="15.75" spans="2:13">
      <c r="B1" s="153" t="s">
        <v>258</v>
      </c>
      <c r="C1" s="154"/>
      <c r="D1" s="154"/>
      <c r="E1" s="154"/>
      <c r="F1" s="163"/>
      <c r="G1" s="371"/>
      <c r="H1" s="372" t="s">
        <v>42</v>
      </c>
      <c r="I1" s="372"/>
      <c r="J1" s="372"/>
      <c r="K1" s="372" t="s">
        <v>46</v>
      </c>
      <c r="L1" s="372"/>
      <c r="M1" s="372"/>
    </row>
    <row r="2" spans="2:13">
      <c r="B2" s="373" t="s">
        <v>48</v>
      </c>
      <c r="C2" s="373" t="s">
        <v>49</v>
      </c>
      <c r="D2" s="373" t="s">
        <v>50</v>
      </c>
      <c r="E2" s="373" t="s">
        <v>51</v>
      </c>
      <c r="F2" s="373" t="s">
        <v>52</v>
      </c>
      <c r="G2" s="371" t="s">
        <v>259</v>
      </c>
      <c r="H2" s="373" t="s">
        <v>50</v>
      </c>
      <c r="I2" s="373" t="s">
        <v>51</v>
      </c>
      <c r="J2" s="373" t="s">
        <v>52</v>
      </c>
      <c r="K2" s="373" t="s">
        <v>50</v>
      </c>
      <c r="L2" s="373" t="s">
        <v>51</v>
      </c>
      <c r="M2" s="373" t="s">
        <v>52</v>
      </c>
    </row>
    <row r="3" spans="2:13">
      <c r="B3" s="59" t="s">
        <v>54</v>
      </c>
      <c r="C3" s="59" t="s">
        <v>11</v>
      </c>
      <c r="D3" s="60">
        <f>COUNTIFS(RETAIL!M:M,+B3)</f>
        <v>1</v>
      </c>
      <c r="E3" s="60">
        <f>COUNTIFS(IH!L:L,B3,IH!S:S,"DISBURSED")</f>
        <v>0</v>
      </c>
      <c r="F3" s="374">
        <f t="shared" ref="F3:F19" si="0">IFERROR(E3/D3,0)</f>
        <v>0</v>
      </c>
      <c r="G3" s="371"/>
      <c r="H3" s="60">
        <f>COUNTIFS([1]RETAIL!$M:$M,B3)</f>
        <v>0</v>
      </c>
      <c r="I3" s="60">
        <f>COUNTIFS([1]IH!$S:$S,"DISBURSED",[1]IH!$L:$L,B3)</f>
        <v>0</v>
      </c>
      <c r="J3" s="374">
        <f>IFERROR(I3/H3,0)</f>
        <v>0</v>
      </c>
      <c r="K3" s="60">
        <f>D3+H3</f>
        <v>1</v>
      </c>
      <c r="L3" s="60">
        <f>E3+I3</f>
        <v>0</v>
      </c>
      <c r="M3" s="374">
        <f>IFERROR(L3/K3,0)</f>
        <v>0</v>
      </c>
    </row>
    <row r="4" spans="2:13">
      <c r="B4" s="59" t="s">
        <v>56</v>
      </c>
      <c r="C4" s="59" t="s">
        <v>13</v>
      </c>
      <c r="D4" s="60">
        <f>COUNTIFS(RETAIL!M:M,+B4)</f>
        <v>5</v>
      </c>
      <c r="E4" s="60">
        <f>COUNTIFS(IH!L:L,B4,IH!S:S,"DISBURSED")</f>
        <v>4</v>
      </c>
      <c r="F4" s="374">
        <f t="shared" si="0"/>
        <v>0.8</v>
      </c>
      <c r="G4" s="371"/>
      <c r="H4" s="60">
        <f>COUNTIFS([1]RETAIL!$M:$M,B4)</f>
        <v>2</v>
      </c>
      <c r="I4" s="60">
        <f>COUNTIFS([1]IH!$S:$S,"DISBURSED",[1]IH!$L:$L,B4)</f>
        <v>2</v>
      </c>
      <c r="J4" s="374">
        <f t="shared" ref="J4:J33" si="1">IFERROR(I4/H4,0)</f>
        <v>1</v>
      </c>
      <c r="K4" s="60">
        <f t="shared" ref="K4:K32" si="2">D4+H4</f>
        <v>7</v>
      </c>
      <c r="L4" s="60">
        <f t="shared" ref="L4:L32" si="3">E4+I4</f>
        <v>6</v>
      </c>
      <c r="M4" s="374">
        <f t="shared" ref="M4:M33" si="4">IFERROR(L4/K4,0)</f>
        <v>0.857142857142857</v>
      </c>
    </row>
    <row r="5" spans="2:13">
      <c r="B5" s="59" t="s">
        <v>59</v>
      </c>
      <c r="C5" s="59" t="s">
        <v>15</v>
      </c>
      <c r="D5" s="60">
        <f>COUNTIFS(RETAIL!M:M,+B5)</f>
        <v>9</v>
      </c>
      <c r="E5" s="60">
        <f>COUNTIFS(IH!L:L,B5,IH!S:S,"DISBURSED")</f>
        <v>8</v>
      </c>
      <c r="F5" s="374">
        <f t="shared" si="0"/>
        <v>0.888888888888889</v>
      </c>
      <c r="G5" s="371"/>
      <c r="H5" s="60">
        <f>COUNTIFS([1]RETAIL!$M:$M,B5)</f>
        <v>5</v>
      </c>
      <c r="I5" s="60">
        <f>COUNTIFS([1]IH!$S:$S,"DISBURSED",[1]IH!$L:$L,B5)</f>
        <v>3</v>
      </c>
      <c r="J5" s="374">
        <f t="shared" si="1"/>
        <v>0.6</v>
      </c>
      <c r="K5" s="60">
        <f t="shared" si="2"/>
        <v>14</v>
      </c>
      <c r="L5" s="60">
        <f t="shared" si="3"/>
        <v>11</v>
      </c>
      <c r="M5" s="374">
        <f t="shared" si="4"/>
        <v>0.785714285714286</v>
      </c>
    </row>
    <row r="6" spans="2:13">
      <c r="B6" s="59" t="s">
        <v>66</v>
      </c>
      <c r="C6" s="59" t="s">
        <v>17</v>
      </c>
      <c r="D6" s="60">
        <f>COUNTIFS(RETAIL!M:M,+B6)</f>
        <v>13</v>
      </c>
      <c r="E6" s="60">
        <f>COUNTIFS(IH!L:L,B6,IH!S:S,"DISBURSED")</f>
        <v>3</v>
      </c>
      <c r="F6" s="374">
        <f t="shared" si="0"/>
        <v>0.230769230769231</v>
      </c>
      <c r="G6" s="371"/>
      <c r="H6" s="60">
        <f>COUNTIFS([1]RETAIL!$M:$M,B6)</f>
        <v>0</v>
      </c>
      <c r="I6" s="60">
        <f>COUNTIFS([1]IH!$S:$S,"DISBURSED",[1]IH!$L:$L,B6)</f>
        <v>0</v>
      </c>
      <c r="J6" s="374">
        <f t="shared" si="1"/>
        <v>0</v>
      </c>
      <c r="K6" s="60">
        <f t="shared" si="2"/>
        <v>13</v>
      </c>
      <c r="L6" s="60">
        <f t="shared" si="3"/>
        <v>3</v>
      </c>
      <c r="M6" s="374">
        <f t="shared" si="4"/>
        <v>0.230769230769231</v>
      </c>
    </row>
    <row r="7" spans="2:13">
      <c r="B7" s="59" t="s">
        <v>69</v>
      </c>
      <c r="C7" s="59" t="s">
        <v>17</v>
      </c>
      <c r="D7" s="60">
        <f>COUNTIFS(RETAIL!M:M,+B7)</f>
        <v>11</v>
      </c>
      <c r="E7" s="60">
        <f>COUNTIFS(IH!L:L,B7,IH!S:S,"DISBURSED")</f>
        <v>8</v>
      </c>
      <c r="F7" s="374">
        <f t="shared" si="0"/>
        <v>0.727272727272727</v>
      </c>
      <c r="G7" s="371"/>
      <c r="H7" s="60">
        <f>COUNTIFS([1]RETAIL!$M:$M,B7)</f>
        <v>4</v>
      </c>
      <c r="I7" s="60">
        <f>COUNTIFS([1]IH!$S:$S,"DISBURSED",[1]IH!$L:$L,B7)</f>
        <v>2</v>
      </c>
      <c r="J7" s="374">
        <f t="shared" si="1"/>
        <v>0.5</v>
      </c>
      <c r="K7" s="60">
        <f t="shared" si="2"/>
        <v>15</v>
      </c>
      <c r="L7" s="60">
        <f t="shared" si="3"/>
        <v>10</v>
      </c>
      <c r="M7" s="374">
        <f t="shared" si="4"/>
        <v>0.666666666666667</v>
      </c>
    </row>
    <row r="8" spans="2:13">
      <c r="B8" s="59" t="s">
        <v>74</v>
      </c>
      <c r="C8" s="59" t="s">
        <v>17</v>
      </c>
      <c r="D8" s="60">
        <f>COUNTIFS(RETAIL!M:M,+B8)</f>
        <v>7</v>
      </c>
      <c r="E8" s="60">
        <f>COUNTIFS(IH!L:L,B8,IH!S:S,"DISBURSED")</f>
        <v>5</v>
      </c>
      <c r="F8" s="374">
        <f t="shared" si="0"/>
        <v>0.714285714285714</v>
      </c>
      <c r="G8" s="371"/>
      <c r="H8" s="60">
        <f>COUNTIFS([1]RETAIL!$M:$M,B8)</f>
        <v>2</v>
      </c>
      <c r="I8" s="60">
        <f>COUNTIFS([1]IH!$S:$S,"DISBURSED",[1]IH!$L:$L,B8)</f>
        <v>2</v>
      </c>
      <c r="J8" s="374">
        <f t="shared" si="1"/>
        <v>1</v>
      </c>
      <c r="K8" s="60">
        <f t="shared" si="2"/>
        <v>9</v>
      </c>
      <c r="L8" s="60">
        <f t="shared" si="3"/>
        <v>7</v>
      </c>
      <c r="M8" s="374">
        <f t="shared" si="4"/>
        <v>0.777777777777778</v>
      </c>
    </row>
    <row r="9" spans="2:13">
      <c r="B9" s="59" t="s">
        <v>79</v>
      </c>
      <c r="C9" s="59" t="s">
        <v>17</v>
      </c>
      <c r="D9" s="60">
        <f>COUNTIFS(RETAIL!M:M,+B9)</f>
        <v>4</v>
      </c>
      <c r="E9" s="60">
        <f>COUNTIFS(IH!L:L,B9,IH!S:S,"DISBURSED")</f>
        <v>4</v>
      </c>
      <c r="F9" s="374">
        <f t="shared" si="0"/>
        <v>1</v>
      </c>
      <c r="G9" s="371"/>
      <c r="H9" s="60">
        <f>COUNTIFS([1]RETAIL!$M:$M,B9)</f>
        <v>1</v>
      </c>
      <c r="I9" s="60">
        <f>COUNTIFS([1]IH!$S:$S,"DISBURSED",[1]IH!$L:$L,B9)</f>
        <v>1</v>
      </c>
      <c r="J9" s="374">
        <f t="shared" si="1"/>
        <v>1</v>
      </c>
      <c r="K9" s="60">
        <f t="shared" si="2"/>
        <v>5</v>
      </c>
      <c r="L9" s="60">
        <f t="shared" si="3"/>
        <v>5</v>
      </c>
      <c r="M9" s="374">
        <f t="shared" si="4"/>
        <v>1</v>
      </c>
    </row>
    <row r="10" spans="2:13">
      <c r="B10" s="59" t="s">
        <v>82</v>
      </c>
      <c r="C10" s="59" t="s">
        <v>33</v>
      </c>
      <c r="D10" s="60">
        <f>COUNTIFS(RETAIL!M:M,+B10)</f>
        <v>4</v>
      </c>
      <c r="E10" s="60">
        <f>COUNTIFS(IH!L:L,B10,IH!S:S,"DISBURSED")</f>
        <v>3</v>
      </c>
      <c r="F10" s="374">
        <f t="shared" si="0"/>
        <v>0.75</v>
      </c>
      <c r="G10" s="371"/>
      <c r="H10" s="60">
        <f>COUNTIFS([1]RETAIL!$M:$M,B10)</f>
        <v>1</v>
      </c>
      <c r="I10" s="60">
        <f>COUNTIFS([1]IH!$S:$S,"DISBURSED",[1]IH!$L:$L,B10)</f>
        <v>1</v>
      </c>
      <c r="J10" s="374">
        <f t="shared" si="1"/>
        <v>1</v>
      </c>
      <c r="K10" s="60">
        <f t="shared" si="2"/>
        <v>5</v>
      </c>
      <c r="L10" s="60">
        <f t="shared" si="3"/>
        <v>4</v>
      </c>
      <c r="M10" s="374">
        <f t="shared" si="4"/>
        <v>0.8</v>
      </c>
    </row>
    <row r="11" spans="2:13">
      <c r="B11" s="59" t="s">
        <v>88</v>
      </c>
      <c r="C11" s="59" t="s">
        <v>19</v>
      </c>
      <c r="D11" s="60">
        <f>COUNTIFS(RETAIL!M:M,+B11)</f>
        <v>8</v>
      </c>
      <c r="E11" s="60">
        <f>COUNTIFS(IH!L:L,B11,IH!S:S,"DISBURSED")</f>
        <v>5</v>
      </c>
      <c r="F11" s="374">
        <f t="shared" si="0"/>
        <v>0.625</v>
      </c>
      <c r="G11" s="371"/>
      <c r="H11" s="60">
        <f>COUNTIFS([1]RETAIL!$M:$M,B11)</f>
        <v>3</v>
      </c>
      <c r="I11" s="60">
        <f>COUNTIFS([1]IH!$S:$S,"DISBURSED",[1]IH!$L:$L,B11)</f>
        <v>3</v>
      </c>
      <c r="J11" s="374">
        <f t="shared" si="1"/>
        <v>1</v>
      </c>
      <c r="K11" s="60">
        <f t="shared" si="2"/>
        <v>11</v>
      </c>
      <c r="L11" s="60">
        <f t="shared" si="3"/>
        <v>8</v>
      </c>
      <c r="M11" s="374">
        <f t="shared" si="4"/>
        <v>0.727272727272727</v>
      </c>
    </row>
    <row r="12" spans="2:13">
      <c r="B12" s="59" t="s">
        <v>92</v>
      </c>
      <c r="C12" s="59" t="s">
        <v>23</v>
      </c>
      <c r="D12" s="60">
        <f>COUNTIFS(RETAIL!M:M,+B12)</f>
        <v>5</v>
      </c>
      <c r="E12" s="60">
        <f>COUNTIFS(IH!L:L,B12,IH!S:S,"DISBURSED")</f>
        <v>1</v>
      </c>
      <c r="F12" s="374">
        <f t="shared" si="0"/>
        <v>0.2</v>
      </c>
      <c r="G12" s="371"/>
      <c r="H12" s="60">
        <f>COUNTIFS([1]RETAIL!$M:$M,B12)</f>
        <v>1</v>
      </c>
      <c r="I12" s="60">
        <f>COUNTIFS([1]IH!$S:$S,"DISBURSED",[1]IH!$L:$L,B12)</f>
        <v>1</v>
      </c>
      <c r="J12" s="374">
        <f t="shared" si="1"/>
        <v>1</v>
      </c>
      <c r="K12" s="60">
        <f t="shared" si="2"/>
        <v>6</v>
      </c>
      <c r="L12" s="60">
        <f t="shared" si="3"/>
        <v>2</v>
      </c>
      <c r="M12" s="374">
        <f t="shared" si="4"/>
        <v>0.333333333333333</v>
      </c>
    </row>
    <row r="13" spans="2:13">
      <c r="B13" s="59" t="s">
        <v>94</v>
      </c>
      <c r="C13" s="59" t="s">
        <v>23</v>
      </c>
      <c r="D13" s="60">
        <f>COUNTIFS(RETAIL!M:M,+B13)</f>
        <v>5</v>
      </c>
      <c r="E13" s="60">
        <f>COUNTIFS(IH!L:L,B13,IH!S:S,"DISBURSED")</f>
        <v>5</v>
      </c>
      <c r="F13" s="374">
        <f t="shared" si="0"/>
        <v>1</v>
      </c>
      <c r="G13" s="371"/>
      <c r="H13" s="60">
        <f>COUNTIFS([1]RETAIL!$M:$M,B13)</f>
        <v>5</v>
      </c>
      <c r="I13" s="60">
        <f>COUNTIFS([1]IH!$S:$S,"DISBURSED",[1]IH!$L:$L,B13)</f>
        <v>5</v>
      </c>
      <c r="J13" s="374">
        <f t="shared" si="1"/>
        <v>1</v>
      </c>
      <c r="K13" s="60">
        <f t="shared" si="2"/>
        <v>10</v>
      </c>
      <c r="L13" s="60">
        <f t="shared" si="3"/>
        <v>10</v>
      </c>
      <c r="M13" s="374">
        <f t="shared" si="4"/>
        <v>1</v>
      </c>
    </row>
    <row r="14" spans="2:13">
      <c r="B14" s="58" t="s">
        <v>96</v>
      </c>
      <c r="C14" s="59" t="s">
        <v>23</v>
      </c>
      <c r="D14" s="60">
        <f>COUNTIFS(RETAIL!M:M,+B14)</f>
        <v>9</v>
      </c>
      <c r="E14" s="60">
        <f>COUNTIFS(IH!L:L,B14,IH!S:S,"DISBURSED")</f>
        <v>5</v>
      </c>
      <c r="F14" s="374">
        <f t="shared" si="0"/>
        <v>0.555555555555556</v>
      </c>
      <c r="G14" s="371"/>
      <c r="H14" s="60">
        <f>COUNTIFS([1]RETAIL!$M:$M,B14)</f>
        <v>0</v>
      </c>
      <c r="I14" s="60">
        <f>COUNTIFS([1]IH!$S:$S,"DISBURSED",[1]IH!$L:$L,B14)</f>
        <v>0</v>
      </c>
      <c r="J14" s="374">
        <f t="shared" si="1"/>
        <v>0</v>
      </c>
      <c r="K14" s="60">
        <f t="shared" si="2"/>
        <v>9</v>
      </c>
      <c r="L14" s="60">
        <f t="shared" si="3"/>
        <v>5</v>
      </c>
      <c r="M14" s="374">
        <f t="shared" si="4"/>
        <v>0.555555555555556</v>
      </c>
    </row>
    <row r="15" spans="2:13">
      <c r="B15" s="59" t="s">
        <v>99</v>
      </c>
      <c r="C15" s="59" t="s">
        <v>100</v>
      </c>
      <c r="D15" s="60">
        <f>COUNTIFS(RETAIL!M:M,+B15)</f>
        <v>8</v>
      </c>
      <c r="E15" s="60">
        <f>COUNTIFS(IH!L:L,B15,IH!S:S,"DISBURSED")</f>
        <v>5</v>
      </c>
      <c r="F15" s="374">
        <f t="shared" si="0"/>
        <v>0.625</v>
      </c>
      <c r="G15" s="371"/>
      <c r="H15" s="60">
        <f>COUNTIFS([1]RETAIL!$M:$M,B15)</f>
        <v>6</v>
      </c>
      <c r="I15" s="60">
        <f>COUNTIFS([1]IH!$S:$S,"DISBURSED",[1]IH!$L:$L,B15)</f>
        <v>4</v>
      </c>
      <c r="J15" s="374">
        <f t="shared" si="1"/>
        <v>0.666666666666667</v>
      </c>
      <c r="K15" s="60">
        <f t="shared" si="2"/>
        <v>14</v>
      </c>
      <c r="L15" s="60">
        <f t="shared" si="3"/>
        <v>9</v>
      </c>
      <c r="M15" s="374">
        <f t="shared" si="4"/>
        <v>0.642857142857143</v>
      </c>
    </row>
    <row r="16" spans="2:13">
      <c r="B16" s="59" t="s">
        <v>196</v>
      </c>
      <c r="C16" s="59" t="s">
        <v>107</v>
      </c>
      <c r="D16" s="60">
        <f>COUNTIFS(RETAIL!M:M,+B16)</f>
        <v>0</v>
      </c>
      <c r="E16" s="60">
        <f>COUNTIFS(IH!L:L,B16,IH!S:S,"DISBURSED")</f>
        <v>0</v>
      </c>
      <c r="F16" s="374">
        <f t="shared" si="0"/>
        <v>0</v>
      </c>
      <c r="G16" s="371"/>
      <c r="H16" s="60">
        <f>COUNTIFS([1]RETAIL!$M:$M,B16)</f>
        <v>0</v>
      </c>
      <c r="I16" s="60">
        <f>COUNTIFS([1]IH!$S:$S,"DISBURSED",[1]IH!$L:$L,B16)</f>
        <v>0</v>
      </c>
      <c r="J16" s="374">
        <f t="shared" si="1"/>
        <v>0</v>
      </c>
      <c r="K16" s="60">
        <f t="shared" si="2"/>
        <v>0</v>
      </c>
      <c r="L16" s="60">
        <f t="shared" si="3"/>
        <v>0</v>
      </c>
      <c r="M16" s="374">
        <f t="shared" si="4"/>
        <v>0</v>
      </c>
    </row>
    <row r="17" spans="2:13">
      <c r="B17" s="59" t="s">
        <v>110</v>
      </c>
      <c r="C17" s="59" t="s">
        <v>111</v>
      </c>
      <c r="D17" s="60">
        <f>COUNTIFS(RETAIL!M:M,+B17)</f>
        <v>9</v>
      </c>
      <c r="E17" s="60">
        <f>COUNTIFS(IH!L:L,B17,IH!S:S,"DISBURSED")</f>
        <v>7</v>
      </c>
      <c r="F17" s="374">
        <f t="shared" si="0"/>
        <v>0.777777777777778</v>
      </c>
      <c r="G17" s="371"/>
      <c r="H17" s="60">
        <f>COUNTIFS([1]RETAIL!$M:$M,B17)</f>
        <v>5</v>
      </c>
      <c r="I17" s="60">
        <f>COUNTIFS([1]IH!$S:$S,"DISBURSED",[1]IH!$L:$L,B17)</f>
        <v>4</v>
      </c>
      <c r="J17" s="374">
        <f t="shared" si="1"/>
        <v>0.8</v>
      </c>
      <c r="K17" s="60">
        <f t="shared" si="2"/>
        <v>14</v>
      </c>
      <c r="L17" s="60">
        <f t="shared" si="3"/>
        <v>11</v>
      </c>
      <c r="M17" s="374">
        <f t="shared" si="4"/>
        <v>0.785714285714286</v>
      </c>
    </row>
    <row r="18" spans="2:13">
      <c r="B18" s="59" t="s">
        <v>116</v>
      </c>
      <c r="C18" s="59" t="s">
        <v>25</v>
      </c>
      <c r="D18" s="60">
        <f>COUNTIFS(RETAIL!M:M,+B18)</f>
        <v>11</v>
      </c>
      <c r="E18" s="60">
        <f>COUNTIFS(IH!L:L,B18,IH!S:S,"DISBURSED")</f>
        <v>6</v>
      </c>
      <c r="F18" s="374">
        <f t="shared" si="0"/>
        <v>0.545454545454545</v>
      </c>
      <c r="G18" s="371"/>
      <c r="H18" s="60">
        <f>COUNTIFS([1]RETAIL!$M:$M,B18)</f>
        <v>0</v>
      </c>
      <c r="I18" s="60">
        <f>COUNTIFS([1]IH!$S:$S,"DISBURSED",[1]IH!$L:$L,B18)</f>
        <v>0</v>
      </c>
      <c r="J18" s="374">
        <f t="shared" si="1"/>
        <v>0</v>
      </c>
      <c r="K18" s="60">
        <f t="shared" si="2"/>
        <v>11</v>
      </c>
      <c r="L18" s="60">
        <f t="shared" si="3"/>
        <v>6</v>
      </c>
      <c r="M18" s="374">
        <f t="shared" si="4"/>
        <v>0.545454545454545</v>
      </c>
    </row>
    <row r="19" spans="2:13">
      <c r="B19" s="59" t="s">
        <v>124</v>
      </c>
      <c r="C19" s="59" t="s">
        <v>42</v>
      </c>
      <c r="D19" s="60">
        <f>COUNTIFS(RETAIL!M:M,+B19)</f>
        <v>2</v>
      </c>
      <c r="E19" s="60">
        <f>COUNTIFS(IH!L:L,B19,IH!S:S,"DISBURSED")</f>
        <v>1</v>
      </c>
      <c r="F19" s="374">
        <f t="shared" si="0"/>
        <v>0.5</v>
      </c>
      <c r="G19" s="371"/>
      <c r="H19" s="60">
        <f>COUNTIFS([1]RETAIL!$M:$M,B19)</f>
        <v>14</v>
      </c>
      <c r="I19" s="60">
        <f>COUNTIFS([1]IH!$S:$S,"DISBURSED",[1]IH!$L:$L,B19)</f>
        <v>7</v>
      </c>
      <c r="J19" s="374">
        <f t="shared" si="1"/>
        <v>0.5</v>
      </c>
      <c r="K19" s="60">
        <f t="shared" si="2"/>
        <v>16</v>
      </c>
      <c r="L19" s="60">
        <f t="shared" si="3"/>
        <v>8</v>
      </c>
      <c r="M19" s="374">
        <f t="shared" si="4"/>
        <v>0.5</v>
      </c>
    </row>
    <row r="20" spans="2:13">
      <c r="B20" s="59" t="s">
        <v>127</v>
      </c>
      <c r="C20" s="59" t="s">
        <v>42</v>
      </c>
      <c r="D20" s="60">
        <f>COUNTIFS(RETAIL!M:M,+B20)</f>
        <v>0</v>
      </c>
      <c r="E20" s="60">
        <f>COUNTIFS(IH!L:L,B20,IH!S:S,"DISBURSED")</f>
        <v>0</v>
      </c>
      <c r="F20" s="374">
        <f t="shared" ref="F20:F33" si="5">IFERROR(E20/D20,0)</f>
        <v>0</v>
      </c>
      <c r="G20" s="371"/>
      <c r="H20" s="60">
        <f>COUNTIFS([1]RETAIL!$M:$M,B20)</f>
        <v>0</v>
      </c>
      <c r="I20" s="60">
        <f>COUNTIFS([1]IH!$S:$S,"DISBURSED",[1]IH!$L:$L,B20)</f>
        <v>0</v>
      </c>
      <c r="J20" s="374">
        <f t="shared" si="1"/>
        <v>0</v>
      </c>
      <c r="K20" s="60">
        <f t="shared" si="2"/>
        <v>0</v>
      </c>
      <c r="L20" s="60">
        <f t="shared" si="3"/>
        <v>0</v>
      </c>
      <c r="M20" s="374">
        <f t="shared" si="4"/>
        <v>0</v>
      </c>
    </row>
    <row r="21" spans="2:13">
      <c r="B21" s="59" t="s">
        <v>129</v>
      </c>
      <c r="C21" s="59" t="s">
        <v>42</v>
      </c>
      <c r="D21" s="60">
        <f>COUNTIFS(RETAIL!M:M,+B21)</f>
        <v>1</v>
      </c>
      <c r="E21" s="60">
        <f>COUNTIFS(IH!L:L,B21,IH!S:S,"DISBURSED")</f>
        <v>0</v>
      </c>
      <c r="F21" s="374">
        <f t="shared" si="5"/>
        <v>0</v>
      </c>
      <c r="G21" s="371"/>
      <c r="H21" s="60">
        <f>COUNTIFS([1]RETAIL!$M:$M,B21)</f>
        <v>14</v>
      </c>
      <c r="I21" s="60">
        <f>COUNTIFS([1]IH!$S:$S,"DISBURSED",[1]IH!$L:$L,B21)</f>
        <v>9</v>
      </c>
      <c r="J21" s="374">
        <f t="shared" si="1"/>
        <v>0.642857142857143</v>
      </c>
      <c r="K21" s="60">
        <f t="shared" si="2"/>
        <v>15</v>
      </c>
      <c r="L21" s="60">
        <f t="shared" si="3"/>
        <v>9</v>
      </c>
      <c r="M21" s="374">
        <f t="shared" si="4"/>
        <v>0.6</v>
      </c>
    </row>
    <row r="22" spans="2:13">
      <c r="B22" s="59" t="s">
        <v>131</v>
      </c>
      <c r="C22" s="59" t="s">
        <v>42</v>
      </c>
      <c r="D22" s="60">
        <f>COUNTIFS(RETAIL!M:M,+B22)</f>
        <v>0</v>
      </c>
      <c r="E22" s="60">
        <f>COUNTIFS(IH!L:L,B22,IH!S:S,"DISBURSED")</f>
        <v>0</v>
      </c>
      <c r="F22" s="374">
        <f t="shared" si="5"/>
        <v>0</v>
      </c>
      <c r="G22" s="371"/>
      <c r="H22" s="60">
        <f>COUNTIFS([1]RETAIL!$M:$M,B22)</f>
        <v>16</v>
      </c>
      <c r="I22" s="60">
        <f>COUNTIFS([1]IH!$S:$S,"DISBURSED",[1]IH!$L:$L,B22)</f>
        <v>10</v>
      </c>
      <c r="J22" s="374">
        <f t="shared" si="1"/>
        <v>0.625</v>
      </c>
      <c r="K22" s="60">
        <f t="shared" si="2"/>
        <v>16</v>
      </c>
      <c r="L22" s="60">
        <f t="shared" si="3"/>
        <v>10</v>
      </c>
      <c r="M22" s="374">
        <f t="shared" si="4"/>
        <v>0.625</v>
      </c>
    </row>
    <row r="23" spans="2:13">
      <c r="B23" s="59" t="s">
        <v>133</v>
      </c>
      <c r="C23" s="59" t="s">
        <v>42</v>
      </c>
      <c r="D23" s="60">
        <f>COUNTIFS(RETAIL!M:M,+B23)</f>
        <v>4</v>
      </c>
      <c r="E23" s="60">
        <f>COUNTIFS(IH!L:L,B23,IH!S:S,"DISBURSED")</f>
        <v>3</v>
      </c>
      <c r="F23" s="374">
        <f t="shared" si="5"/>
        <v>0.75</v>
      </c>
      <c r="G23" s="371"/>
      <c r="H23" s="60">
        <f>COUNTIFS([1]RETAIL!$M:$M,B23)</f>
        <v>17</v>
      </c>
      <c r="I23" s="60">
        <f>COUNTIFS([1]IH!$S:$S,"DISBURSED",[1]IH!$L:$L,B23)</f>
        <v>16</v>
      </c>
      <c r="J23" s="374">
        <f t="shared" si="1"/>
        <v>0.941176470588235</v>
      </c>
      <c r="K23" s="60">
        <f t="shared" si="2"/>
        <v>21</v>
      </c>
      <c r="L23" s="60">
        <f t="shared" si="3"/>
        <v>19</v>
      </c>
      <c r="M23" s="374">
        <f t="shared" si="4"/>
        <v>0.904761904761905</v>
      </c>
    </row>
    <row r="24" spans="2:13">
      <c r="B24" s="59" t="s">
        <v>260</v>
      </c>
      <c r="C24" s="59" t="s">
        <v>42</v>
      </c>
      <c r="D24" s="60">
        <f>COUNTIFS(RETAIL!M:M,+B24)</f>
        <v>0</v>
      </c>
      <c r="E24" s="60">
        <f>COUNTIFS(IH!L:L,B24,IH!S:S,"DISBURSED")</f>
        <v>0</v>
      </c>
      <c r="F24" s="374">
        <f t="shared" si="5"/>
        <v>0</v>
      </c>
      <c r="G24" s="371"/>
      <c r="H24" s="60">
        <f>COUNTIFS([1]RETAIL!$M:$M,B24)</f>
        <v>0</v>
      </c>
      <c r="I24" s="60">
        <f>COUNTIFS([1]IH!$S:$S,"DISBURSED",[1]IH!$L:$L,B24)</f>
        <v>0</v>
      </c>
      <c r="J24" s="374">
        <f t="shared" si="1"/>
        <v>0</v>
      </c>
      <c r="K24" s="60">
        <f t="shared" si="2"/>
        <v>0</v>
      </c>
      <c r="L24" s="60">
        <f t="shared" si="3"/>
        <v>0</v>
      </c>
      <c r="M24" s="374">
        <f t="shared" si="4"/>
        <v>0</v>
      </c>
    </row>
    <row r="25" spans="2:13">
      <c r="B25" s="59" t="s">
        <v>158</v>
      </c>
      <c r="C25" s="59" t="s">
        <v>29</v>
      </c>
      <c r="D25" s="60">
        <f>COUNTIFS(RETAIL!M:M,+B25)</f>
        <v>12</v>
      </c>
      <c r="E25" s="60">
        <f>COUNTIFS(IH!L:L,B25,IH!S:S,"DISBURSED")</f>
        <v>9</v>
      </c>
      <c r="F25" s="374">
        <f t="shared" si="5"/>
        <v>0.75</v>
      </c>
      <c r="G25" s="371"/>
      <c r="H25" s="60">
        <f>COUNTIFS([1]RETAIL!$M:$M,B25)</f>
        <v>4</v>
      </c>
      <c r="I25" s="60">
        <f>COUNTIFS([1]IH!$S:$S,"DISBURSED",[1]IH!$L:$L,B25)</f>
        <v>3</v>
      </c>
      <c r="J25" s="374">
        <f t="shared" si="1"/>
        <v>0.75</v>
      </c>
      <c r="K25" s="60">
        <f t="shared" si="2"/>
        <v>16</v>
      </c>
      <c r="L25" s="60">
        <f t="shared" si="3"/>
        <v>12</v>
      </c>
      <c r="M25" s="374">
        <f t="shared" si="4"/>
        <v>0.75</v>
      </c>
    </row>
    <row r="26" spans="2:13">
      <c r="B26" s="59" t="s">
        <v>163</v>
      </c>
      <c r="C26" s="59" t="s">
        <v>34</v>
      </c>
      <c r="D26" s="60">
        <f>COUNTIFS(RETAIL!M:M,+B26)</f>
        <v>14</v>
      </c>
      <c r="E26" s="60">
        <f>COUNTIFS(IH!L:L,B26,IH!S:S,"DISBURSED")</f>
        <v>6</v>
      </c>
      <c r="F26" s="374">
        <f t="shared" si="5"/>
        <v>0.428571428571429</v>
      </c>
      <c r="G26" s="371"/>
      <c r="H26" s="60">
        <f>COUNTIFS([1]RETAIL!$M:$M,B26)</f>
        <v>0</v>
      </c>
      <c r="I26" s="60">
        <f>COUNTIFS([1]IH!$S:$S,"DISBURSED",[1]IH!$L:$L,B26)</f>
        <v>0</v>
      </c>
      <c r="J26" s="374">
        <f t="shared" si="1"/>
        <v>0</v>
      </c>
      <c r="K26" s="60">
        <f t="shared" si="2"/>
        <v>14</v>
      </c>
      <c r="L26" s="60">
        <f t="shared" si="3"/>
        <v>6</v>
      </c>
      <c r="M26" s="374">
        <f t="shared" si="4"/>
        <v>0.428571428571429</v>
      </c>
    </row>
    <row r="27" spans="2:13">
      <c r="B27" s="59" t="s">
        <v>168</v>
      </c>
      <c r="C27" s="59" t="s">
        <v>38</v>
      </c>
      <c r="D27" s="60">
        <f>COUNTIFS(RETAIL!M:M,+B27)</f>
        <v>25</v>
      </c>
      <c r="E27" s="60">
        <f>COUNTIFS(IH!L:L,B27,IH!S:S,"DISBURSED")</f>
        <v>12</v>
      </c>
      <c r="F27" s="374">
        <f t="shared" si="5"/>
        <v>0.48</v>
      </c>
      <c r="G27" s="371"/>
      <c r="H27" s="60">
        <f>COUNTIFS([1]RETAIL!$M:$M,B27)</f>
        <v>4</v>
      </c>
      <c r="I27" s="60">
        <f>COUNTIFS([1]IH!$S:$S,"DISBURSED",[1]IH!$L:$L,B27)</f>
        <v>3</v>
      </c>
      <c r="J27" s="374">
        <f t="shared" si="1"/>
        <v>0.75</v>
      </c>
      <c r="K27" s="60">
        <f t="shared" si="2"/>
        <v>29</v>
      </c>
      <c r="L27" s="60">
        <f t="shared" si="3"/>
        <v>15</v>
      </c>
      <c r="M27" s="374">
        <f t="shared" si="4"/>
        <v>0.517241379310345</v>
      </c>
    </row>
    <row r="28" spans="2:13">
      <c r="B28" s="59" t="s">
        <v>261</v>
      </c>
      <c r="C28" s="59" t="s">
        <v>38</v>
      </c>
      <c r="D28" s="60">
        <f>COUNTIFS(RETAIL!M:M,+B28)</f>
        <v>0</v>
      </c>
      <c r="E28" s="60">
        <f>COUNTIFS(IH!L:L,B28,IH!S:S,"DISBURSED")</f>
        <v>0</v>
      </c>
      <c r="F28" s="374">
        <f t="shared" si="5"/>
        <v>0</v>
      </c>
      <c r="G28" s="371"/>
      <c r="H28" s="60">
        <f>COUNTIFS([1]RETAIL!$M:$M,B28)</f>
        <v>0</v>
      </c>
      <c r="I28" s="60">
        <f>COUNTIFS([1]IH!$S:$S,"DISBURSED",[1]IH!$L:$L,B28)</f>
        <v>0</v>
      </c>
      <c r="J28" s="374">
        <f t="shared" si="1"/>
        <v>0</v>
      </c>
      <c r="K28" s="60">
        <f t="shared" si="2"/>
        <v>0</v>
      </c>
      <c r="L28" s="60">
        <f t="shared" si="3"/>
        <v>0</v>
      </c>
      <c r="M28" s="374">
        <f t="shared" si="4"/>
        <v>0</v>
      </c>
    </row>
    <row r="29" spans="2:13">
      <c r="B29" s="59" t="s">
        <v>174</v>
      </c>
      <c r="C29" s="59" t="s">
        <v>175</v>
      </c>
      <c r="D29" s="60">
        <f>COUNTIFS(RETAIL!M:M,+B29)</f>
        <v>9</v>
      </c>
      <c r="E29" s="60">
        <f>COUNTIFS(IH!L:L,B29,IH!S:S,"DISBURSED")</f>
        <v>5</v>
      </c>
      <c r="F29" s="374">
        <f t="shared" si="5"/>
        <v>0.555555555555556</v>
      </c>
      <c r="G29" s="371"/>
      <c r="H29" s="60">
        <f>COUNTIFS([1]RETAIL!$M:$M,B29)</f>
        <v>2</v>
      </c>
      <c r="I29" s="60">
        <f>COUNTIFS([1]IH!$S:$S,"DISBURSED",[1]IH!$L:$L,B29)</f>
        <v>1</v>
      </c>
      <c r="J29" s="374">
        <f t="shared" si="1"/>
        <v>0.5</v>
      </c>
      <c r="K29" s="60">
        <f t="shared" si="2"/>
        <v>11</v>
      </c>
      <c r="L29" s="60">
        <f t="shared" si="3"/>
        <v>6</v>
      </c>
      <c r="M29" s="374">
        <f t="shared" si="4"/>
        <v>0.545454545454545</v>
      </c>
    </row>
    <row r="30" spans="2:13">
      <c r="B30" s="59" t="s">
        <v>106</v>
      </c>
      <c r="C30" s="59" t="s">
        <v>107</v>
      </c>
      <c r="D30" s="60">
        <f>COUNTIFS(RETAIL!M:M,+B30)</f>
        <v>1</v>
      </c>
      <c r="E30" s="60">
        <f>COUNTIFS(IH!L:L,B30,IH!S:S,"DISBURSED")</f>
        <v>1</v>
      </c>
      <c r="F30" s="374">
        <f t="shared" si="5"/>
        <v>1</v>
      </c>
      <c r="G30" s="371"/>
      <c r="H30" s="60">
        <f>COUNTIFS([1]RETAIL!$M:$M,B30)</f>
        <v>5</v>
      </c>
      <c r="I30" s="60">
        <f>COUNTIFS([1]IH!$S:$S,"DISBURSED",[1]IH!$L:$L,B30)</f>
        <v>4</v>
      </c>
      <c r="J30" s="374">
        <f t="shared" si="1"/>
        <v>0.8</v>
      </c>
      <c r="K30" s="60">
        <f t="shared" si="2"/>
        <v>6</v>
      </c>
      <c r="L30" s="60">
        <f t="shared" si="3"/>
        <v>5</v>
      </c>
      <c r="M30" s="374">
        <f t="shared" si="4"/>
        <v>0.833333333333333</v>
      </c>
    </row>
    <row r="31" spans="2:13">
      <c r="B31" s="60" t="s">
        <v>186</v>
      </c>
      <c r="C31" s="59" t="s">
        <v>187</v>
      </c>
      <c r="D31" s="60">
        <f>COUNTIFS(RETAIL!M:M,+B31)</f>
        <v>0</v>
      </c>
      <c r="E31" s="60">
        <f>COUNTIFS(IH!L:L,B31,IH!S:S,"DISBURSED")</f>
        <v>0</v>
      </c>
      <c r="F31" s="374">
        <f t="shared" si="5"/>
        <v>0</v>
      </c>
      <c r="G31" s="371"/>
      <c r="H31" s="60">
        <f>COUNTIFS([1]RETAIL!$M:$M,B31)</f>
        <v>1</v>
      </c>
      <c r="I31" s="60">
        <f>COUNTIFS([1]IH!$S:$S,"DISBURSED",[1]IH!$L:$L,B31)</f>
        <v>1</v>
      </c>
      <c r="J31" s="374">
        <f t="shared" si="1"/>
        <v>1</v>
      </c>
      <c r="K31" s="60">
        <f t="shared" si="2"/>
        <v>1</v>
      </c>
      <c r="L31" s="60">
        <f t="shared" si="3"/>
        <v>1</v>
      </c>
      <c r="M31" s="374">
        <f t="shared" si="4"/>
        <v>1</v>
      </c>
    </row>
    <row r="32" spans="2:13">
      <c r="B32" s="59" t="s">
        <v>209</v>
      </c>
      <c r="C32" s="59" t="s">
        <v>100</v>
      </c>
      <c r="D32" s="60">
        <f>COUNTIFS(RETAIL!M:M,+B32)</f>
        <v>5</v>
      </c>
      <c r="E32" s="60">
        <f>COUNTIFS(IH!L:L,B32,IH!S:S,"DISBURSED")</f>
        <v>3</v>
      </c>
      <c r="F32" s="374">
        <f t="shared" si="5"/>
        <v>0.6</v>
      </c>
      <c r="G32" s="371"/>
      <c r="H32" s="60">
        <f>COUNTIFS([1]RETAIL!$M:$M,B32)</f>
        <v>4</v>
      </c>
      <c r="I32" s="60">
        <f>COUNTIFS([1]IH!$S:$S,"DISBURSED",[1]IH!$L:$L,B32)</f>
        <v>3</v>
      </c>
      <c r="J32" s="374">
        <f t="shared" si="1"/>
        <v>0.75</v>
      </c>
      <c r="K32" s="60">
        <f t="shared" si="2"/>
        <v>9</v>
      </c>
      <c r="L32" s="60">
        <f t="shared" si="3"/>
        <v>6</v>
      </c>
      <c r="M32" s="374">
        <f t="shared" si="4"/>
        <v>0.666666666666667</v>
      </c>
    </row>
    <row r="33" spans="2:13">
      <c r="B33" s="375"/>
      <c r="C33" s="375" t="s">
        <v>46</v>
      </c>
      <c r="D33" s="375">
        <f>SUM(D3:D32)</f>
        <v>182</v>
      </c>
      <c r="E33" s="375">
        <f>SUM(E3:E32)</f>
        <v>109</v>
      </c>
      <c r="F33" s="376">
        <f t="shared" si="5"/>
        <v>0.598901098901099</v>
      </c>
      <c r="G33" s="371"/>
      <c r="H33" s="377">
        <f>SUM(H3:H32)</f>
        <v>116</v>
      </c>
      <c r="I33" s="377">
        <f>SUM(I3:I32)</f>
        <v>85</v>
      </c>
      <c r="J33" s="376">
        <f t="shared" si="1"/>
        <v>0.732758620689655</v>
      </c>
      <c r="K33" s="377">
        <f>SUM(K4:K32)</f>
        <v>297</v>
      </c>
      <c r="L33" s="377">
        <f>SUM(L3:L32)</f>
        <v>194</v>
      </c>
      <c r="M33" s="376">
        <f t="shared" si="4"/>
        <v>0.653198653198653</v>
      </c>
    </row>
    <row r="34" spans="3:3">
      <c r="C34" s="203"/>
    </row>
    <row r="35" spans="3:3">
      <c r="C35" s="203"/>
    </row>
    <row r="36" spans="3:3">
      <c r="C36" s="203"/>
    </row>
    <row r="37" spans="3:3">
      <c r="C37" s="203"/>
    </row>
    <row r="38" spans="3:3">
      <c r="C38" s="203"/>
    </row>
    <row r="39" spans="3:3">
      <c r="C39" s="203"/>
    </row>
    <row r="40" spans="3:3">
      <c r="C40" s="203"/>
    </row>
    <row r="41" spans="3:3">
      <c r="C41" s="203"/>
    </row>
  </sheetData>
  <mergeCells count="3">
    <mergeCell ref="B1:F1"/>
    <mergeCell ref="H1:J1"/>
    <mergeCell ref="K1:M1"/>
  </mergeCells>
  <conditionalFormatting sqref="H2:J2">
    <cfRule type="duplicateValues" dxfId="0" priority="9" stopIfTrue="1"/>
  </conditionalFormatting>
  <conditionalFormatting sqref="K2:M2">
    <cfRule type="duplicateValues" dxfId="0" priority="8" stopIfTrue="1"/>
  </conditionalFormatting>
  <conditionalFormatting sqref="B14">
    <cfRule type="duplicateValues" dxfId="1" priority="1"/>
    <cfRule type="duplicateValues" dxfId="2" priority="5"/>
    <cfRule type="duplicateValues" dxfId="1" priority="6"/>
  </conditionalFormatting>
  <conditionalFormatting sqref="C31">
    <cfRule type="duplicateValues" dxfId="1" priority="17"/>
    <cfRule type="duplicateValues" dxfId="2" priority="21"/>
    <cfRule type="duplicateValues" dxfId="1" priority="22"/>
  </conditionalFormatting>
  <conditionalFormatting sqref="B32">
    <cfRule type="duplicateValues" dxfId="1" priority="10"/>
    <cfRule type="duplicateValues" dxfId="2" priority="14"/>
    <cfRule type="duplicateValues" dxfId="1" priority="15"/>
  </conditionalFormatting>
  <conditionalFormatting sqref="B2 D2:F2">
    <cfRule type="duplicateValues" dxfId="0" priority="74" stopIfTrue="1"/>
  </conditionalFormatting>
  <pageMargins left="0.700694444444445" right="0.700694444444445" top="0.751388888888889" bottom="0.751388888888889" header="0.298611111111111" footer="0.298611111111111"/>
  <pageSetup paperSize="9" scale="58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2"/>
  <sheetViews>
    <sheetView zoomScale="85" zoomScaleNormal="85" zoomScaleSheetLayoutView="80" workbookViewId="0">
      <selection activeCell="B3" sqref="B3:J19"/>
    </sheetView>
  </sheetViews>
  <sheetFormatPr defaultColWidth="9" defaultRowHeight="15.75"/>
  <cols>
    <col min="1" max="1" width="3.625" style="46" customWidth="1"/>
    <col min="2" max="2" width="18.75" style="46" customWidth="1"/>
    <col min="3" max="3" width="6.75" style="46" customWidth="1"/>
    <col min="4" max="4" width="7.125" style="46" customWidth="1"/>
    <col min="5" max="5" width="6.125" style="46" customWidth="1"/>
    <col min="6" max="6" width="8.75" style="46" customWidth="1"/>
    <col min="7" max="7" width="7.375" style="46" customWidth="1"/>
    <col min="8" max="8" width="10.375" style="46" customWidth="1"/>
    <col min="9" max="9" width="9.375" style="46" customWidth="1"/>
    <col min="10" max="10" width="13.125" style="46" customWidth="1"/>
    <col min="11" max="11" width="5.625" style="46" customWidth="1"/>
    <col min="12" max="12" width="16.125" style="46" customWidth="1"/>
    <col min="13" max="13" width="6.5" style="46" customWidth="1"/>
    <col min="14" max="14" width="6.625" style="46" customWidth="1"/>
    <col min="15" max="15" width="6.75" style="46" customWidth="1"/>
    <col min="16" max="16" width="6.5" style="46" customWidth="1"/>
    <col min="17" max="17" width="6.625" style="46" customWidth="1"/>
    <col min="18" max="18" width="6.75" style="46" customWidth="1"/>
    <col min="19" max="19" width="6.5" style="46" customWidth="1"/>
    <col min="20" max="20" width="7.75" style="46" customWidth="1"/>
    <col min="21" max="21" width="6.75" style="46" customWidth="1"/>
    <col min="22" max="22" width="6.625" style="46" customWidth="1"/>
    <col min="23" max="16382" width="9" style="46" customWidth="1"/>
    <col min="16383" max="16383" width="9" style="46"/>
  </cols>
  <sheetData>
    <row r="1" ht="17.25" spans="2:21">
      <c r="B1" s="337" t="s">
        <v>262</v>
      </c>
      <c r="C1" s="337"/>
      <c r="D1" s="337"/>
      <c r="E1" s="337"/>
      <c r="F1" s="337"/>
      <c r="G1" s="337"/>
      <c r="H1" s="337"/>
      <c r="I1" s="337"/>
      <c r="J1" s="337"/>
      <c r="L1" s="265" t="s">
        <v>263</v>
      </c>
      <c r="M1" s="265"/>
      <c r="N1" s="265"/>
      <c r="O1" s="265"/>
      <c r="P1" s="265"/>
      <c r="Q1" s="265"/>
      <c r="R1" s="265"/>
      <c r="S1" s="265"/>
      <c r="T1" s="265"/>
      <c r="U1" s="265"/>
    </row>
    <row r="2" s="137" customFormat="1" spans="2:21">
      <c r="B2" s="338" t="s">
        <v>264</v>
      </c>
      <c r="C2" s="338" t="s">
        <v>265</v>
      </c>
      <c r="D2" s="338" t="s">
        <v>3</v>
      </c>
      <c r="E2" s="338" t="s">
        <v>51</v>
      </c>
      <c r="F2" s="338" t="s">
        <v>266</v>
      </c>
      <c r="G2" s="338" t="s">
        <v>8</v>
      </c>
      <c r="H2" s="338" t="s">
        <v>267</v>
      </c>
      <c r="I2" s="338" t="s">
        <v>268</v>
      </c>
      <c r="J2" s="338" t="s">
        <v>269</v>
      </c>
      <c r="K2" s="46"/>
      <c r="L2" s="266"/>
      <c r="M2" s="271" t="s">
        <v>45</v>
      </c>
      <c r="N2" s="271"/>
      <c r="O2" s="271"/>
      <c r="P2" s="271" t="s">
        <v>42</v>
      </c>
      <c r="Q2" s="271"/>
      <c r="R2" s="271"/>
      <c r="S2" s="271" t="s">
        <v>46</v>
      </c>
      <c r="T2" s="271"/>
      <c r="U2" s="271"/>
    </row>
    <row r="3" spans="2:21">
      <c r="B3" s="339" t="s">
        <v>11</v>
      </c>
      <c r="C3" s="273">
        <f>COUNTIFS(Booking!C:C,B3)</f>
        <v>5</v>
      </c>
      <c r="D3" s="340">
        <f>COUNTIFS(RETAIL!N:N,B3)</f>
        <v>1</v>
      </c>
      <c r="E3" s="340">
        <f>COUNTIFS(IH!M:M,B3,IH!S:S,"DISBURSED")</f>
        <v>0</v>
      </c>
      <c r="F3" s="340">
        <f>COUNTIFS(IH!M:M,B3,IH!S:S,"LOGIN")</f>
        <v>0</v>
      </c>
      <c r="G3" s="341">
        <f>IFERROR((E3/D3),0)</f>
        <v>0</v>
      </c>
      <c r="H3" s="340">
        <f>COUNTIFS(IH!M:M,B3,IH!T:T,"MSSF LOGIN")</f>
        <v>0</v>
      </c>
      <c r="I3" s="273">
        <f>COUNTIFS(IH!M:M,B3,IH!T:T,"MSSF DISBURSED")</f>
        <v>0</v>
      </c>
      <c r="J3" s="352" t="s">
        <v>270</v>
      </c>
      <c r="L3" s="255" t="s">
        <v>271</v>
      </c>
      <c r="M3" s="255" t="s">
        <v>50</v>
      </c>
      <c r="N3" s="255" t="s">
        <v>272</v>
      </c>
      <c r="O3" s="255" t="s">
        <v>52</v>
      </c>
      <c r="P3" s="255" t="s">
        <v>50</v>
      </c>
      <c r="Q3" s="255" t="s">
        <v>272</v>
      </c>
      <c r="R3" s="255" t="s">
        <v>52</v>
      </c>
      <c r="S3" s="255" t="s">
        <v>50</v>
      </c>
      <c r="T3" s="255" t="s">
        <v>272</v>
      </c>
      <c r="U3" s="255" t="s">
        <v>52</v>
      </c>
    </row>
    <row r="4" spans="2:21">
      <c r="B4" s="339" t="s">
        <v>13</v>
      </c>
      <c r="C4" s="273">
        <f>COUNTIFS(Booking!C:C,B4)</f>
        <v>17</v>
      </c>
      <c r="D4" s="340">
        <f>COUNTIFS(RETAIL!N:N,B4)</f>
        <v>5</v>
      </c>
      <c r="E4" s="340">
        <f>COUNTIFS(IH!M:M,B4,IH!S:S,"DISBURSED")</f>
        <v>4</v>
      </c>
      <c r="F4" s="340">
        <f>COUNTIFS(IH!M:M,B4,IH!S:S,"LOGIN")</f>
        <v>3</v>
      </c>
      <c r="G4" s="341">
        <f t="shared" ref="G4:G20" si="0">IFERROR((E4/D4),0)</f>
        <v>0.8</v>
      </c>
      <c r="H4" s="340">
        <f>COUNTIFS(IH!M:M,B4,IH!T:T,"MSSF LOGIN")</f>
        <v>5</v>
      </c>
      <c r="I4" s="273">
        <f>COUNTIFS(IH!M:M,B4,IH!T:T,"MSSF DISBURSED")</f>
        <v>1</v>
      </c>
      <c r="J4" s="352" t="s">
        <v>270</v>
      </c>
      <c r="K4" s="353"/>
      <c r="L4" s="354" t="s">
        <v>273</v>
      </c>
      <c r="M4" s="259">
        <f>COUNTIFS(RETAIL!X:X,L4)</f>
        <v>48</v>
      </c>
      <c r="N4" s="259">
        <f>COUNTIFS(IH!S:S,"Disbursed",IH!U:U,L4)</f>
        <v>28</v>
      </c>
      <c r="O4" s="272">
        <f t="shared" ref="O4:O14" si="1">IFERROR((N4/M4),0)</f>
        <v>0.583333333333333</v>
      </c>
      <c r="P4" s="259">
        <f>COUNTIFS([1]RETAIL!$X:$X,L4)</f>
        <v>10</v>
      </c>
      <c r="Q4" s="259">
        <f>COUNTIFS([1]IH!$S:$S,"DISBURSED",[1]IH!$U:$U,L4)</f>
        <v>7</v>
      </c>
      <c r="R4" s="272">
        <f t="shared" ref="R4:R14" si="2">IFERROR((Q4/P4),0)</f>
        <v>0.7</v>
      </c>
      <c r="S4" s="273">
        <f t="shared" ref="S4:T7" si="3">M4+P4</f>
        <v>58</v>
      </c>
      <c r="T4" s="273">
        <f t="shared" si="3"/>
        <v>35</v>
      </c>
      <c r="U4" s="272">
        <f t="shared" ref="U4:U14" si="4">IFERROR((T4/S4),0)</f>
        <v>0.603448275862069</v>
      </c>
    </row>
    <row r="5" spans="2:21">
      <c r="B5" s="339" t="s">
        <v>15</v>
      </c>
      <c r="C5" s="273">
        <f>COUNTIFS(Booking!C:C,B5)</f>
        <v>31</v>
      </c>
      <c r="D5" s="340">
        <f>COUNTIFS(RETAIL!N:N,B5)</f>
        <v>9</v>
      </c>
      <c r="E5" s="340">
        <f>COUNTIFS(IH!M:M,B5,IH!S:S,"DISBURSED")</f>
        <v>8</v>
      </c>
      <c r="F5" s="340">
        <f>COUNTIFS(IH!M:M,B5,IH!S:S,"LOGIN")</f>
        <v>0</v>
      </c>
      <c r="G5" s="341">
        <f t="shared" si="0"/>
        <v>0.888888888888889</v>
      </c>
      <c r="H5" s="340">
        <f>COUNTIFS(IH!M:M,B5,IH!T:T,"MSSF LOGIN")</f>
        <v>0</v>
      </c>
      <c r="I5" s="273">
        <f>COUNTIFS(IH!M:M,B5,IH!T:T,"MSSF DISBURSED")</f>
        <v>4</v>
      </c>
      <c r="J5" s="352" t="s">
        <v>274</v>
      </c>
      <c r="K5" s="353"/>
      <c r="L5" s="354" t="s">
        <v>275</v>
      </c>
      <c r="M5" s="259">
        <f>COUNTIFS(RETAIL!X:X,L5)</f>
        <v>34</v>
      </c>
      <c r="N5" s="259">
        <f>COUNTIFS(IH!S:S,"Disbursed",IH!U:U,L5)</f>
        <v>19</v>
      </c>
      <c r="O5" s="272">
        <f t="shared" si="1"/>
        <v>0.558823529411765</v>
      </c>
      <c r="P5" s="259">
        <f>COUNTIFS([1]RETAIL!$X:$X,L5)</f>
        <v>5</v>
      </c>
      <c r="Q5" s="259">
        <f>COUNTIFS([1]IH!$S:$S,"DISBURSED",[1]IH!$U:$U,L5)</f>
        <v>4</v>
      </c>
      <c r="R5" s="272">
        <f t="shared" si="2"/>
        <v>0.8</v>
      </c>
      <c r="S5" s="273">
        <f t="shared" si="3"/>
        <v>39</v>
      </c>
      <c r="T5" s="273">
        <f t="shared" si="3"/>
        <v>23</v>
      </c>
      <c r="U5" s="272">
        <f t="shared" si="4"/>
        <v>0.58974358974359</v>
      </c>
    </row>
    <row r="6" spans="2:21">
      <c r="B6" s="339" t="s">
        <v>17</v>
      </c>
      <c r="C6" s="273">
        <f>COUNTIFS(Booking!C:C,B6)</f>
        <v>57</v>
      </c>
      <c r="D6" s="340">
        <f>COUNTIFS(RETAIL!N:N,B6)</f>
        <v>35</v>
      </c>
      <c r="E6" s="340">
        <f>COUNTIFS(IH!M:M,B6,IH!S:S,"DISBURSED")</f>
        <v>20</v>
      </c>
      <c r="F6" s="340">
        <f>COUNTIFS(IH!M:M,B6,IH!S:S,"LOGIN")</f>
        <v>11</v>
      </c>
      <c r="G6" s="341">
        <f t="shared" si="0"/>
        <v>0.571428571428571</v>
      </c>
      <c r="H6" s="340">
        <f>COUNTIFS(IH!M:M,B6,IH!T:T,"MSSF LOGIN")</f>
        <v>19</v>
      </c>
      <c r="I6" s="273">
        <f>COUNTIFS(IH!M:M,B6,IH!T:T,"MSSF DISBURSED")</f>
        <v>11</v>
      </c>
      <c r="J6" s="352" t="s">
        <v>273</v>
      </c>
      <c r="K6" s="353"/>
      <c r="L6" s="354" t="s">
        <v>270</v>
      </c>
      <c r="M6" s="259">
        <f>COUNTIFS(RETAIL!X:X,L6)</f>
        <v>26</v>
      </c>
      <c r="N6" s="259">
        <f>COUNTIFS(IH!S:S,"Disbursed",IH!U:U,L6)</f>
        <v>18</v>
      </c>
      <c r="O6" s="272">
        <f t="shared" si="1"/>
        <v>0.692307692307692</v>
      </c>
      <c r="P6" s="259">
        <f>COUNTIFS([1]RETAIL!$X:$X,L6)</f>
        <v>9</v>
      </c>
      <c r="Q6" s="259">
        <f>COUNTIFS([1]IH!$S:$S,"DISBURSED",[1]IH!$U:$U,L6)</f>
        <v>8</v>
      </c>
      <c r="R6" s="272">
        <f t="shared" si="2"/>
        <v>0.888888888888889</v>
      </c>
      <c r="S6" s="273">
        <f t="shared" si="3"/>
        <v>35</v>
      </c>
      <c r="T6" s="273">
        <f t="shared" si="3"/>
        <v>26</v>
      </c>
      <c r="U6" s="272">
        <f t="shared" si="4"/>
        <v>0.742857142857143</v>
      </c>
    </row>
    <row r="7" spans="2:21">
      <c r="B7" s="339" t="s">
        <v>33</v>
      </c>
      <c r="C7" s="273">
        <f>COUNTIFS(Booking!C:C,B7)</f>
        <v>20</v>
      </c>
      <c r="D7" s="340">
        <f>COUNTIFS(RETAIL!N:N,B7)</f>
        <v>4</v>
      </c>
      <c r="E7" s="340">
        <f>COUNTIFS(IH!M:M,B7,IH!S:S,"DISBURSED")</f>
        <v>3</v>
      </c>
      <c r="F7" s="340">
        <f>COUNTIFS(IH!M:M,B7,IH!S:S,"LOGIN")</f>
        <v>3</v>
      </c>
      <c r="G7" s="341">
        <f t="shared" si="0"/>
        <v>0.75</v>
      </c>
      <c r="H7" s="340">
        <f>COUNTIFS(IH!M:M,B7,IH!T:T,"MSSF LOGIN")</f>
        <v>4</v>
      </c>
      <c r="I7" s="273">
        <f>COUNTIFS(IH!M:M,B7,IH!T:T,"MSSF DISBURSED")</f>
        <v>2</v>
      </c>
      <c r="J7" s="354" t="s">
        <v>273</v>
      </c>
      <c r="K7" s="353"/>
      <c r="L7" s="354" t="s">
        <v>274</v>
      </c>
      <c r="M7" s="259">
        <f>COUNTIFS(RETAIL!X:X,L7)</f>
        <v>34</v>
      </c>
      <c r="N7" s="259">
        <f>COUNTIFS(IH!S:S,"Disbursed",IH!U:U,L7)</f>
        <v>20</v>
      </c>
      <c r="O7" s="272">
        <f t="shared" si="1"/>
        <v>0.588235294117647</v>
      </c>
      <c r="P7" s="259">
        <f>COUNTIFS([1]RETAIL!$X:$X,L7)</f>
        <v>9</v>
      </c>
      <c r="Q7" s="259">
        <f>COUNTIFS([1]IH!$S:$S,"DISBURSED",[1]IH!$U:$U,L7)</f>
        <v>6</v>
      </c>
      <c r="R7" s="272">
        <f t="shared" si="2"/>
        <v>0.666666666666667</v>
      </c>
      <c r="S7" s="273">
        <f t="shared" si="3"/>
        <v>43</v>
      </c>
      <c r="T7" s="273">
        <f t="shared" si="3"/>
        <v>26</v>
      </c>
      <c r="U7" s="272">
        <f t="shared" si="4"/>
        <v>0.604651162790698</v>
      </c>
    </row>
    <row r="8" spans="2:21">
      <c r="B8" s="339" t="s">
        <v>19</v>
      </c>
      <c r="C8" s="273">
        <f>COUNTIFS(Booking!C:C,B8)</f>
        <v>19</v>
      </c>
      <c r="D8" s="340">
        <f>COUNTIFS(RETAIL!N:N,B8)</f>
        <v>8</v>
      </c>
      <c r="E8" s="340">
        <f>COUNTIFS(IH!M:M,B8,IH!S:S,"DISBURSED")</f>
        <v>5</v>
      </c>
      <c r="F8" s="340">
        <f>COUNTIFS(IH!M:M,B8,IH!S:S,"LOGIN")</f>
        <v>2</v>
      </c>
      <c r="G8" s="341">
        <f t="shared" si="0"/>
        <v>0.625</v>
      </c>
      <c r="H8" s="340">
        <f>COUNTIFS(IH!M:M,B8,IH!T:T,"MSSF LOGIN")</f>
        <v>3</v>
      </c>
      <c r="I8" s="273">
        <f>COUNTIFS(IH!M:M,B8,IH!T:T,"MSSF DISBURSED")</f>
        <v>4</v>
      </c>
      <c r="J8" s="352" t="s">
        <v>270</v>
      </c>
      <c r="K8" s="353"/>
      <c r="L8" s="354" t="s">
        <v>276</v>
      </c>
      <c r="M8" s="259">
        <f>COUNTIFS(RETAIL!X:X,L8)</f>
        <v>33</v>
      </c>
      <c r="N8" s="259">
        <f>COUNTIFS(IH!S:S,"Disbursed",IH!U:U,L8)</f>
        <v>20</v>
      </c>
      <c r="O8" s="272">
        <f t="shared" si="1"/>
        <v>0.606060606060606</v>
      </c>
      <c r="P8" s="259">
        <f>COUNTIFS([1]RETAIL!$X:$X,L8)</f>
        <v>22</v>
      </c>
      <c r="Q8" s="259">
        <f>COUNTIFS([1]IH!$S:$S,"DISBURSED",[1]IH!$U:$U,L8)</f>
        <v>18</v>
      </c>
      <c r="R8" s="272">
        <f t="shared" si="2"/>
        <v>0.818181818181818</v>
      </c>
      <c r="S8" s="273">
        <f t="shared" ref="S8:T12" si="5">M8+P8</f>
        <v>55</v>
      </c>
      <c r="T8" s="273">
        <f t="shared" si="5"/>
        <v>38</v>
      </c>
      <c r="U8" s="272">
        <f t="shared" si="4"/>
        <v>0.690909090909091</v>
      </c>
    </row>
    <row r="9" spans="2:21">
      <c r="B9" s="339" t="s">
        <v>23</v>
      </c>
      <c r="C9" s="273">
        <f>COUNTIFS(Booking!C:C,B9)</f>
        <v>33</v>
      </c>
      <c r="D9" s="340">
        <f>COUNTIFS(RETAIL!N:N,B9)</f>
        <v>19</v>
      </c>
      <c r="E9" s="340">
        <f>COUNTIFS(IH!M:M,B9,IH!S:S,"DISBURSED")</f>
        <v>11</v>
      </c>
      <c r="F9" s="340">
        <f>COUNTIFS(IH!M:M,B9,IH!S:S,"LOGIN")</f>
        <v>0</v>
      </c>
      <c r="G9" s="341">
        <f t="shared" si="0"/>
        <v>0.578947368421053</v>
      </c>
      <c r="H9" s="340">
        <f>COUNTIFS(IH!M:M,B9,IH!T:T,"MSSF LOGIN")</f>
        <v>1</v>
      </c>
      <c r="I9" s="273">
        <f>COUNTIFS(IH!M:M,B9,IH!T:T,"MSSF DISBURSED")</f>
        <v>9</v>
      </c>
      <c r="J9" s="352" t="s">
        <v>276</v>
      </c>
      <c r="K9" s="353"/>
      <c r="L9" s="354" t="s">
        <v>277</v>
      </c>
      <c r="M9" s="259">
        <f>COUNTIFS(RETAIL!X:X,L9)</f>
        <v>10</v>
      </c>
      <c r="N9" s="259">
        <f>COUNTIFS(IH!S:S,"Disbursed",IH!U:U,L9)</f>
        <v>4</v>
      </c>
      <c r="O9" s="272">
        <f t="shared" si="1"/>
        <v>0.4</v>
      </c>
      <c r="P9" s="259">
        <f>COUNTIFS([1]RETAIL!$X:$X,L9)</f>
        <v>70</v>
      </c>
      <c r="Q9" s="259">
        <f>COUNTIFS([1]IH!$S:$S,"DISBURSED",[1]IH!$U:$U,L9)</f>
        <v>45</v>
      </c>
      <c r="R9" s="272">
        <f t="shared" si="2"/>
        <v>0.642857142857143</v>
      </c>
      <c r="S9" s="273">
        <f t="shared" si="5"/>
        <v>80</v>
      </c>
      <c r="T9" s="273">
        <f t="shared" si="5"/>
        <v>49</v>
      </c>
      <c r="U9" s="272">
        <f t="shared" si="4"/>
        <v>0.6125</v>
      </c>
    </row>
    <row r="10" spans="2:21">
      <c r="B10" s="339" t="s">
        <v>100</v>
      </c>
      <c r="C10" s="273">
        <f>COUNTIFS(Booking!C:C,B10)</f>
        <v>44</v>
      </c>
      <c r="D10" s="340">
        <f>COUNTIFS(RETAIL!N:N,B10)</f>
        <v>13</v>
      </c>
      <c r="E10" s="340">
        <f>COUNTIFS(IH!M:M,B10,IH!S:S,"DISBURSED")</f>
        <v>8</v>
      </c>
      <c r="F10" s="340">
        <f>COUNTIFS(IH!M:M,B10,IH!S:S,"LOGIN")</f>
        <v>0</v>
      </c>
      <c r="G10" s="341">
        <f t="shared" si="0"/>
        <v>0.615384615384615</v>
      </c>
      <c r="H10" s="340">
        <f>COUNTIFS(IH!M:M,B10,IH!T:T,"MSSF LOGIN")</f>
        <v>2</v>
      </c>
      <c r="I10" s="273">
        <f>COUNTIFS(IH!M:M,B10,IH!T:T,"MSSF DISBURSED")</f>
        <v>3</v>
      </c>
      <c r="J10" s="352" t="s">
        <v>276</v>
      </c>
      <c r="K10" s="353"/>
      <c r="L10" s="354" t="s">
        <v>278</v>
      </c>
      <c r="M10" s="60">
        <v>0</v>
      </c>
      <c r="N10" s="60">
        <v>0</v>
      </c>
      <c r="O10" s="272">
        <f t="shared" si="1"/>
        <v>0</v>
      </c>
      <c r="P10" s="60">
        <v>0</v>
      </c>
      <c r="Q10" s="60">
        <v>0</v>
      </c>
      <c r="R10" s="272">
        <f t="shared" si="2"/>
        <v>0</v>
      </c>
      <c r="S10" s="273">
        <f t="shared" si="5"/>
        <v>0</v>
      </c>
      <c r="T10" s="273">
        <f t="shared" si="5"/>
        <v>0</v>
      </c>
      <c r="U10" s="272">
        <f t="shared" si="4"/>
        <v>0</v>
      </c>
    </row>
    <row r="11" spans="2:21">
      <c r="B11" s="339" t="s">
        <v>111</v>
      </c>
      <c r="C11" s="273">
        <f>COUNTIFS(Booking!C:C,B11)</f>
        <v>25</v>
      </c>
      <c r="D11" s="340">
        <f>COUNTIFS(RETAIL!N:N,B11)</f>
        <v>9</v>
      </c>
      <c r="E11" s="340">
        <f>COUNTIFS(IH!M:M,B11,IH!S:S,"DISBURSED")</f>
        <v>7</v>
      </c>
      <c r="F11" s="340">
        <f>COUNTIFS(IH!M:M,B11,IH!S:S,"LOGIN")</f>
        <v>1</v>
      </c>
      <c r="G11" s="341">
        <f t="shared" si="0"/>
        <v>0.777777777777778</v>
      </c>
      <c r="H11" s="340">
        <f>COUNTIFS(IH!M:M,B11,IH!T:T,"MSSF LOGIN")</f>
        <v>1</v>
      </c>
      <c r="I11" s="273">
        <f>COUNTIFS(IH!M:M,B11,IH!T:T,"MSSF DISBURSED")</f>
        <v>4</v>
      </c>
      <c r="J11" s="352" t="s">
        <v>275</v>
      </c>
      <c r="K11" s="353"/>
      <c r="L11" s="354" t="s">
        <v>279</v>
      </c>
      <c r="M11" s="60">
        <v>0</v>
      </c>
      <c r="N11" s="60">
        <v>0</v>
      </c>
      <c r="O11" s="272">
        <f t="shared" si="1"/>
        <v>0</v>
      </c>
      <c r="P11" s="60">
        <v>0</v>
      </c>
      <c r="Q11" s="60">
        <v>0</v>
      </c>
      <c r="R11" s="272">
        <f t="shared" si="2"/>
        <v>0</v>
      </c>
      <c r="S11" s="273">
        <f t="shared" si="5"/>
        <v>0</v>
      </c>
      <c r="T11" s="273">
        <f t="shared" si="5"/>
        <v>0</v>
      </c>
      <c r="U11" s="272">
        <f t="shared" si="4"/>
        <v>0</v>
      </c>
    </row>
    <row r="12" spans="2:21">
      <c r="B12" s="339" t="s">
        <v>25</v>
      </c>
      <c r="C12" s="273">
        <f>COUNTIFS(Booking!C:C,B12)</f>
        <v>29</v>
      </c>
      <c r="D12" s="340">
        <f>COUNTIFS(RETAIL!N:N,B12)</f>
        <v>11</v>
      </c>
      <c r="E12" s="340">
        <f>COUNTIFS(IH!M:M,B12,IH!S:S,"DISBURSED")</f>
        <v>6</v>
      </c>
      <c r="F12" s="340">
        <f>COUNTIFS(IH!M:M,B12,IH!S:S,"LOGIN")</f>
        <v>1</v>
      </c>
      <c r="G12" s="341">
        <f t="shared" si="0"/>
        <v>0.545454545454545</v>
      </c>
      <c r="H12" s="340">
        <f>COUNTIFS(IH!M:M,B12,IH!T:T,"MSSF LOGIN")</f>
        <v>3</v>
      </c>
      <c r="I12" s="273">
        <f>COUNTIFS(IH!M:M,B12,IH!T:T,"MSSF DISBURSED")</f>
        <v>2</v>
      </c>
      <c r="J12" s="352" t="s">
        <v>275</v>
      </c>
      <c r="K12" s="353"/>
      <c r="L12" s="354" t="s">
        <v>280</v>
      </c>
      <c r="M12" s="60">
        <v>0</v>
      </c>
      <c r="N12" s="60">
        <v>0</v>
      </c>
      <c r="O12" s="272">
        <f t="shared" si="1"/>
        <v>0</v>
      </c>
      <c r="P12" s="60">
        <v>0</v>
      </c>
      <c r="Q12" s="60">
        <v>0</v>
      </c>
      <c r="R12" s="272">
        <f t="shared" si="2"/>
        <v>0</v>
      </c>
      <c r="S12" s="273">
        <f t="shared" si="5"/>
        <v>0</v>
      </c>
      <c r="T12" s="273">
        <f t="shared" si="5"/>
        <v>0</v>
      </c>
      <c r="U12" s="272">
        <f t="shared" si="4"/>
        <v>0</v>
      </c>
    </row>
    <row r="13" spans="2:21">
      <c r="B13" s="339" t="s">
        <v>29</v>
      </c>
      <c r="C13" s="273">
        <f>COUNTIFS(Booking!C:C,B13)</f>
        <v>25</v>
      </c>
      <c r="D13" s="340">
        <f>COUNTIFS(RETAIL!N:N,B13)</f>
        <v>12</v>
      </c>
      <c r="E13" s="340">
        <f>COUNTIFS(IH!M:M,B13,IH!S:S,"DISBURSED")</f>
        <v>9</v>
      </c>
      <c r="F13" s="340">
        <f>COUNTIFS(IH!M:M,B13,IH!S:S,"LOGIN")</f>
        <v>1</v>
      </c>
      <c r="G13" s="341">
        <f t="shared" si="0"/>
        <v>0.75</v>
      </c>
      <c r="H13" s="340">
        <f>COUNTIFS(IH!M:M,B13,IH!T:T,"MSSF LOGIN")</f>
        <v>2</v>
      </c>
      <c r="I13" s="273">
        <f>COUNTIFS(IH!M:M,B13,IH!T:T,"MSSF DISBURSED")</f>
        <v>7</v>
      </c>
      <c r="J13" s="352" t="s">
        <v>270</v>
      </c>
      <c r="K13" s="353"/>
      <c r="L13" s="355" t="s">
        <v>46</v>
      </c>
      <c r="M13" s="201">
        <f>SUM(M4:M12)</f>
        <v>185</v>
      </c>
      <c r="N13" s="201">
        <f>SUM(N4:N12)</f>
        <v>109</v>
      </c>
      <c r="O13" s="274">
        <f t="shared" si="1"/>
        <v>0.589189189189189</v>
      </c>
      <c r="P13" s="201">
        <f>SUM(P4:P12)</f>
        <v>125</v>
      </c>
      <c r="Q13" s="201">
        <f>SUM(Q4:Q12)</f>
        <v>88</v>
      </c>
      <c r="R13" s="274">
        <f t="shared" si="2"/>
        <v>0.704</v>
      </c>
      <c r="S13" s="201">
        <f>SUM(S4:S12)</f>
        <v>310</v>
      </c>
      <c r="T13" s="201">
        <f>SUM(T4:T12)</f>
        <v>197</v>
      </c>
      <c r="U13" s="274">
        <f t="shared" si="4"/>
        <v>0.635483870967742</v>
      </c>
    </row>
    <row r="14" spans="2:21">
      <c r="B14" s="339" t="s">
        <v>34</v>
      </c>
      <c r="C14" s="273">
        <f>COUNTIFS(Booking!C:C,B14)</f>
        <v>23</v>
      </c>
      <c r="D14" s="340">
        <f>COUNTIFS(RETAIL!N:N,B14)</f>
        <v>14</v>
      </c>
      <c r="E14" s="340">
        <f>COUNTIFS(IH!M:M,B14,IH!S:S,"DISBURSED")</f>
        <v>6</v>
      </c>
      <c r="F14" s="340">
        <f>COUNTIFS(IH!M:M,B14,IH!S:S,"LOGIN")</f>
        <v>0</v>
      </c>
      <c r="G14" s="341">
        <f t="shared" si="0"/>
        <v>0.428571428571429</v>
      </c>
      <c r="H14" s="340">
        <f>COUNTIFS(IH!M:M,B14,IH!T:T,"MSSF LOGIN")</f>
        <v>1</v>
      </c>
      <c r="I14" s="273">
        <f>COUNTIFS(IH!M:M,B14,IH!T:T,"MSSF DISBURSED")</f>
        <v>3</v>
      </c>
      <c r="J14" s="352" t="s">
        <v>275</v>
      </c>
      <c r="K14" s="353"/>
      <c r="L14" s="356" t="s">
        <v>281</v>
      </c>
      <c r="M14" s="357">
        <f>'Arena+Nexa'!C24</f>
        <v>174</v>
      </c>
      <c r="N14" s="357">
        <f>'Arena+Nexa'!F24</f>
        <v>104</v>
      </c>
      <c r="O14" s="358">
        <f t="shared" si="1"/>
        <v>0.597701149425287</v>
      </c>
      <c r="P14" s="357">
        <f>'Arena+Nexa'!D24</f>
        <v>49</v>
      </c>
      <c r="Q14" s="357">
        <f>'Arena+Nexa'!G24</f>
        <v>38</v>
      </c>
      <c r="R14" s="358">
        <f t="shared" si="2"/>
        <v>0.775510204081633</v>
      </c>
      <c r="S14" s="357">
        <f>M14+P14</f>
        <v>223</v>
      </c>
      <c r="T14" s="357">
        <f>N14+Q14</f>
        <v>142</v>
      </c>
      <c r="U14" s="358">
        <f t="shared" si="4"/>
        <v>0.63677130044843</v>
      </c>
    </row>
    <row r="15" spans="2:11">
      <c r="B15" s="339" t="s">
        <v>38</v>
      </c>
      <c r="C15" s="273">
        <f>COUNTIFS(Booking!C:C,B15)</f>
        <v>36</v>
      </c>
      <c r="D15" s="340">
        <f>COUNTIFS(RETAIL!N:N,B15)</f>
        <v>25</v>
      </c>
      <c r="E15" s="340">
        <f>COUNTIFS(IH!M:M,B15,IH!S:S,"DISBURSED")</f>
        <v>12</v>
      </c>
      <c r="F15" s="340">
        <f>COUNTIFS(IH!M:M,B15,IH!S:S,"LOGIN")</f>
        <v>0</v>
      </c>
      <c r="G15" s="341">
        <f t="shared" si="0"/>
        <v>0.48</v>
      </c>
      <c r="H15" s="340">
        <f>COUNTIFS(IH!M:M,B15,IH!T:T,"MSSF LOGIN")</f>
        <v>1</v>
      </c>
      <c r="I15" s="273">
        <f>COUNTIFS(IH!M:M,B15,IH!T:T,"MSSF DISBURSED")</f>
        <v>5</v>
      </c>
      <c r="J15" s="352" t="s">
        <v>274</v>
      </c>
      <c r="K15" s="353"/>
    </row>
    <row r="16" spans="2:10">
      <c r="B16" s="339" t="s">
        <v>175</v>
      </c>
      <c r="C16" s="273">
        <f>COUNTIFS(Booking!C:C,B16)</f>
        <v>16</v>
      </c>
      <c r="D16" s="340">
        <f>COUNTIFS(RETAIL!N:N,B16)</f>
        <v>9</v>
      </c>
      <c r="E16" s="340">
        <f>COUNTIFS(IH!M:M,B16,IH!S:S,"DISBURSED")</f>
        <v>5</v>
      </c>
      <c r="F16" s="340">
        <f>COUNTIFS(IH!M:M,B16,IH!S:S,"LOGIN")</f>
        <v>0</v>
      </c>
      <c r="G16" s="341">
        <f t="shared" si="0"/>
        <v>0.555555555555556</v>
      </c>
      <c r="H16" s="340">
        <f>COUNTIFS(IH!M:M,B16,IH!T:T,"MSSF LOGIN")</f>
        <v>4</v>
      </c>
      <c r="I16" s="273">
        <f>COUNTIFS(IH!M:M,B16,IH!T:T,"MSSF DISBURSED")</f>
        <v>1</v>
      </c>
      <c r="J16" s="354" t="s">
        <v>273</v>
      </c>
    </row>
    <row r="17" spans="2:10">
      <c r="B17" s="339" t="s">
        <v>125</v>
      </c>
      <c r="C17" s="273">
        <f>COUNTIFS(Booking!C:C,B17)</f>
        <v>16</v>
      </c>
      <c r="D17" s="340">
        <f>COUNTIFS(RETAIL!N:N,B17)</f>
        <v>10</v>
      </c>
      <c r="E17" s="340">
        <f>COUNTIFS(IH!M:M,B17,IH!S:S,"DISBURSED")</f>
        <v>4</v>
      </c>
      <c r="F17" s="340">
        <f>COUNTIFS(IH!M:M,B17,IH!S:S,"LOGIN")</f>
        <v>0</v>
      </c>
      <c r="G17" s="341">
        <f t="shared" si="0"/>
        <v>0.4</v>
      </c>
      <c r="H17" s="340">
        <f>COUNTIFS(IH!M:M,B17,IH!T:T,"MSSF LOGIN")</f>
        <v>2</v>
      </c>
      <c r="I17" s="273">
        <f>COUNTIFS(IH!M:M,B17,IH!T:T,"MSSF DISBURSED")</f>
        <v>2</v>
      </c>
      <c r="J17" s="359" t="s">
        <v>277</v>
      </c>
    </row>
    <row r="18" spans="2:15">
      <c r="B18" s="339" t="s">
        <v>107</v>
      </c>
      <c r="C18" s="273">
        <f>COUNTIFS(Booking!C:C,B18)</f>
        <v>0</v>
      </c>
      <c r="D18" s="340">
        <f>COUNTIFS(RETAIL!N:N,B18)</f>
        <v>1</v>
      </c>
      <c r="E18" s="340">
        <f>COUNTIFS(IH!M:M,B18,IH!S:S,"DISBURSED")</f>
        <v>1</v>
      </c>
      <c r="F18" s="340">
        <f>COUNTIFS(IH!M:M,B18,IH!S:S,"LOGIN")</f>
        <v>0</v>
      </c>
      <c r="G18" s="341">
        <f t="shared" si="0"/>
        <v>1</v>
      </c>
      <c r="H18" s="340">
        <f>COUNTIFS(IH!M:M,B18,IH!T:T,"MSSF LOGIN")</f>
        <v>0</v>
      </c>
      <c r="I18" s="273">
        <f>COUNTIFS(IH!M:M,B18,IH!T:T,"MSSF DISBURSED")</f>
        <v>1</v>
      </c>
      <c r="J18" s="359" t="s">
        <v>276</v>
      </c>
      <c r="N18" s="360"/>
      <c r="O18" s="361"/>
    </row>
    <row r="19" s="137" customFormat="1" spans="2:21">
      <c r="B19" s="339" t="s">
        <v>187</v>
      </c>
      <c r="C19" s="273">
        <f>COUNTIFS(Booking!C:C,B19)</f>
        <v>0</v>
      </c>
      <c r="D19" s="340">
        <f>COUNTIFS(RETAIL!N:N,B19)</f>
        <v>0</v>
      </c>
      <c r="E19" s="340">
        <f>COUNTIFS(IH!M:M,B19,IH!S:S,"DISBURSED")</f>
        <v>0</v>
      </c>
      <c r="F19" s="340">
        <f>COUNTIFS(IH!M:M,B19,IH!S:S,"LOGIN")</f>
        <v>0</v>
      </c>
      <c r="G19" s="341">
        <f t="shared" si="0"/>
        <v>0</v>
      </c>
      <c r="H19" s="340">
        <f>COUNTIFS(IH!M:M,B19,IH!T:T,"MSSF LOGIN")</f>
        <v>0</v>
      </c>
      <c r="I19" s="273">
        <f>COUNTIFS(IH!M:M,B19,IH!T:T,"MSSF DISBURSED")</f>
        <v>0</v>
      </c>
      <c r="J19" s="359" t="s">
        <v>276</v>
      </c>
      <c r="K19" s="46"/>
      <c r="L19" s="46"/>
      <c r="M19" s="362"/>
      <c r="N19" s="46"/>
      <c r="O19" s="46"/>
      <c r="P19" s="46"/>
      <c r="Q19" s="46"/>
      <c r="R19" s="46"/>
      <c r="S19" s="46"/>
      <c r="T19" s="46"/>
      <c r="U19" s="46"/>
    </row>
    <row r="20" ht="17.25" spans="2:15">
      <c r="B20" s="342" t="s">
        <v>43</v>
      </c>
      <c r="C20" s="343">
        <f>SUM(C3:C19)</f>
        <v>396</v>
      </c>
      <c r="D20" s="343">
        <f>SUM(D3:D19)</f>
        <v>185</v>
      </c>
      <c r="E20" s="343">
        <f>SUM(E3:E19)</f>
        <v>109</v>
      </c>
      <c r="F20" s="343">
        <f>SUM(F3:F19)</f>
        <v>22</v>
      </c>
      <c r="G20" s="344">
        <f t="shared" si="0"/>
        <v>0.589189189189189</v>
      </c>
      <c r="H20" s="343">
        <f>SUM(H3:H19)</f>
        <v>48</v>
      </c>
      <c r="I20" s="343">
        <f>SUM(I3:I19)</f>
        <v>59</v>
      </c>
      <c r="J20" s="363">
        <f>IFERROR((I20/D20),0)</f>
        <v>0.318918918918919</v>
      </c>
      <c r="K20" s="137"/>
      <c r="L20" s="364"/>
      <c r="N20" s="137"/>
      <c r="O20" s="365"/>
    </row>
    <row r="21" spans="11:19">
      <c r="K21" s="137"/>
      <c r="L21" s="365"/>
      <c r="M21" s="137"/>
      <c r="S21" s="362"/>
    </row>
    <row r="22" spans="2:19">
      <c r="B22" s="345" t="s">
        <v>45</v>
      </c>
      <c r="C22" s="258">
        <f>SUM(C3:C16)</f>
        <v>380</v>
      </c>
      <c r="D22" s="258">
        <f>SUM(D3:D16)</f>
        <v>174</v>
      </c>
      <c r="E22" s="258">
        <f>SUM(E3:E16)</f>
        <v>104</v>
      </c>
      <c r="F22" s="258">
        <f>SUM(F3:F16)</f>
        <v>22</v>
      </c>
      <c r="G22" s="346">
        <f t="shared" ref="G22:G24" si="6">IFERROR((E22/D22),0)</f>
        <v>0.597701149425287</v>
      </c>
      <c r="H22" s="258">
        <f>SUM(H3:H16)</f>
        <v>46</v>
      </c>
      <c r="I22" s="258">
        <f>SUM(I3:I16)</f>
        <v>56</v>
      </c>
      <c r="J22" s="137"/>
      <c r="K22" s="365"/>
      <c r="M22" s="362"/>
      <c r="S22" s="362"/>
    </row>
    <row r="23" spans="2:13">
      <c r="B23" s="345" t="s">
        <v>42</v>
      </c>
      <c r="C23" s="258">
        <f t="shared" ref="C23:I23" si="7">C17</f>
        <v>16</v>
      </c>
      <c r="D23" s="258">
        <f t="shared" si="7"/>
        <v>10</v>
      </c>
      <c r="E23" s="258">
        <f t="shared" si="7"/>
        <v>4</v>
      </c>
      <c r="F23" s="258">
        <f t="shared" si="7"/>
        <v>0</v>
      </c>
      <c r="G23" s="346">
        <f t="shared" si="6"/>
        <v>0.4</v>
      </c>
      <c r="H23" s="258">
        <f t="shared" si="7"/>
        <v>2</v>
      </c>
      <c r="I23" s="258">
        <f t="shared" si="7"/>
        <v>2</v>
      </c>
      <c r="J23" s="137"/>
      <c r="M23" s="366"/>
    </row>
    <row r="24" spans="2:17">
      <c r="B24" s="345" t="s">
        <v>282</v>
      </c>
      <c r="C24" s="258">
        <f>SUM(C18:C19)</f>
        <v>0</v>
      </c>
      <c r="D24" s="258">
        <f>SUM(D18:D19)</f>
        <v>1</v>
      </c>
      <c r="E24" s="258">
        <f t="shared" ref="E24:I24" si="8">SUM(E18:E19)</f>
        <v>1</v>
      </c>
      <c r="F24" s="258">
        <f t="shared" si="8"/>
        <v>0</v>
      </c>
      <c r="G24" s="346">
        <f t="shared" si="6"/>
        <v>1</v>
      </c>
      <c r="H24" s="258">
        <f t="shared" si="8"/>
        <v>0</v>
      </c>
      <c r="I24" s="258">
        <f t="shared" si="8"/>
        <v>1</v>
      </c>
      <c r="M24" s="365"/>
      <c r="Q24" s="365"/>
    </row>
    <row r="26" spans="3:9">
      <c r="C26" s="347" t="s">
        <v>283</v>
      </c>
      <c r="D26" s="347" t="s">
        <v>3</v>
      </c>
      <c r="E26" s="347" t="s">
        <v>51</v>
      </c>
      <c r="F26" s="347" t="s">
        <v>284</v>
      </c>
      <c r="H26" s="348" t="s">
        <v>285</v>
      </c>
      <c r="I26" s="367" t="s">
        <v>286</v>
      </c>
    </row>
    <row r="27" spans="3:9">
      <c r="C27" s="349">
        <v>46109</v>
      </c>
      <c r="D27" s="258">
        <v>10</v>
      </c>
      <c r="E27" s="258">
        <f>COUNTIFS(IH!P:P,C27)</f>
        <v>9</v>
      </c>
      <c r="F27" s="350">
        <f>IFERROR((E27/D27),0)</f>
        <v>0.9</v>
      </c>
      <c r="H27" s="258">
        <f>E27</f>
        <v>9</v>
      </c>
      <c r="I27" s="368">
        <f>H27/D27</f>
        <v>0.9</v>
      </c>
    </row>
    <row r="28" spans="8:9">
      <c r="H28" s="258">
        <f>E20</f>
        <v>109</v>
      </c>
      <c r="I28" s="368">
        <f>G20</f>
        <v>0.589189189189189</v>
      </c>
    </row>
    <row r="30" spans="9:12">
      <c r="I30" s="369"/>
      <c r="L30" s="370"/>
    </row>
    <row r="31" spans="2:2">
      <c r="B31" s="351"/>
    </row>
    <row r="32" spans="2:2">
      <c r="B32" s="351"/>
    </row>
    <row r="33" spans="2:2">
      <c r="B33" s="351"/>
    </row>
    <row r="34" spans="2:2">
      <c r="B34" s="351"/>
    </row>
    <row r="35" spans="2:2">
      <c r="B35" s="351"/>
    </row>
    <row r="36" spans="2:2">
      <c r="B36" s="351"/>
    </row>
    <row r="37" spans="2:2">
      <c r="B37" s="351"/>
    </row>
    <row r="38" spans="2:2">
      <c r="B38" s="351"/>
    </row>
    <row r="39" spans="2:2">
      <c r="B39" s="351"/>
    </row>
    <row r="40" spans="2:2">
      <c r="B40" s="351"/>
    </row>
    <row r="41" spans="2:2">
      <c r="B41" s="351"/>
    </row>
    <row r="42" spans="2:2">
      <c r="B42" s="351"/>
    </row>
    <row r="43" spans="2:2">
      <c r="B43" s="351"/>
    </row>
    <row r="44" spans="2:2">
      <c r="B44" s="351"/>
    </row>
    <row r="45" spans="2:2">
      <c r="B45" s="351"/>
    </row>
    <row r="46" spans="2:2">
      <c r="B46" s="351"/>
    </row>
    <row r="47" spans="2:2">
      <c r="B47" s="351"/>
    </row>
    <row r="48" spans="2:2">
      <c r="B48" s="351"/>
    </row>
    <row r="49" spans="2:2">
      <c r="B49" s="351"/>
    </row>
    <row r="50" spans="2:2">
      <c r="B50" s="351"/>
    </row>
    <row r="51" spans="2:2">
      <c r="B51" s="351"/>
    </row>
    <row r="52" spans="2:2">
      <c r="B52" s="351"/>
    </row>
    <row r="53" spans="2:2">
      <c r="B53" s="351"/>
    </row>
    <row r="54" spans="2:2">
      <c r="B54" s="351"/>
    </row>
    <row r="55" spans="2:2">
      <c r="B55" s="351"/>
    </row>
    <row r="56" spans="2:2">
      <c r="B56" s="351"/>
    </row>
    <row r="57" spans="2:2">
      <c r="B57" s="351"/>
    </row>
    <row r="58" spans="2:2">
      <c r="B58" s="351"/>
    </row>
    <row r="59" spans="2:2">
      <c r="B59" s="351"/>
    </row>
    <row r="60" spans="2:2">
      <c r="B60" s="351"/>
    </row>
    <row r="61" spans="2:2">
      <c r="B61" s="351"/>
    </row>
    <row r="62" spans="2:2">
      <c r="B62" s="351"/>
    </row>
  </sheetData>
  <sortState ref="L4:U8">
    <sortCondition ref="U4:U8" descending="1"/>
    <sortCondition ref="S4:S8" descending="1"/>
    <sortCondition ref="T4:T8" descending="1"/>
  </sortState>
  <mergeCells count="5">
    <mergeCell ref="B1:J1"/>
    <mergeCell ref="L1:U1"/>
    <mergeCell ref="M2:O2"/>
    <mergeCell ref="P2:R2"/>
    <mergeCell ref="S2:U2"/>
  </mergeCells>
  <conditionalFormatting sqref="C27">
    <cfRule type="expression" dxfId="4" priority="5">
      <formula>$A24&lt;&gt;""</formula>
    </cfRule>
  </conditionalFormatting>
  <conditionalFormatting sqref="F27">
    <cfRule type="cellIs" dxfId="5" priority="2" operator="lessThanOrEqual">
      <formula>0.49</formula>
    </cfRule>
    <cfRule type="cellIs" dxfId="6" priority="3" operator="greaterThanOrEqual">
      <formula>0.5</formula>
    </cfRule>
  </conditionalFormatting>
  <hyperlinks>
    <hyperlink ref="B23" r:id="rId1" display="NEXA"/>
  </hyperlinks>
  <pageMargins left="0.75" right="0.75" top="1" bottom="1" header="0.51" footer="0.51"/>
  <pageSetup paperSize="9" scale="80" orientation="landscape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V42"/>
  <sheetViews>
    <sheetView tabSelected="1" zoomScale="85" zoomScaleNormal="85" zoomScaleSheetLayoutView="50" topLeftCell="A17" workbookViewId="0">
      <selection activeCell="D30" sqref="D30"/>
    </sheetView>
  </sheetViews>
  <sheetFormatPr defaultColWidth="0" defaultRowHeight="15.75"/>
  <cols>
    <col min="1" max="1" width="5.125" customWidth="1"/>
    <col min="2" max="2" width="23.675" customWidth="1"/>
    <col min="3" max="3" width="10.25" customWidth="1"/>
    <col min="4" max="4" width="9.875" customWidth="1"/>
    <col min="5" max="5" width="11.375" customWidth="1"/>
    <col min="6" max="6" width="10.25" customWidth="1"/>
    <col min="7" max="8" width="9.875" customWidth="1"/>
    <col min="9" max="9" width="11.375" customWidth="1"/>
    <col min="10" max="10" width="12.375" customWidth="1"/>
    <col min="11" max="11" width="5.875" customWidth="1"/>
    <col min="12" max="12" width="21.875" customWidth="1"/>
    <col min="13" max="13" width="9.5" customWidth="1"/>
    <col min="14" max="14" width="8.625" customWidth="1"/>
    <col min="15" max="15" width="7.125" customWidth="1"/>
    <col min="16" max="16" width="5.5" customWidth="1"/>
    <col min="17" max="17" width="7.375" customWidth="1"/>
    <col min="18" max="18" width="6.75" customWidth="1"/>
    <col min="19" max="19" width="6.875" customWidth="1"/>
    <col min="20" max="20" width="7.75" customWidth="1"/>
    <col min="21" max="21" width="4.5" customWidth="1"/>
    <col min="22" max="22" width="4.875" customWidth="1"/>
    <col min="23" max="16371" width="9" customWidth="1"/>
    <col min="16372" max="16380" width="0" hidden="1" customWidth="1"/>
  </cols>
  <sheetData>
    <row r="1" ht="22.5" spans="2:22">
      <c r="B1" s="276" t="str">
        <f ca="1">CONCATENATE("IH Finance Performance Report as on ",TEXT(TODAY(),"dd-mmm-yy"))</f>
        <v>IH Finance Performance Report as on 30-Mar-26</v>
      </c>
      <c r="C1" s="277"/>
      <c r="D1" s="277"/>
      <c r="E1" s="277"/>
      <c r="F1" s="277"/>
      <c r="G1" s="277"/>
      <c r="H1" s="277"/>
      <c r="I1" s="277"/>
      <c r="J1" s="311"/>
      <c r="L1" s="312" t="str">
        <f ca="1">CONCATENATE("Arena Location wise IH Finance Performance as on ",TEXT(TODAY(),"dd-mmm-yy"))</f>
        <v>Arena Location wise IH Finance Performance as on 30-Mar-26</v>
      </c>
      <c r="M1" s="313"/>
      <c r="N1" s="313"/>
      <c r="O1" s="313"/>
      <c r="P1" s="313"/>
      <c r="Q1" s="313"/>
      <c r="R1" s="313"/>
      <c r="S1" s="313"/>
      <c r="T1" s="331"/>
      <c r="V1" s="332"/>
    </row>
    <row r="2" ht="19.5" spans="2:22">
      <c r="B2" s="278" t="s">
        <v>287</v>
      </c>
      <c r="C2" s="279" t="s">
        <v>45</v>
      </c>
      <c r="D2" s="279"/>
      <c r="E2" s="279"/>
      <c r="F2" s="280" t="s">
        <v>42</v>
      </c>
      <c r="G2" s="280"/>
      <c r="H2" s="280"/>
      <c r="I2" s="280"/>
      <c r="J2" s="314" t="s">
        <v>288</v>
      </c>
      <c r="L2" s="315" t="s">
        <v>49</v>
      </c>
      <c r="M2" s="316" t="s">
        <v>2</v>
      </c>
      <c r="N2" s="316" t="s">
        <v>289</v>
      </c>
      <c r="O2" s="316" t="s">
        <v>3</v>
      </c>
      <c r="P2" s="316" t="s">
        <v>51</v>
      </c>
      <c r="Q2" s="316" t="s">
        <v>284</v>
      </c>
      <c r="R2" s="316" t="s">
        <v>266</v>
      </c>
      <c r="S2" s="316" t="s">
        <v>290</v>
      </c>
      <c r="T2" s="333" t="s">
        <v>291</v>
      </c>
      <c r="V2" s="332"/>
    </row>
    <row r="3" ht="21" spans="2:22">
      <c r="B3" s="281"/>
      <c r="C3" s="282" t="s">
        <v>292</v>
      </c>
      <c r="D3" s="282" t="s">
        <v>293</v>
      </c>
      <c r="E3" s="282" t="s">
        <v>46</v>
      </c>
      <c r="F3" s="283" t="s">
        <v>292</v>
      </c>
      <c r="G3" s="283" t="s">
        <v>294</v>
      </c>
      <c r="H3" s="283" t="s">
        <v>295</v>
      </c>
      <c r="I3" s="283" t="s">
        <v>46</v>
      </c>
      <c r="J3" s="317"/>
      <c r="L3" s="318" t="s">
        <v>11</v>
      </c>
      <c r="M3" s="319">
        <f>COUNTIFS(Booking!C:C,L3)</f>
        <v>5</v>
      </c>
      <c r="N3" s="320">
        <f>COUNTIFS(Booking!E:E,"IH",Booking!C:C,L3)</f>
        <v>0</v>
      </c>
      <c r="O3" s="319">
        <f>COUNTIFS(RETAIL!N:N,+L3)</f>
        <v>1</v>
      </c>
      <c r="P3" s="319">
        <f>COUNTIFS(IH!M:M,L3,IH!S:S,"DISBURSED")</f>
        <v>0</v>
      </c>
      <c r="Q3" s="334">
        <f>IFERROR((P3/O3),0)</f>
        <v>0</v>
      </c>
      <c r="R3" s="319">
        <f>COUNTIFS(IH!M:M,L3,IH!S:S,"LOGIN")</f>
        <v>0</v>
      </c>
      <c r="S3" s="319">
        <f>COUNTIFS(Allotment!D:D,L3)</f>
        <v>0</v>
      </c>
      <c r="T3" s="335">
        <f>COUNTIFS(Allotment!F:F,"IH",Allotment!D:D,L3)</f>
        <v>0</v>
      </c>
      <c r="V3" s="332"/>
    </row>
    <row r="4" ht="21" spans="2:20">
      <c r="B4" s="284" t="s">
        <v>50</v>
      </c>
      <c r="C4" s="282">
        <f>O20</f>
        <v>185</v>
      </c>
      <c r="D4" s="282">
        <v>46</v>
      </c>
      <c r="E4" s="285">
        <f>C4+D4</f>
        <v>231</v>
      </c>
      <c r="F4" s="283">
        <f>[1]SRM!$D$10</f>
        <v>125</v>
      </c>
      <c r="G4" s="283">
        <v>51</v>
      </c>
      <c r="H4" s="283">
        <v>62</v>
      </c>
      <c r="I4" s="283">
        <f>F4+G4+H4</f>
        <v>238</v>
      </c>
      <c r="J4" s="321">
        <f>E4+I4</f>
        <v>469</v>
      </c>
      <c r="K4" s="46"/>
      <c r="L4" s="318" t="s">
        <v>13</v>
      </c>
      <c r="M4" s="319">
        <f>COUNTIFS(Booking!C:C,L4)</f>
        <v>17</v>
      </c>
      <c r="N4" s="320">
        <f>COUNTIFS(Booking!E:E,"IH",Booking!C:C,L4)</f>
        <v>7</v>
      </c>
      <c r="O4" s="319">
        <f>COUNTIFS(RETAIL!N:N,+L4)</f>
        <v>5</v>
      </c>
      <c r="P4" s="319">
        <f>COUNTIFS(IH!M:M,L4,IH!S:S,"DISBURSED")</f>
        <v>4</v>
      </c>
      <c r="Q4" s="334">
        <f t="shared" ref="Q4:Q20" si="0">IFERROR((P4/O4),0)</f>
        <v>0.8</v>
      </c>
      <c r="R4" s="319">
        <f>COUNTIFS(IH!M:M,L4,IH!S:S,"LOGIN")</f>
        <v>3</v>
      </c>
      <c r="S4" s="319">
        <f>COUNTIFS(Allotment!D:D,L4)</f>
        <v>0</v>
      </c>
      <c r="T4" s="335">
        <f>COUNTIFS(Allotment!F:F,"IH",Allotment!D:D,L4)</f>
        <v>0</v>
      </c>
    </row>
    <row r="5" ht="21" spans="2:20">
      <c r="B5" s="284" t="s">
        <v>296</v>
      </c>
      <c r="C5" s="286">
        <f>P20</f>
        <v>109</v>
      </c>
      <c r="D5" s="282">
        <v>18</v>
      </c>
      <c r="E5" s="285">
        <f>C5+D5</f>
        <v>127</v>
      </c>
      <c r="F5" s="283">
        <f>[1]SRM!$E$10</f>
        <v>88</v>
      </c>
      <c r="G5" s="283">
        <v>38</v>
      </c>
      <c r="H5" s="283">
        <v>38</v>
      </c>
      <c r="I5" s="322">
        <f>F5+G5+H5</f>
        <v>164</v>
      </c>
      <c r="J5" s="323">
        <f>E5+I5</f>
        <v>291</v>
      </c>
      <c r="K5" s="46"/>
      <c r="L5" s="318" t="s">
        <v>15</v>
      </c>
      <c r="M5" s="319">
        <f>COUNTIFS(Booking!C:C,L5)</f>
        <v>31</v>
      </c>
      <c r="N5" s="320">
        <f>COUNTIFS(Booking!E:E,"IH",Booking!C:C,L5)</f>
        <v>15</v>
      </c>
      <c r="O5" s="319">
        <f>COUNTIFS(RETAIL!N:N,+L5)</f>
        <v>9</v>
      </c>
      <c r="P5" s="319">
        <f>COUNTIFS(IH!M:M,L5,IH!S:S,"DISBURSED")</f>
        <v>8</v>
      </c>
      <c r="Q5" s="334">
        <f t="shared" si="0"/>
        <v>0.888888888888889</v>
      </c>
      <c r="R5" s="319">
        <f>COUNTIFS(IH!M:M,L5,IH!S:S,"LOGIN")</f>
        <v>0</v>
      </c>
      <c r="S5" s="319">
        <f>COUNTIFS(Allotment!D:D,L5)</f>
        <v>2</v>
      </c>
      <c r="T5" s="335">
        <f>COUNTIFS(Allotment!F:F,"IH",Allotment!D:D,L5)</f>
        <v>2</v>
      </c>
    </row>
    <row r="6" ht="21" spans="2:20">
      <c r="B6" s="284" t="s">
        <v>297</v>
      </c>
      <c r="C6" s="287">
        <f>D25</f>
        <v>646.93841</v>
      </c>
      <c r="D6" s="287">
        <v>134.61</v>
      </c>
      <c r="E6" s="288">
        <f>C6+D6</f>
        <v>781.54841</v>
      </c>
      <c r="F6" s="289">
        <f>[1]SRM!$C$17</f>
        <v>604.21806</v>
      </c>
      <c r="G6" s="283">
        <v>280.89</v>
      </c>
      <c r="H6" s="289">
        <v>252.43</v>
      </c>
      <c r="I6" s="289">
        <f>F6+G6+H6</f>
        <v>1137.53806</v>
      </c>
      <c r="J6" s="324">
        <f>E6+I6</f>
        <v>1919.08647</v>
      </c>
      <c r="K6" s="302"/>
      <c r="L6" s="318" t="s">
        <v>17</v>
      </c>
      <c r="M6" s="319">
        <f>COUNTIFS(Booking!C:C,L6)</f>
        <v>57</v>
      </c>
      <c r="N6" s="320">
        <f>COUNTIFS(Booking!E:E,"IH",Booking!C:C,L6)</f>
        <v>34</v>
      </c>
      <c r="O6" s="319">
        <f>COUNTIFS(RETAIL!N:N,+L6)</f>
        <v>35</v>
      </c>
      <c r="P6" s="319">
        <f>COUNTIFS(IH!M:M,L6,IH!S:S,"DISBURSED")</f>
        <v>20</v>
      </c>
      <c r="Q6" s="334">
        <f t="shared" si="0"/>
        <v>0.571428571428571</v>
      </c>
      <c r="R6" s="319">
        <f>COUNTIFS(IH!M:M,L6,IH!S:S,"LOGIN")</f>
        <v>11</v>
      </c>
      <c r="S6" s="319">
        <f>COUNTIFS(Allotment!D:D,L6)</f>
        <v>21</v>
      </c>
      <c r="T6" s="335">
        <f>COUNTIFS(Allotment!F:F,"IH",Allotment!D:D,L6)</f>
        <v>7</v>
      </c>
    </row>
    <row r="7" ht="21" spans="2:20">
      <c r="B7" s="284" t="s">
        <v>298</v>
      </c>
      <c r="C7" s="290">
        <f t="shared" ref="C7:J7" si="1">IFERROR((C5/C4),0)</f>
        <v>0.589189189189189</v>
      </c>
      <c r="D7" s="290">
        <f t="shared" si="1"/>
        <v>0.391304347826087</v>
      </c>
      <c r="E7" s="290">
        <f t="shared" si="1"/>
        <v>0.54978354978355</v>
      </c>
      <c r="F7" s="291">
        <f t="shared" si="1"/>
        <v>0.704</v>
      </c>
      <c r="G7" s="291">
        <f t="shared" si="1"/>
        <v>0.745098039215686</v>
      </c>
      <c r="H7" s="291">
        <f t="shared" si="1"/>
        <v>0.612903225806452</v>
      </c>
      <c r="I7" s="291">
        <f t="shared" si="1"/>
        <v>0.689075630252101</v>
      </c>
      <c r="J7" s="325">
        <f t="shared" si="1"/>
        <v>0.62046908315565</v>
      </c>
      <c r="K7" s="46"/>
      <c r="L7" s="318" t="s">
        <v>33</v>
      </c>
      <c r="M7" s="319">
        <f>COUNTIFS(Booking!C:C,L7)</f>
        <v>20</v>
      </c>
      <c r="N7" s="320">
        <f>COUNTIFS(Booking!E:E,"IH",Booking!C:C,L7)</f>
        <v>8</v>
      </c>
      <c r="O7" s="319">
        <f>COUNTIFS(RETAIL!N:N,+L7)</f>
        <v>4</v>
      </c>
      <c r="P7" s="319">
        <f>COUNTIFS(IH!M:M,L7,IH!S:S,"DISBURSED")</f>
        <v>3</v>
      </c>
      <c r="Q7" s="334">
        <f t="shared" si="0"/>
        <v>0.75</v>
      </c>
      <c r="R7" s="319">
        <f>COUNTIFS(IH!M:M,L7,IH!S:S,"LOGIN")</f>
        <v>3</v>
      </c>
      <c r="S7" s="319">
        <f>COUNTIFS(Allotment!D:D,L7)</f>
        <v>3</v>
      </c>
      <c r="T7" s="335">
        <f>COUNTIFS(Allotment!F:F,"IH",Allotment!D:D,L7)</f>
        <v>2</v>
      </c>
    </row>
    <row r="8" ht="21" spans="2:20">
      <c r="B8" s="284" t="s">
        <v>299</v>
      </c>
      <c r="C8" s="282">
        <f>Report!F10</f>
        <v>396</v>
      </c>
      <c r="D8" s="282">
        <v>115</v>
      </c>
      <c r="E8" s="285">
        <f>C8+D8</f>
        <v>511</v>
      </c>
      <c r="F8" s="283">
        <f>[1]Report!$M$17</f>
        <v>189</v>
      </c>
      <c r="G8" s="283">
        <v>128</v>
      </c>
      <c r="H8" s="283">
        <v>130</v>
      </c>
      <c r="I8" s="283">
        <f>F8+G8+H8</f>
        <v>447</v>
      </c>
      <c r="J8" s="321">
        <f>E8+I8</f>
        <v>958</v>
      </c>
      <c r="K8" s="46"/>
      <c r="L8" s="318" t="s">
        <v>19</v>
      </c>
      <c r="M8" s="319">
        <f>COUNTIFS(Booking!C:C,L8)</f>
        <v>19</v>
      </c>
      <c r="N8" s="320">
        <f>COUNTIFS(Booking!E:E,"IH",Booking!C:C,L8)</f>
        <v>6</v>
      </c>
      <c r="O8" s="319">
        <f>COUNTIFS(RETAIL!N:N,+L8)</f>
        <v>8</v>
      </c>
      <c r="P8" s="319">
        <f>COUNTIFS(IH!M:M,L8,IH!S:S,"DISBURSED")</f>
        <v>5</v>
      </c>
      <c r="Q8" s="334">
        <f t="shared" si="0"/>
        <v>0.625</v>
      </c>
      <c r="R8" s="319">
        <f>COUNTIFS(IH!M:M,L8,IH!S:S,"LOGIN")</f>
        <v>2</v>
      </c>
      <c r="S8" s="319">
        <f>COUNTIFS(Allotment!D:D,L8)</f>
        <v>3</v>
      </c>
      <c r="T8" s="335">
        <f>COUNTIFS(Allotment!F:F,"IH",Allotment!D:D,L8)</f>
        <v>2</v>
      </c>
    </row>
    <row r="9" ht="21" spans="2:20">
      <c r="B9" s="284" t="s">
        <v>300</v>
      </c>
      <c r="C9" s="282">
        <f>Report!H10</f>
        <v>79</v>
      </c>
      <c r="D9" s="282">
        <v>20</v>
      </c>
      <c r="E9" s="285">
        <f>C9+D9</f>
        <v>99</v>
      </c>
      <c r="F9" s="283">
        <f>[1]Report!$N$17</f>
        <v>32</v>
      </c>
      <c r="G9" s="283">
        <v>10</v>
      </c>
      <c r="H9" s="283">
        <v>11</v>
      </c>
      <c r="I9" s="283">
        <f>F9+G9+H9</f>
        <v>53</v>
      </c>
      <c r="J9" s="323">
        <f>E9+I9</f>
        <v>152</v>
      </c>
      <c r="K9" s="46"/>
      <c r="L9" s="318" t="s">
        <v>23</v>
      </c>
      <c r="M9" s="319">
        <f>COUNTIFS(Booking!C:C,L9)</f>
        <v>33</v>
      </c>
      <c r="N9" s="320">
        <f>COUNTIFS(Booking!E:E,"IH",Booking!C:C,L9)</f>
        <v>15</v>
      </c>
      <c r="O9" s="319">
        <f>COUNTIFS(RETAIL!N:N,+L9)</f>
        <v>19</v>
      </c>
      <c r="P9" s="319">
        <f>COUNTIFS(IH!M:M,L9,IH!S:S,"DISBURSED")</f>
        <v>11</v>
      </c>
      <c r="Q9" s="334">
        <f t="shared" si="0"/>
        <v>0.578947368421053</v>
      </c>
      <c r="R9" s="319">
        <f>COUNTIFS(IH!M:M,L9,IH!S:S,"LOGIN")</f>
        <v>0</v>
      </c>
      <c r="S9" s="319">
        <f>COUNTIFS(Allotment!D:D,L9)</f>
        <v>6</v>
      </c>
      <c r="T9" s="335">
        <f>COUNTIFS(Allotment!F:F,"IH",Allotment!D:D,L9)</f>
        <v>4</v>
      </c>
    </row>
    <row r="10" ht="21" spans="2:20">
      <c r="B10" s="284" t="s">
        <v>301</v>
      </c>
      <c r="C10" s="282">
        <f>Report!J10</f>
        <v>95</v>
      </c>
      <c r="D10" s="282">
        <v>62</v>
      </c>
      <c r="E10" s="285">
        <f>C10+D10</f>
        <v>157</v>
      </c>
      <c r="F10" s="283">
        <f>[1]Report!$O$17</f>
        <v>28</v>
      </c>
      <c r="G10" s="283">
        <v>36</v>
      </c>
      <c r="H10" s="283">
        <v>19</v>
      </c>
      <c r="I10" s="283">
        <f>F10+G10+H10</f>
        <v>83</v>
      </c>
      <c r="J10" s="321">
        <f>E10+I10</f>
        <v>240</v>
      </c>
      <c r="K10" s="46"/>
      <c r="L10" s="318" t="s">
        <v>100</v>
      </c>
      <c r="M10" s="319">
        <f>COUNTIFS(Booking!C:C,L10)</f>
        <v>44</v>
      </c>
      <c r="N10" s="320">
        <f>COUNTIFS(Booking!E:E,"IH",Booking!C:C,L10)</f>
        <v>16</v>
      </c>
      <c r="O10" s="319">
        <f>COUNTIFS(RETAIL!N:N,+L10)</f>
        <v>13</v>
      </c>
      <c r="P10" s="319">
        <f>COUNTIFS(IH!M:M,L10,IH!S:S,"DISBURSED")</f>
        <v>8</v>
      </c>
      <c r="Q10" s="334">
        <f t="shared" si="0"/>
        <v>0.615384615384615</v>
      </c>
      <c r="R10" s="319">
        <f>COUNTIFS(IH!M:M,L10,IH!S:S,"LOGIN")</f>
        <v>0</v>
      </c>
      <c r="S10" s="319">
        <f>COUNTIFS(Allotment!D:D,L10)</f>
        <v>8</v>
      </c>
      <c r="T10" s="335">
        <f>COUNTIFS(Allotment!F:F,"IH",Allotment!D:D,L10)</f>
        <v>3</v>
      </c>
    </row>
    <row r="11" ht="21" spans="2:20">
      <c r="B11" s="284" t="s">
        <v>302</v>
      </c>
      <c r="C11" s="290">
        <f t="shared" ref="C11:J11" si="2">IFERROR((C9/C8),0)</f>
        <v>0.19949494949495</v>
      </c>
      <c r="D11" s="290">
        <f t="shared" si="2"/>
        <v>0.173913043478261</v>
      </c>
      <c r="E11" s="290">
        <f t="shared" si="2"/>
        <v>0.193737769080235</v>
      </c>
      <c r="F11" s="291">
        <f t="shared" si="2"/>
        <v>0.169312169312169</v>
      </c>
      <c r="G11" s="291">
        <f t="shared" si="2"/>
        <v>0.078125</v>
      </c>
      <c r="H11" s="291">
        <f t="shared" si="2"/>
        <v>0.0846153846153846</v>
      </c>
      <c r="I11" s="291">
        <f t="shared" si="2"/>
        <v>0.118568232662192</v>
      </c>
      <c r="J11" s="325">
        <f t="shared" si="2"/>
        <v>0.15866388308977</v>
      </c>
      <c r="K11" s="46"/>
      <c r="L11" s="318" t="s">
        <v>111</v>
      </c>
      <c r="M11" s="319">
        <f>COUNTIFS(Booking!C:C,L11)</f>
        <v>25</v>
      </c>
      <c r="N11" s="320">
        <f>COUNTIFS(Booking!E:E,"IH",Booking!C:C,L11)</f>
        <v>12</v>
      </c>
      <c r="O11" s="319">
        <f>COUNTIFS(RETAIL!N:N,+L11)</f>
        <v>9</v>
      </c>
      <c r="P11" s="319">
        <f>COUNTIFS(IH!M:M,L11,IH!S:S,"DISBURSED")</f>
        <v>7</v>
      </c>
      <c r="Q11" s="334">
        <f t="shared" si="0"/>
        <v>0.777777777777778</v>
      </c>
      <c r="R11" s="319">
        <f>COUNTIFS(IH!M:M,L11,IH!S:S,"LOGIN")</f>
        <v>1</v>
      </c>
      <c r="S11" s="319">
        <f>COUNTIFS(Allotment!D:D,L11)</f>
        <v>1</v>
      </c>
      <c r="T11" s="335">
        <f>COUNTIFS(Allotment!F:F,"IH",Allotment!D:D,L11)</f>
        <v>1</v>
      </c>
    </row>
    <row r="12" ht="21" spans="2:20">
      <c r="B12" s="284" t="s">
        <v>303</v>
      </c>
      <c r="C12" s="282">
        <f>S20</f>
        <v>71</v>
      </c>
      <c r="D12" s="282">
        <v>15</v>
      </c>
      <c r="E12" s="285">
        <f>C12+D12</f>
        <v>86</v>
      </c>
      <c r="F12" s="283">
        <f>[1]SRM!$U$24</f>
        <v>29</v>
      </c>
      <c r="G12" s="283">
        <v>10</v>
      </c>
      <c r="H12" s="283">
        <v>13</v>
      </c>
      <c r="I12" s="283">
        <f>F12+G12+H12</f>
        <v>52</v>
      </c>
      <c r="J12" s="321">
        <f>E12+I12</f>
        <v>138</v>
      </c>
      <c r="K12" s="46"/>
      <c r="L12" s="318" t="s">
        <v>25</v>
      </c>
      <c r="M12" s="319">
        <f>COUNTIFS(Booking!C:C,L12)</f>
        <v>29</v>
      </c>
      <c r="N12" s="320">
        <f>COUNTIFS(Booking!E:E,"IH",Booking!C:C,L12)</f>
        <v>9</v>
      </c>
      <c r="O12" s="319">
        <f>COUNTIFS(RETAIL!N:N,+L12)</f>
        <v>11</v>
      </c>
      <c r="P12" s="319">
        <f>COUNTIFS(IH!M:M,L12,IH!S:S,"DISBURSED")</f>
        <v>6</v>
      </c>
      <c r="Q12" s="334">
        <f t="shared" si="0"/>
        <v>0.545454545454545</v>
      </c>
      <c r="R12" s="319">
        <f>COUNTIFS(IH!M:M,L12,IH!S:S,"LOGIN")</f>
        <v>1</v>
      </c>
      <c r="S12" s="319">
        <f>COUNTIFS(Allotment!D:D,L12)</f>
        <v>5</v>
      </c>
      <c r="T12" s="335">
        <f>COUNTIFS(Allotment!F:F,"IH",Allotment!D:D,L12)</f>
        <v>2</v>
      </c>
    </row>
    <row r="13" ht="21" spans="2:20">
      <c r="B13" s="284" t="s">
        <v>304</v>
      </c>
      <c r="C13" s="282">
        <f>T20</f>
        <v>32</v>
      </c>
      <c r="D13" s="282">
        <v>9</v>
      </c>
      <c r="E13" s="285">
        <f>C13+D13</f>
        <v>41</v>
      </c>
      <c r="F13" s="283">
        <f>[1]SRM!$V$24</f>
        <v>18</v>
      </c>
      <c r="G13" s="283">
        <v>4</v>
      </c>
      <c r="H13" s="283">
        <v>7</v>
      </c>
      <c r="I13" s="283">
        <f>F13+G13+H13</f>
        <v>29</v>
      </c>
      <c r="J13" s="321">
        <f>E13+I13</f>
        <v>70</v>
      </c>
      <c r="K13" s="46"/>
      <c r="L13" s="318" t="s">
        <v>125</v>
      </c>
      <c r="M13" s="319">
        <f>COUNTIFS(Booking!C:C,L13)</f>
        <v>16</v>
      </c>
      <c r="N13" s="320">
        <f>COUNTIFS(Booking!E:E,"IH",Booking!C:C,L13)</f>
        <v>5</v>
      </c>
      <c r="O13" s="319">
        <f>COUNTIFS(RETAIL!N:N,+L13)</f>
        <v>10</v>
      </c>
      <c r="P13" s="319">
        <f>COUNTIFS(IH!M:M,L13,IH!S:S,"DISBURSED")</f>
        <v>4</v>
      </c>
      <c r="Q13" s="334">
        <f t="shared" si="0"/>
        <v>0.4</v>
      </c>
      <c r="R13" s="319">
        <f>COUNTIFS(IH!M:M,L13,IH!S:S,"LOGIN")</f>
        <v>0</v>
      </c>
      <c r="S13" s="319">
        <f>COUNTIFS(Allotment!D:D,L13)</f>
        <v>7</v>
      </c>
      <c r="T13" s="335">
        <f>COUNTIFS(Allotment!F:F,"IH",Allotment!D:D,L13)</f>
        <v>0</v>
      </c>
    </row>
    <row r="14" ht="21" spans="2:20">
      <c r="B14" s="284" t="s">
        <v>305</v>
      </c>
      <c r="C14" s="290">
        <f t="shared" ref="C14:J14" si="3">IFERROR((C13/C12),0)</f>
        <v>0.450704225352113</v>
      </c>
      <c r="D14" s="290">
        <f t="shared" si="3"/>
        <v>0.6</v>
      </c>
      <c r="E14" s="290">
        <f t="shared" si="3"/>
        <v>0.476744186046512</v>
      </c>
      <c r="F14" s="291">
        <f t="shared" si="3"/>
        <v>0.620689655172414</v>
      </c>
      <c r="G14" s="291">
        <f t="shared" si="3"/>
        <v>0.4</v>
      </c>
      <c r="H14" s="291">
        <f t="shared" si="3"/>
        <v>0.538461538461538</v>
      </c>
      <c r="I14" s="291">
        <f t="shared" si="3"/>
        <v>0.557692307692308</v>
      </c>
      <c r="J14" s="325">
        <f t="shared" si="3"/>
        <v>0.507246376811594</v>
      </c>
      <c r="K14" s="46"/>
      <c r="L14" s="318" t="s">
        <v>29</v>
      </c>
      <c r="M14" s="319">
        <f>COUNTIFS(Booking!C:C,L14)</f>
        <v>25</v>
      </c>
      <c r="N14" s="320">
        <f>COUNTIFS(Booking!E:E,"IH",Booking!C:C,L14)</f>
        <v>10</v>
      </c>
      <c r="O14" s="319">
        <f>COUNTIFS(RETAIL!N:N,+L14)</f>
        <v>12</v>
      </c>
      <c r="P14" s="319">
        <f>COUNTIFS(IH!M:M,L14,IH!S:S,"DISBURSED")</f>
        <v>9</v>
      </c>
      <c r="Q14" s="334">
        <f t="shared" si="0"/>
        <v>0.75</v>
      </c>
      <c r="R14" s="319">
        <f>COUNTIFS(IH!M:M,L14,IH!S:S,"LOGIN")</f>
        <v>1</v>
      </c>
      <c r="S14" s="319">
        <f>COUNTIFS(Allotment!D:D,L14)</f>
        <v>4</v>
      </c>
      <c r="T14" s="335">
        <f>COUNTIFS(Allotment!F:F,"IH",Allotment!D:D,L14)</f>
        <v>2</v>
      </c>
    </row>
    <row r="15" ht="21" spans="2:20">
      <c r="B15" s="284" t="s">
        <v>306</v>
      </c>
      <c r="C15" s="282">
        <f>C4</f>
        <v>185</v>
      </c>
      <c r="D15" s="282">
        <f>D4</f>
        <v>46</v>
      </c>
      <c r="E15" s="285">
        <f>C15+D15</f>
        <v>231</v>
      </c>
      <c r="F15" s="283">
        <f>F4</f>
        <v>125</v>
      </c>
      <c r="G15" s="283">
        <f>G4</f>
        <v>51</v>
      </c>
      <c r="H15" s="283">
        <f>H4</f>
        <v>62</v>
      </c>
      <c r="I15" s="283">
        <f>F15+G15+H15</f>
        <v>238</v>
      </c>
      <c r="J15" s="321">
        <f>E15+I15</f>
        <v>469</v>
      </c>
      <c r="K15" s="46"/>
      <c r="L15" s="318" t="s">
        <v>34</v>
      </c>
      <c r="M15" s="319">
        <f>COUNTIFS(Booking!C:C,L15)</f>
        <v>23</v>
      </c>
      <c r="N15" s="320">
        <f>COUNTIFS(Booking!E:E,"IH",Booking!C:C,L15)</f>
        <v>8</v>
      </c>
      <c r="O15" s="319">
        <f>COUNTIFS(RETAIL!N:N,+L15)</f>
        <v>14</v>
      </c>
      <c r="P15" s="319">
        <f>COUNTIFS(IH!M:M,L15,IH!S:S,"DISBURSED")</f>
        <v>6</v>
      </c>
      <c r="Q15" s="334">
        <f t="shared" si="0"/>
        <v>0.428571428571429</v>
      </c>
      <c r="R15" s="319">
        <f>COUNTIFS(IH!M:M,L15,IH!S:S,"LOGIN")</f>
        <v>0</v>
      </c>
      <c r="S15" s="319">
        <f>COUNTIFS(Allotment!D:D,L15)</f>
        <v>2</v>
      </c>
      <c r="T15" s="335">
        <f>COUNTIFS(Allotment!F:F,"IH",Allotment!D:D,L15)</f>
        <v>2</v>
      </c>
    </row>
    <row r="16" ht="21" spans="2:20">
      <c r="B16" s="284" t="s">
        <v>307</v>
      </c>
      <c r="C16" s="282">
        <f>Outlet!I20</f>
        <v>59</v>
      </c>
      <c r="D16" s="282">
        <v>13</v>
      </c>
      <c r="E16" s="285">
        <f>C16+D16</f>
        <v>72</v>
      </c>
      <c r="F16" s="283">
        <f>[1]SRM!$K$10</f>
        <v>61</v>
      </c>
      <c r="G16" s="283">
        <v>34</v>
      </c>
      <c r="H16" s="283">
        <v>33</v>
      </c>
      <c r="I16" s="283">
        <f>F16+G16+H16</f>
        <v>128</v>
      </c>
      <c r="J16" s="321">
        <f>E16+I16</f>
        <v>200</v>
      </c>
      <c r="K16" s="46"/>
      <c r="L16" s="318" t="s">
        <v>38</v>
      </c>
      <c r="M16" s="319">
        <f>COUNTIFS(Booking!C:C,L16)</f>
        <v>36</v>
      </c>
      <c r="N16" s="320">
        <f>COUNTIFS(Booking!E:E,"IH",Booking!C:C,L16)</f>
        <v>20</v>
      </c>
      <c r="O16" s="319">
        <f>COUNTIFS(RETAIL!N:N,+L16)</f>
        <v>25</v>
      </c>
      <c r="P16" s="319">
        <f>COUNTIFS(IH!M:M,L16,IH!S:S,"DISBURSED")</f>
        <v>12</v>
      </c>
      <c r="Q16" s="334">
        <f t="shared" si="0"/>
        <v>0.48</v>
      </c>
      <c r="R16" s="319">
        <f>COUNTIFS(IH!M:M,L16,IH!S:S,"LOGIN")</f>
        <v>0</v>
      </c>
      <c r="S16" s="319">
        <f>COUNTIFS(Allotment!D:D,L16)</f>
        <v>4</v>
      </c>
      <c r="T16" s="335">
        <f>COUNTIFS(Allotment!F:F,"IH",Allotment!D:D,L16)</f>
        <v>2</v>
      </c>
    </row>
    <row r="17" ht="21" spans="2:20">
      <c r="B17" s="284" t="s">
        <v>308</v>
      </c>
      <c r="C17" s="290">
        <f t="shared" ref="C17:J17" si="4">IFERROR((C16/C15),0)</f>
        <v>0.318918918918919</v>
      </c>
      <c r="D17" s="290">
        <f t="shared" si="4"/>
        <v>0.282608695652174</v>
      </c>
      <c r="E17" s="292">
        <f t="shared" si="4"/>
        <v>0.311688311688312</v>
      </c>
      <c r="F17" s="291">
        <f t="shared" si="4"/>
        <v>0.488</v>
      </c>
      <c r="G17" s="291">
        <f t="shared" si="4"/>
        <v>0.666666666666667</v>
      </c>
      <c r="H17" s="291">
        <f t="shared" si="4"/>
        <v>0.532258064516129</v>
      </c>
      <c r="I17" s="291">
        <f t="shared" si="4"/>
        <v>0.53781512605042</v>
      </c>
      <c r="J17" s="325">
        <f t="shared" si="4"/>
        <v>0.426439232409382</v>
      </c>
      <c r="K17" s="46"/>
      <c r="L17" s="318" t="s">
        <v>175</v>
      </c>
      <c r="M17" s="319">
        <f>COUNTIFS(Booking!C:C,L17)</f>
        <v>16</v>
      </c>
      <c r="N17" s="320">
        <f>COUNTIFS(Booking!E:E,"IH",Booking!C:C,L17)</f>
        <v>9</v>
      </c>
      <c r="O17" s="319">
        <f>COUNTIFS(RETAIL!N:N,+L17)</f>
        <v>9</v>
      </c>
      <c r="P17" s="319">
        <f>COUNTIFS(IH!M:M,L17,IH!S:S,"DISBURSED")</f>
        <v>5</v>
      </c>
      <c r="Q17" s="334">
        <f t="shared" si="0"/>
        <v>0.555555555555556</v>
      </c>
      <c r="R17" s="319">
        <f>COUNTIFS(IH!M:M,L17,IH!S:S,"LOGIN")</f>
        <v>0</v>
      </c>
      <c r="S17" s="319">
        <f>COUNTIFS(Allotment!D:D,L17)</f>
        <v>4</v>
      </c>
      <c r="T17" s="335">
        <f>COUNTIFS(Allotment!F:F,"IH",Allotment!D:D,L17)</f>
        <v>3</v>
      </c>
    </row>
    <row r="18" ht="17.25" spans="12:20">
      <c r="L18" s="318" t="s">
        <v>107</v>
      </c>
      <c r="M18" s="319">
        <f>COUNTIFS(Booking!C:C,L18)</f>
        <v>0</v>
      </c>
      <c r="N18" s="320">
        <f>COUNTIFS(Booking!E:E,"IH",Booking!C:C,L18)</f>
        <v>0</v>
      </c>
      <c r="O18" s="319">
        <f>COUNTIFS(RETAIL!N:N,+L18)</f>
        <v>1</v>
      </c>
      <c r="P18" s="319">
        <f>COUNTIFS(IH!M:M,L18,IH!S:S,"DISBURSED")</f>
        <v>1</v>
      </c>
      <c r="Q18" s="334">
        <f t="shared" si="0"/>
        <v>1</v>
      </c>
      <c r="R18" s="319">
        <f>COUNTIFS(IH!M:M,L18,IH!S:S,"LOGIN")</f>
        <v>0</v>
      </c>
      <c r="S18" s="319">
        <f>COUNTIFS(Allotment!D:D,L18)</f>
        <v>1</v>
      </c>
      <c r="T18" s="335">
        <f>COUNTIFS(Allotment!F:F,"IH",Allotment!D:D,L18)</f>
        <v>0</v>
      </c>
    </row>
    <row r="19" ht="17.25" spans="12:20">
      <c r="L19" s="318" t="s">
        <v>187</v>
      </c>
      <c r="M19" s="319">
        <f>COUNTIFS(Booking!C:C,L19)</f>
        <v>0</v>
      </c>
      <c r="N19" s="320">
        <f>COUNTIFS(Booking!E:E,"IH",Booking!C:C,L19)</f>
        <v>0</v>
      </c>
      <c r="O19" s="319">
        <f>COUNTIFS(RETAIL!N:N,+L19)</f>
        <v>0</v>
      </c>
      <c r="P19" s="319">
        <f>COUNTIFS(IH!M:M,L19,IH!S:S,"DISBURSED")</f>
        <v>0</v>
      </c>
      <c r="Q19" s="334">
        <f t="shared" si="0"/>
        <v>0</v>
      </c>
      <c r="R19" s="319">
        <f>COUNTIFS(IH!M:M,L19,IH!S:S,"LOGIN")</f>
        <v>0</v>
      </c>
      <c r="S19" s="319">
        <f>COUNTIFS(Allotment!D:D,L19)</f>
        <v>0</v>
      </c>
      <c r="T19" s="335">
        <f>COUNTIFS(Allotment!F:F,"IH",Allotment!D:D,L19)</f>
        <v>0</v>
      </c>
    </row>
    <row r="20" ht="18.75" spans="12:20">
      <c r="L20" s="326" t="s">
        <v>46</v>
      </c>
      <c r="M20" s="327">
        <f>SUM(M3:M19)</f>
        <v>396</v>
      </c>
      <c r="N20" s="327">
        <f>SUM(N3:N19)</f>
        <v>174</v>
      </c>
      <c r="O20" s="327">
        <f>SUM(O3:O19)</f>
        <v>185</v>
      </c>
      <c r="P20" s="327">
        <f>SUM(P3:P19)</f>
        <v>109</v>
      </c>
      <c r="Q20" s="336">
        <f t="shared" si="0"/>
        <v>0.589189189189189</v>
      </c>
      <c r="R20" s="327">
        <f>SUM(R3:R19)</f>
        <v>22</v>
      </c>
      <c r="S20" s="327">
        <f>SUM(S3:S19)</f>
        <v>71</v>
      </c>
      <c r="T20" s="327">
        <f>SUM(T3:T19)</f>
        <v>32</v>
      </c>
    </row>
    <row r="21" ht="17.25" spans="2:13">
      <c r="B21" s="293" t="str">
        <f ca="1">CONCATENATE("Arena Report ",TEXT(TODAY(),"dd-mmm-yy"))</f>
        <v>Arena Report 30-Mar-26</v>
      </c>
      <c r="C21" s="294"/>
      <c r="D21" s="295"/>
      <c r="F21" s="46"/>
      <c r="G21" s="46"/>
      <c r="H21" s="46"/>
      <c r="I21" s="46"/>
      <c r="J21" s="46"/>
      <c r="K21" s="46"/>
      <c r="L21" s="46"/>
      <c r="M21" s="46"/>
    </row>
    <row r="22" spans="2:13">
      <c r="B22" s="296" t="s">
        <v>309</v>
      </c>
      <c r="C22" s="297">
        <f ca="1">COUNTIFS(IH!O:O,TODAY())</f>
        <v>1</v>
      </c>
      <c r="D22" s="298">
        <f ca="1">C22*4</f>
        <v>4</v>
      </c>
      <c r="F22" s="46"/>
      <c r="G22" s="46"/>
      <c r="H22" s="46"/>
      <c r="I22" s="46"/>
      <c r="J22" s="46"/>
      <c r="K22" s="46"/>
      <c r="L22" s="46"/>
      <c r="M22" s="46"/>
    </row>
    <row r="23" spans="2:13">
      <c r="B23" s="299" t="s">
        <v>310</v>
      </c>
      <c r="C23" s="299">
        <f>Outlet!F20</f>
        <v>22</v>
      </c>
      <c r="D23" s="300">
        <f>C23*4</f>
        <v>88</v>
      </c>
      <c r="F23" s="46"/>
      <c r="G23" s="46"/>
      <c r="H23" s="46"/>
      <c r="I23" s="46"/>
      <c r="J23" s="46"/>
      <c r="K23" s="46"/>
      <c r="L23" s="46"/>
      <c r="M23" s="46"/>
    </row>
    <row r="24" spans="2:13">
      <c r="B24" s="299" t="s">
        <v>311</v>
      </c>
      <c r="C24" s="301">
        <f ca="1">COUNTIFS(IH!P:P,TODAY())</f>
        <v>3</v>
      </c>
      <c r="D24" s="300">
        <f ca="1">SUMIFS(IH!H:H,IH!S:S,"DISBURSED",IH!P:P,TODAY())/100000</f>
        <v>14.23865</v>
      </c>
      <c r="F24" s="46"/>
      <c r="G24" s="46"/>
      <c r="H24" s="46"/>
      <c r="I24" s="46"/>
      <c r="J24" s="46"/>
      <c r="K24" s="46"/>
      <c r="L24" s="46"/>
      <c r="M24" s="46"/>
    </row>
    <row r="25" spans="2:13">
      <c r="B25" s="299" t="s">
        <v>312</v>
      </c>
      <c r="C25" s="299">
        <f>Outlet!E20</f>
        <v>109</v>
      </c>
      <c r="D25" s="300">
        <f>SUMIFS(IH!H:H,IH!S:S,"Disbursed")/100000</f>
        <v>646.93841</v>
      </c>
      <c r="F25" s="302"/>
      <c r="G25" s="46"/>
      <c r="H25" s="46"/>
      <c r="I25" s="46"/>
      <c r="J25" s="46"/>
      <c r="K25" s="46"/>
      <c r="L25" s="46"/>
      <c r="M25" s="46"/>
    </row>
    <row r="26" spans="2:15">
      <c r="B26" s="299" t="s">
        <v>313</v>
      </c>
      <c r="C26" s="299">
        <f>Outlet!D20</f>
        <v>185</v>
      </c>
      <c r="D26" s="303"/>
      <c r="F26" s="304"/>
      <c r="G26" s="46"/>
      <c r="H26" s="46"/>
      <c r="I26" s="46"/>
      <c r="J26" s="46"/>
      <c r="K26" s="46"/>
      <c r="L26" s="46"/>
      <c r="M26" s="46"/>
      <c r="N26" s="46"/>
      <c r="O26" s="46"/>
    </row>
    <row r="27" spans="2:15">
      <c r="B27" s="299" t="s">
        <v>314</v>
      </c>
      <c r="C27" s="305">
        <f>IFERROR((C25/C26),0)</f>
        <v>0.589189189189189</v>
      </c>
      <c r="D27" s="303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spans="2:13">
      <c r="B28" s="299" t="s">
        <v>315</v>
      </c>
      <c r="C28" s="299">
        <f>Outlet!H20</f>
        <v>48</v>
      </c>
      <c r="D28" s="303"/>
      <c r="F28" s="46"/>
      <c r="G28" s="46"/>
      <c r="H28" s="46"/>
      <c r="I28" s="46"/>
      <c r="J28" s="46"/>
      <c r="K28" s="46"/>
      <c r="L28" s="46"/>
      <c r="M28" s="46"/>
    </row>
    <row r="29" spans="2:13">
      <c r="B29" s="299" t="s">
        <v>316</v>
      </c>
      <c r="C29" s="306">
        <f>Outlet!I20</f>
        <v>59</v>
      </c>
      <c r="D29" s="307"/>
      <c r="F29" s="46"/>
      <c r="G29" s="46"/>
      <c r="H29" s="46"/>
      <c r="I29" s="46"/>
      <c r="J29" s="46"/>
      <c r="K29" s="46"/>
      <c r="L29" s="46"/>
      <c r="M29" s="46"/>
    </row>
    <row r="30" spans="2:14">
      <c r="B30" s="299" t="s">
        <v>314</v>
      </c>
      <c r="C30" s="308">
        <f>C29/C26</f>
        <v>0.318918918918919</v>
      </c>
      <c r="D30" s="303"/>
      <c r="F30" s="46"/>
      <c r="G30" s="46"/>
      <c r="H30" s="46"/>
      <c r="I30" s="46"/>
      <c r="J30" s="46"/>
      <c r="K30" s="46"/>
      <c r="L30" s="46"/>
      <c r="M30" s="46"/>
      <c r="N30" s="328"/>
    </row>
    <row r="31" spans="2:10">
      <c r="B31" s="309"/>
      <c r="J31" s="46"/>
    </row>
    <row r="32" spans="2:10">
      <c r="B32" s="309"/>
      <c r="J32" s="46"/>
    </row>
    <row r="33" spans="9:10">
      <c r="I33" s="46"/>
      <c r="J33" s="46"/>
    </row>
    <row r="34" spans="9:12">
      <c r="I34" s="46"/>
      <c r="J34" s="46"/>
      <c r="L34" s="309"/>
    </row>
    <row r="35" spans="8:12">
      <c r="H35" s="309"/>
      <c r="I35" s="46"/>
      <c r="J35" s="46"/>
      <c r="L35" s="309"/>
    </row>
    <row r="36" spans="9:12">
      <c r="I36" s="46"/>
      <c r="J36" s="46"/>
      <c r="K36" s="46"/>
      <c r="L36" s="329"/>
    </row>
    <row r="37" spans="9:12">
      <c r="I37" s="46"/>
      <c r="J37" s="46"/>
      <c r="K37" s="46"/>
      <c r="L37" s="330"/>
    </row>
    <row r="38" spans="6:6">
      <c r="F38" s="310"/>
    </row>
    <row r="39" spans="6:22">
      <c r="F39" s="310"/>
      <c r="V39" s="46"/>
    </row>
    <row r="40" spans="22:22">
      <c r="V40" s="46"/>
    </row>
    <row r="41" spans="22:22">
      <c r="V41" s="46"/>
    </row>
    <row r="42" spans="22:22">
      <c r="V42" s="46"/>
    </row>
  </sheetData>
  <mergeCells count="7">
    <mergeCell ref="B1:J1"/>
    <mergeCell ref="L1:T1"/>
    <mergeCell ref="C2:E2"/>
    <mergeCell ref="F2:I2"/>
    <mergeCell ref="B21:D21"/>
    <mergeCell ref="B2:B3"/>
    <mergeCell ref="J2:J3"/>
  </mergeCells>
  <conditionalFormatting sqref="F26">
    <cfRule type="duplicateValues" dxfId="1" priority="1"/>
    <cfRule type="expression" dxfId="4" priority="3">
      <formula>$A26&lt;&gt;""</formula>
    </cfRule>
  </conditionalFormatting>
  <pageMargins left="0.751388888888889" right="0.751388888888889" top="1" bottom="1" header="0.5" footer="0.5"/>
  <pageSetup paperSize="1" scale="54" orientation="landscape"/>
  <headerFooter/>
  <ignoredErrors>
    <ignoredError sqref="E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Y37"/>
  <sheetViews>
    <sheetView zoomScale="85" zoomScaleNormal="85" zoomScaleSheetLayoutView="55" workbookViewId="0">
      <selection activeCell="Z21" sqref="Z21"/>
    </sheetView>
  </sheetViews>
  <sheetFormatPr defaultColWidth="9" defaultRowHeight="15.75"/>
  <cols>
    <col min="1" max="1" width="1.875" style="138" customWidth="1"/>
    <col min="2" max="2" width="17.125" style="138" customWidth="1"/>
    <col min="3" max="3" width="7.375" style="138" customWidth="1"/>
    <col min="4" max="4" width="6.125" style="138" customWidth="1"/>
    <col min="5" max="5" width="6.875" style="138" customWidth="1"/>
    <col min="6" max="6" width="7.375" style="138" customWidth="1"/>
    <col min="7" max="7" width="6.125" style="138" customWidth="1"/>
    <col min="8" max="8" width="6.875" style="138" customWidth="1"/>
    <col min="9" max="9" width="7.375" style="138" customWidth="1"/>
    <col min="10" max="10" width="6.125" style="138" customWidth="1"/>
    <col min="11" max="11" width="6.875" style="138" customWidth="1"/>
    <col min="12" max="12" width="12" style="138" customWidth="1"/>
    <col min="13" max="13" width="7.625" style="138" customWidth="1"/>
    <col min="14" max="14" width="6.25" style="138" customWidth="1"/>
    <col min="15" max="15" width="4.25833333333333" customWidth="1"/>
    <col min="16" max="16" width="17.125" hidden="1" customWidth="1"/>
    <col min="17" max="17" width="6.75" style="46" hidden="1" customWidth="1"/>
    <col min="18" max="18" width="5.625" style="46" hidden="1" customWidth="1"/>
    <col min="19" max="19" width="6.25" style="46" hidden="1" customWidth="1"/>
    <col min="20" max="20" width="6.75" style="46" hidden="1" customWidth="1"/>
    <col min="21" max="21" width="5.625" style="46" hidden="1" customWidth="1"/>
    <col min="22" max="22" width="6.25" style="46" hidden="1" customWidth="1"/>
    <col min="23" max="23" width="6.75" style="46" hidden="1" customWidth="1"/>
    <col min="24" max="24" width="5.625" style="46" hidden="1" customWidth="1"/>
    <col min="25" max="25" width="6.25" style="46" hidden="1" customWidth="1"/>
  </cols>
  <sheetData>
    <row r="1" ht="18" customHeight="1" spans="2:25">
      <c r="B1" s="242" t="s">
        <v>317</v>
      </c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51"/>
      <c r="N1" s="230"/>
      <c r="P1" s="242" t="s">
        <v>318</v>
      </c>
      <c r="Q1" s="243"/>
      <c r="R1" s="243"/>
      <c r="S1" s="243"/>
      <c r="T1" s="243"/>
      <c r="U1" s="243"/>
      <c r="V1" s="243"/>
      <c r="W1" s="243"/>
      <c r="X1" s="243"/>
      <c r="Y1" s="243"/>
    </row>
    <row r="2" spans="2:25">
      <c r="B2" s="244"/>
      <c r="C2" s="245" t="s">
        <v>50</v>
      </c>
      <c r="D2" s="246"/>
      <c r="E2" s="246"/>
      <c r="F2" s="201" t="s">
        <v>319</v>
      </c>
      <c r="G2" s="201"/>
      <c r="H2" s="201"/>
      <c r="I2" s="246" t="s">
        <v>320</v>
      </c>
      <c r="J2" s="246"/>
      <c r="K2" s="246"/>
      <c r="L2" s="252"/>
      <c r="M2" s="253"/>
      <c r="N2" s="230"/>
      <c r="P2" s="254"/>
      <c r="Q2" s="246" t="s">
        <v>50</v>
      </c>
      <c r="R2" s="246"/>
      <c r="S2" s="246"/>
      <c r="T2" s="201" t="s">
        <v>319</v>
      </c>
      <c r="U2" s="201"/>
      <c r="V2" s="201"/>
      <c r="W2" s="246" t="s">
        <v>320</v>
      </c>
      <c r="X2" s="246"/>
      <c r="Y2" s="246"/>
    </row>
    <row r="3" spans="2:25">
      <c r="B3" s="247" t="s">
        <v>321</v>
      </c>
      <c r="C3" s="245" t="s">
        <v>45</v>
      </c>
      <c r="D3" s="246" t="s">
        <v>42</v>
      </c>
      <c r="E3" s="246" t="s">
        <v>46</v>
      </c>
      <c r="F3" s="201" t="s">
        <v>45</v>
      </c>
      <c r="G3" s="201" t="s">
        <v>42</v>
      </c>
      <c r="H3" s="201" t="s">
        <v>46</v>
      </c>
      <c r="I3" s="246" t="s">
        <v>45</v>
      </c>
      <c r="J3" s="246" t="s">
        <v>42</v>
      </c>
      <c r="K3" s="246" t="s">
        <v>46</v>
      </c>
      <c r="L3" s="255" t="s">
        <v>322</v>
      </c>
      <c r="M3" s="255" t="s">
        <v>323</v>
      </c>
      <c r="N3" s="256" t="s">
        <v>324</v>
      </c>
      <c r="P3" s="255" t="s">
        <v>321</v>
      </c>
      <c r="Q3" s="246" t="s">
        <v>45</v>
      </c>
      <c r="R3" s="246" t="s">
        <v>42</v>
      </c>
      <c r="S3" s="246" t="s">
        <v>46</v>
      </c>
      <c r="T3" s="201" t="s">
        <v>45</v>
      </c>
      <c r="U3" s="201" t="s">
        <v>42</v>
      </c>
      <c r="V3" s="201" t="s">
        <v>46</v>
      </c>
      <c r="W3" s="246" t="s">
        <v>45</v>
      </c>
      <c r="X3" s="246" t="s">
        <v>42</v>
      </c>
      <c r="Y3" s="246" t="s">
        <v>46</v>
      </c>
    </row>
    <row r="4" spans="2:25">
      <c r="B4" s="248" t="s">
        <v>11</v>
      </c>
      <c r="C4" s="60">
        <f>COUNTIFS(RETAIL!N:N,B4)</f>
        <v>1</v>
      </c>
      <c r="D4" s="60">
        <f>COUNTIFS([1]RETAIL!$N:$N,B4)</f>
        <v>0</v>
      </c>
      <c r="E4" s="60">
        <f>C4+D4</f>
        <v>1</v>
      </c>
      <c r="F4" s="60">
        <f>COUNTIFS(IH!M:M,B4,IH!S:S,"DISBURSED")</f>
        <v>0</v>
      </c>
      <c r="G4" s="60">
        <f>COUNTIFS([1]IH!$S:$S,"DISBURSED",[1]IH!$M:$M,B4)</f>
        <v>0</v>
      </c>
      <c r="H4" s="60">
        <f t="shared" ref="H4:H21" si="0">F4+G4</f>
        <v>0</v>
      </c>
      <c r="I4" s="257">
        <f t="shared" ref="I4:I19" si="1">IFERROR((F4/C4),0)</f>
        <v>0</v>
      </c>
      <c r="J4" s="257">
        <f t="shared" ref="J4:J19" si="2">IFERROR((G4/D4),0)</f>
        <v>0</v>
      </c>
      <c r="K4" s="257">
        <f t="shared" ref="K4:K19" si="3">IFERROR((H4/E4),0)</f>
        <v>0</v>
      </c>
      <c r="L4" s="60" t="s">
        <v>270</v>
      </c>
      <c r="M4" s="60" t="s">
        <v>45</v>
      </c>
      <c r="N4" s="258">
        <f>COUNTIFS(RETAIL!K:K,"*TOUR*",RETAIL!N:N,B4)</f>
        <v>0</v>
      </c>
      <c r="P4" s="58" t="s">
        <v>11</v>
      </c>
      <c r="Q4" s="267">
        <v>2</v>
      </c>
      <c r="R4" s="267">
        <v>1</v>
      </c>
      <c r="S4" s="267">
        <f>Q4+R4</f>
        <v>3</v>
      </c>
      <c r="T4" s="267">
        <v>1</v>
      </c>
      <c r="U4" s="267">
        <v>1</v>
      </c>
      <c r="V4" s="267">
        <f>T4+U4</f>
        <v>2</v>
      </c>
      <c r="W4" s="189">
        <f t="shared" ref="W4:Y4" si="4">IFERROR((T4/Q4),0)</f>
        <v>0.5</v>
      </c>
      <c r="X4" s="189">
        <f t="shared" si="4"/>
        <v>1</v>
      </c>
      <c r="Y4" s="189">
        <f t="shared" si="4"/>
        <v>0.666666666666667</v>
      </c>
    </row>
    <row r="5" spans="2:25">
      <c r="B5" s="58" t="s">
        <v>13</v>
      </c>
      <c r="C5" s="60">
        <f>COUNTIFS(RETAIL!N:N,B5)</f>
        <v>5</v>
      </c>
      <c r="D5" s="60">
        <f>COUNTIFS([1]RETAIL!$N:$N,B5)</f>
        <v>2</v>
      </c>
      <c r="E5" s="60">
        <f t="shared" ref="E5:E20" si="5">C5+D5</f>
        <v>7</v>
      </c>
      <c r="F5" s="60">
        <f>COUNTIFS(IH!M:M,B5,IH!S:S,"DISBURSED")</f>
        <v>4</v>
      </c>
      <c r="G5" s="60">
        <f>COUNTIFS([1]IH!$S:$S,"DISBURSED",[1]IH!$M:$M,B5)</f>
        <v>2</v>
      </c>
      <c r="H5" s="60">
        <f t="shared" si="0"/>
        <v>6</v>
      </c>
      <c r="I5" s="257">
        <f t="shared" si="1"/>
        <v>0.8</v>
      </c>
      <c r="J5" s="257">
        <f t="shared" si="2"/>
        <v>1</v>
      </c>
      <c r="K5" s="257">
        <f t="shared" si="3"/>
        <v>0.857142857142857</v>
      </c>
      <c r="L5" s="60" t="s">
        <v>270</v>
      </c>
      <c r="M5" s="60" t="s">
        <v>45</v>
      </c>
      <c r="N5" s="258">
        <f>COUNTIFS(RETAIL!K:K,"*TOUR*",RETAIL!N:N,B5)</f>
        <v>2</v>
      </c>
      <c r="O5" s="46"/>
      <c r="P5" s="58" t="s">
        <v>13</v>
      </c>
      <c r="Q5" s="267">
        <v>2</v>
      </c>
      <c r="R5" s="267">
        <v>0</v>
      </c>
      <c r="S5" s="267">
        <f t="shared" ref="S5:S21" si="6">Q5+R5</f>
        <v>2</v>
      </c>
      <c r="T5" s="267">
        <v>0</v>
      </c>
      <c r="U5" s="267">
        <v>0</v>
      </c>
      <c r="V5" s="267">
        <f t="shared" ref="V5:V21" si="7">T5+U5</f>
        <v>0</v>
      </c>
      <c r="W5" s="189">
        <f t="shared" ref="W5:W21" si="8">IFERROR((T5/Q5),0)</f>
        <v>0</v>
      </c>
      <c r="X5" s="189">
        <f t="shared" ref="X5:X21" si="9">IFERROR((U5/R5),0)</f>
        <v>0</v>
      </c>
      <c r="Y5" s="189">
        <f t="shared" ref="Y5:Y21" si="10">IFERROR((V5/S5),0)</f>
        <v>0</v>
      </c>
    </row>
    <row r="6" spans="2:25">
      <c r="B6" s="58" t="s">
        <v>15</v>
      </c>
      <c r="C6" s="60">
        <f>COUNTIFS(RETAIL!N:N,B6)</f>
        <v>9</v>
      </c>
      <c r="D6" s="60">
        <f>COUNTIFS([1]RETAIL!$N:$N,B6)</f>
        <v>5</v>
      </c>
      <c r="E6" s="60">
        <f t="shared" si="5"/>
        <v>14</v>
      </c>
      <c r="F6" s="60">
        <f>COUNTIFS(IH!M:M,B6,IH!S:S,"DISBURSED")</f>
        <v>8</v>
      </c>
      <c r="G6" s="60">
        <f>COUNTIFS([1]IH!$S:$S,"DISBURSED",[1]IH!$M:$M,B6)</f>
        <v>3</v>
      </c>
      <c r="H6" s="60">
        <f t="shared" si="0"/>
        <v>11</v>
      </c>
      <c r="I6" s="257">
        <f t="shared" si="1"/>
        <v>0.888888888888889</v>
      </c>
      <c r="J6" s="257">
        <f t="shared" si="2"/>
        <v>0.6</v>
      </c>
      <c r="K6" s="257">
        <f t="shared" si="3"/>
        <v>0.785714285714286</v>
      </c>
      <c r="L6" s="60" t="s">
        <v>274</v>
      </c>
      <c r="M6" s="60" t="s">
        <v>282</v>
      </c>
      <c r="N6" s="258">
        <f>COUNTIFS(RETAIL!K:K,"*TOUR*",RETAIL!N:N,B6)</f>
        <v>2</v>
      </c>
      <c r="O6" s="46"/>
      <c r="P6" s="58" t="s">
        <v>15</v>
      </c>
      <c r="Q6" s="267">
        <v>17</v>
      </c>
      <c r="R6" s="267">
        <v>3</v>
      </c>
      <c r="S6" s="267">
        <f t="shared" si="6"/>
        <v>20</v>
      </c>
      <c r="T6" s="267">
        <v>7</v>
      </c>
      <c r="U6" s="267">
        <v>4</v>
      </c>
      <c r="V6" s="267">
        <f t="shared" si="7"/>
        <v>11</v>
      </c>
      <c r="W6" s="189">
        <f t="shared" si="8"/>
        <v>0.411764705882353</v>
      </c>
      <c r="X6" s="189">
        <f t="shared" si="9"/>
        <v>1.33333333333333</v>
      </c>
      <c r="Y6" s="189">
        <f t="shared" si="10"/>
        <v>0.55</v>
      </c>
    </row>
    <row r="7" spans="2:25">
      <c r="B7" s="58" t="s">
        <v>17</v>
      </c>
      <c r="C7" s="60">
        <f>COUNTIFS(RETAIL!N:N,B7)</f>
        <v>35</v>
      </c>
      <c r="D7" s="60">
        <f>COUNTIFS([1]RETAIL!$N:$N,B7)</f>
        <v>7</v>
      </c>
      <c r="E7" s="60">
        <f t="shared" si="5"/>
        <v>42</v>
      </c>
      <c r="F7" s="60">
        <f>COUNTIFS(IH!M:M,B7,IH!S:S,"DISBURSED")</f>
        <v>20</v>
      </c>
      <c r="G7" s="60">
        <f>COUNTIFS([1]IH!$S:$S,"DISBURSED",[1]IH!$M:$M,B7)</f>
        <v>5</v>
      </c>
      <c r="H7" s="60">
        <f t="shared" si="0"/>
        <v>25</v>
      </c>
      <c r="I7" s="257">
        <f t="shared" si="1"/>
        <v>0.571428571428571</v>
      </c>
      <c r="J7" s="257">
        <f t="shared" si="2"/>
        <v>0.714285714285714</v>
      </c>
      <c r="K7" s="257">
        <f t="shared" si="3"/>
        <v>0.595238095238095</v>
      </c>
      <c r="L7" s="60" t="s">
        <v>273</v>
      </c>
      <c r="M7" s="60" t="s">
        <v>45</v>
      </c>
      <c r="N7" s="258">
        <f>COUNTIFS(RETAIL!K:K,"*TOUR*",RETAIL!N:N,B7)</f>
        <v>24</v>
      </c>
      <c r="O7" s="46"/>
      <c r="P7" s="58" t="s">
        <v>17</v>
      </c>
      <c r="Q7" s="267">
        <v>48</v>
      </c>
      <c r="R7" s="267">
        <v>3</v>
      </c>
      <c r="S7" s="267">
        <f t="shared" si="6"/>
        <v>51</v>
      </c>
      <c r="T7" s="267">
        <v>30</v>
      </c>
      <c r="U7" s="267">
        <v>2</v>
      </c>
      <c r="V7" s="267">
        <f t="shared" si="7"/>
        <v>32</v>
      </c>
      <c r="W7" s="189">
        <f t="shared" si="8"/>
        <v>0.625</v>
      </c>
      <c r="X7" s="189">
        <f t="shared" si="9"/>
        <v>0.666666666666667</v>
      </c>
      <c r="Y7" s="189">
        <f t="shared" si="10"/>
        <v>0.627450980392157</v>
      </c>
    </row>
    <row r="8" spans="2:25">
      <c r="B8" s="58" t="s">
        <v>33</v>
      </c>
      <c r="C8" s="60">
        <f>COUNTIFS(RETAIL!N:N,B8)</f>
        <v>4</v>
      </c>
      <c r="D8" s="60">
        <f>COUNTIFS([1]RETAIL!$N:$N,B8)</f>
        <v>1</v>
      </c>
      <c r="E8" s="60">
        <f t="shared" si="5"/>
        <v>5</v>
      </c>
      <c r="F8" s="60">
        <f>COUNTIFS(IH!M:M,B8,IH!S:S,"DISBURSED")</f>
        <v>3</v>
      </c>
      <c r="G8" s="60">
        <f>COUNTIFS([1]IH!$S:$S,"DISBURSED",[1]IH!$M:$M,B8)</f>
        <v>1</v>
      </c>
      <c r="H8" s="60">
        <f t="shared" si="0"/>
        <v>4</v>
      </c>
      <c r="I8" s="257">
        <f t="shared" si="1"/>
        <v>0.75</v>
      </c>
      <c r="J8" s="257">
        <f t="shared" si="2"/>
        <v>1</v>
      </c>
      <c r="K8" s="257">
        <f t="shared" si="3"/>
        <v>0.8</v>
      </c>
      <c r="L8" s="259" t="s">
        <v>273</v>
      </c>
      <c r="M8" s="60" t="s">
        <v>45</v>
      </c>
      <c r="N8" s="258">
        <f>COUNTIFS(RETAIL!K:K,"*TOUR*",RETAIL!N:N,B8)</f>
        <v>4</v>
      </c>
      <c r="O8" s="46"/>
      <c r="P8" s="58" t="s">
        <v>33</v>
      </c>
      <c r="Q8" s="267">
        <v>6</v>
      </c>
      <c r="R8" s="267">
        <v>2</v>
      </c>
      <c r="S8" s="267">
        <f t="shared" si="6"/>
        <v>8</v>
      </c>
      <c r="T8" s="267">
        <v>4</v>
      </c>
      <c r="U8" s="267">
        <v>2</v>
      </c>
      <c r="V8" s="267">
        <f t="shared" si="7"/>
        <v>6</v>
      </c>
      <c r="W8" s="189">
        <f t="shared" si="8"/>
        <v>0.666666666666667</v>
      </c>
      <c r="X8" s="189">
        <f t="shared" si="9"/>
        <v>1</v>
      </c>
      <c r="Y8" s="189">
        <f t="shared" si="10"/>
        <v>0.75</v>
      </c>
    </row>
    <row r="9" spans="2:25">
      <c r="B9" s="58" t="s">
        <v>19</v>
      </c>
      <c r="C9" s="60">
        <f>COUNTIFS(RETAIL!N:N,B9)</f>
        <v>8</v>
      </c>
      <c r="D9" s="60">
        <f>COUNTIFS([1]RETAIL!$N:$N,B9)</f>
        <v>3</v>
      </c>
      <c r="E9" s="60">
        <f t="shared" si="5"/>
        <v>11</v>
      </c>
      <c r="F9" s="60">
        <f>COUNTIFS(IH!M:M,B9,IH!S:S,"DISBURSED")</f>
        <v>5</v>
      </c>
      <c r="G9" s="60">
        <f>COUNTIFS([1]IH!$S:$S,"DISBURSED",[1]IH!$M:$M,B9)</f>
        <v>3</v>
      </c>
      <c r="H9" s="60">
        <f t="shared" si="0"/>
        <v>8</v>
      </c>
      <c r="I9" s="257">
        <f t="shared" si="1"/>
        <v>0.625</v>
      </c>
      <c r="J9" s="257">
        <f t="shared" si="2"/>
        <v>1</v>
      </c>
      <c r="K9" s="257">
        <f t="shared" si="3"/>
        <v>0.727272727272727</v>
      </c>
      <c r="L9" s="60" t="s">
        <v>270</v>
      </c>
      <c r="M9" s="60" t="s">
        <v>45</v>
      </c>
      <c r="N9" s="258">
        <f>COUNTIFS(RETAIL!K:K,"*TOUR*",RETAIL!N:N,B9)</f>
        <v>5</v>
      </c>
      <c r="O9" s="46"/>
      <c r="P9" s="58" t="s">
        <v>19</v>
      </c>
      <c r="Q9" s="267">
        <v>7</v>
      </c>
      <c r="R9" s="267">
        <v>3</v>
      </c>
      <c r="S9" s="267">
        <f t="shared" si="6"/>
        <v>10</v>
      </c>
      <c r="T9" s="267">
        <v>4</v>
      </c>
      <c r="U9" s="267">
        <v>1</v>
      </c>
      <c r="V9" s="267">
        <f t="shared" si="7"/>
        <v>5</v>
      </c>
      <c r="W9" s="189">
        <f t="shared" si="8"/>
        <v>0.571428571428571</v>
      </c>
      <c r="X9" s="189">
        <f t="shared" si="9"/>
        <v>0.333333333333333</v>
      </c>
      <c r="Y9" s="189">
        <f t="shared" si="10"/>
        <v>0.5</v>
      </c>
    </row>
    <row r="10" spans="2:25">
      <c r="B10" s="58" t="s">
        <v>23</v>
      </c>
      <c r="C10" s="60">
        <f>COUNTIFS(RETAIL!N:N,B10)</f>
        <v>19</v>
      </c>
      <c r="D10" s="60">
        <f>COUNTIFS([1]RETAIL!$N:$N,B10)</f>
        <v>6</v>
      </c>
      <c r="E10" s="60">
        <f t="shared" si="5"/>
        <v>25</v>
      </c>
      <c r="F10" s="60">
        <f>COUNTIFS(IH!M:M,B10,IH!S:S,"DISBURSED")</f>
        <v>11</v>
      </c>
      <c r="G10" s="60">
        <f>COUNTIFS([1]IH!$S:$S,"DISBURSED",[1]IH!$M:$M,B10)</f>
        <v>6</v>
      </c>
      <c r="H10" s="60">
        <f t="shared" si="0"/>
        <v>17</v>
      </c>
      <c r="I10" s="257">
        <f t="shared" si="1"/>
        <v>0.578947368421053</v>
      </c>
      <c r="J10" s="257">
        <f t="shared" si="2"/>
        <v>1</v>
      </c>
      <c r="K10" s="257">
        <f t="shared" si="3"/>
        <v>0.68</v>
      </c>
      <c r="L10" s="60" t="s">
        <v>276</v>
      </c>
      <c r="M10" s="60" t="s">
        <v>282</v>
      </c>
      <c r="N10" s="258">
        <f>COUNTIFS(RETAIL!K:K,"*TOUR*",RETAIL!N:N,B10)</f>
        <v>9</v>
      </c>
      <c r="O10" s="46"/>
      <c r="P10" s="58" t="s">
        <v>23</v>
      </c>
      <c r="Q10" s="267">
        <v>16</v>
      </c>
      <c r="R10" s="267">
        <v>4</v>
      </c>
      <c r="S10" s="267">
        <f t="shared" si="6"/>
        <v>20</v>
      </c>
      <c r="T10" s="267">
        <v>11</v>
      </c>
      <c r="U10" s="267">
        <v>3</v>
      </c>
      <c r="V10" s="267">
        <f t="shared" si="7"/>
        <v>14</v>
      </c>
      <c r="W10" s="189">
        <f t="shared" si="8"/>
        <v>0.6875</v>
      </c>
      <c r="X10" s="189">
        <f t="shared" si="9"/>
        <v>0.75</v>
      </c>
      <c r="Y10" s="189">
        <f t="shared" si="10"/>
        <v>0.7</v>
      </c>
    </row>
    <row r="11" spans="2:25">
      <c r="B11" s="58" t="s">
        <v>100</v>
      </c>
      <c r="C11" s="60">
        <f>COUNTIFS(RETAIL!N:N,B11)</f>
        <v>13</v>
      </c>
      <c r="D11" s="60">
        <f>COUNTIFS([1]RETAIL!$N:$N,B11)</f>
        <v>10</v>
      </c>
      <c r="E11" s="60">
        <f t="shared" si="5"/>
        <v>23</v>
      </c>
      <c r="F11" s="60">
        <f>COUNTIFS(IH!M:M,B11,IH!S:S,"DISBURSED")</f>
        <v>8</v>
      </c>
      <c r="G11" s="60">
        <f>COUNTIFS([1]IH!$S:$S,"DISBURSED",[1]IH!$M:$M,B11)</f>
        <v>7</v>
      </c>
      <c r="H11" s="60">
        <f t="shared" si="0"/>
        <v>15</v>
      </c>
      <c r="I11" s="257">
        <f t="shared" si="1"/>
        <v>0.615384615384615</v>
      </c>
      <c r="J11" s="257">
        <f t="shared" si="2"/>
        <v>0.7</v>
      </c>
      <c r="K11" s="257">
        <f t="shared" si="3"/>
        <v>0.652173913043478</v>
      </c>
      <c r="L11" s="60" t="s">
        <v>276</v>
      </c>
      <c r="M11" s="60" t="s">
        <v>282</v>
      </c>
      <c r="N11" s="258">
        <f>COUNTIFS(RETAIL!K:K,"*TOUR*",RETAIL!N:N,B11)</f>
        <v>5</v>
      </c>
      <c r="O11" s="46"/>
      <c r="P11" s="58" t="s">
        <v>21</v>
      </c>
      <c r="Q11" s="267">
        <v>11</v>
      </c>
      <c r="R11" s="267">
        <v>5</v>
      </c>
      <c r="S11" s="267">
        <f t="shared" si="6"/>
        <v>16</v>
      </c>
      <c r="T11" s="267">
        <v>11</v>
      </c>
      <c r="U11" s="267">
        <v>2</v>
      </c>
      <c r="V11" s="267">
        <f t="shared" si="7"/>
        <v>13</v>
      </c>
      <c r="W11" s="189">
        <f t="shared" si="8"/>
        <v>1</v>
      </c>
      <c r="X11" s="189">
        <f t="shared" si="9"/>
        <v>0.4</v>
      </c>
      <c r="Y11" s="189">
        <f t="shared" si="10"/>
        <v>0.8125</v>
      </c>
    </row>
    <row r="12" spans="2:25">
      <c r="B12" s="58" t="s">
        <v>111</v>
      </c>
      <c r="C12" s="60">
        <f>COUNTIFS(RETAIL!N:N,B12)</f>
        <v>9</v>
      </c>
      <c r="D12" s="60">
        <f>COUNTIFS([1]RETAIL!$N:$N,B12)</f>
        <v>5</v>
      </c>
      <c r="E12" s="60">
        <f t="shared" si="5"/>
        <v>14</v>
      </c>
      <c r="F12" s="60">
        <f>COUNTIFS(IH!M:M,B12,IH!S:S,"DISBURSED")</f>
        <v>7</v>
      </c>
      <c r="G12" s="60">
        <f>COUNTIFS([1]IH!$S:$S,"DISBURSED",[1]IH!$M:$M,B12)</f>
        <v>4</v>
      </c>
      <c r="H12" s="60">
        <f t="shared" si="0"/>
        <v>11</v>
      </c>
      <c r="I12" s="257">
        <f t="shared" si="1"/>
        <v>0.777777777777778</v>
      </c>
      <c r="J12" s="257">
        <f t="shared" si="2"/>
        <v>0.8</v>
      </c>
      <c r="K12" s="257">
        <f t="shared" si="3"/>
        <v>0.785714285714286</v>
      </c>
      <c r="L12" s="60" t="s">
        <v>275</v>
      </c>
      <c r="M12" s="60" t="s">
        <v>45</v>
      </c>
      <c r="N12" s="258">
        <f>COUNTIFS(RETAIL!K:K,"*TOUR*",RETAIL!N:N,B12)</f>
        <v>0</v>
      </c>
      <c r="O12" s="46"/>
      <c r="P12" s="58" t="s">
        <v>27</v>
      </c>
      <c r="Q12" s="267">
        <v>11</v>
      </c>
      <c r="R12" s="267">
        <v>2</v>
      </c>
      <c r="S12" s="267">
        <f t="shared" si="6"/>
        <v>13</v>
      </c>
      <c r="T12" s="267">
        <v>6</v>
      </c>
      <c r="U12" s="267">
        <v>1</v>
      </c>
      <c r="V12" s="267">
        <f t="shared" si="7"/>
        <v>7</v>
      </c>
      <c r="W12" s="189">
        <f t="shared" si="8"/>
        <v>0.545454545454545</v>
      </c>
      <c r="X12" s="189">
        <f t="shared" si="9"/>
        <v>0.5</v>
      </c>
      <c r="Y12" s="189">
        <f t="shared" si="10"/>
        <v>0.538461538461538</v>
      </c>
    </row>
    <row r="13" spans="2:25">
      <c r="B13" s="58" t="s">
        <v>25</v>
      </c>
      <c r="C13" s="60">
        <f>COUNTIFS(RETAIL!N:N,B13)</f>
        <v>11</v>
      </c>
      <c r="D13" s="60">
        <f>COUNTIFS([1]RETAIL!$N:$N,B13)</f>
        <v>0</v>
      </c>
      <c r="E13" s="60">
        <f t="shared" si="5"/>
        <v>11</v>
      </c>
      <c r="F13" s="60">
        <f>COUNTIFS(IH!M:M,B13,IH!S:S,"DISBURSED")</f>
        <v>6</v>
      </c>
      <c r="G13" s="60">
        <f>COUNTIFS([1]IH!$S:$S,"DISBURSED",[1]IH!$M:$M,B13)</f>
        <v>0</v>
      </c>
      <c r="H13" s="60">
        <f t="shared" si="0"/>
        <v>6</v>
      </c>
      <c r="I13" s="257">
        <f t="shared" si="1"/>
        <v>0.545454545454545</v>
      </c>
      <c r="J13" s="257">
        <f t="shared" si="2"/>
        <v>0</v>
      </c>
      <c r="K13" s="257">
        <f t="shared" si="3"/>
        <v>0.545454545454545</v>
      </c>
      <c r="L13" s="60" t="s">
        <v>275</v>
      </c>
      <c r="M13" s="60" t="s">
        <v>45</v>
      </c>
      <c r="N13" s="258">
        <f>COUNTIFS(RETAIL!K:K,"*TOUR*",RETAIL!N:N,B13)</f>
        <v>1</v>
      </c>
      <c r="O13" s="46"/>
      <c r="P13" s="58" t="s">
        <v>25</v>
      </c>
      <c r="Q13" s="267">
        <v>18</v>
      </c>
      <c r="R13" s="267">
        <v>13</v>
      </c>
      <c r="S13" s="267">
        <f t="shared" si="6"/>
        <v>31</v>
      </c>
      <c r="T13" s="267">
        <v>8</v>
      </c>
      <c r="U13" s="267">
        <v>9</v>
      </c>
      <c r="V13" s="267">
        <f t="shared" si="7"/>
        <v>17</v>
      </c>
      <c r="W13" s="189">
        <f t="shared" si="8"/>
        <v>0.444444444444444</v>
      </c>
      <c r="X13" s="189">
        <f t="shared" si="9"/>
        <v>0.692307692307692</v>
      </c>
      <c r="Y13" s="189">
        <f t="shared" si="10"/>
        <v>0.548387096774194</v>
      </c>
    </row>
    <row r="14" spans="2:25">
      <c r="B14" s="58" t="s">
        <v>29</v>
      </c>
      <c r="C14" s="60">
        <f>COUNTIFS(RETAIL!N:N,B14)</f>
        <v>12</v>
      </c>
      <c r="D14" s="60">
        <f>COUNTIFS([1]RETAIL!$N:$N,B14)</f>
        <v>4</v>
      </c>
      <c r="E14" s="60">
        <f t="shared" si="5"/>
        <v>16</v>
      </c>
      <c r="F14" s="60">
        <f>COUNTIFS(IH!M:M,B14,IH!S:S,"DISBURSED")</f>
        <v>9</v>
      </c>
      <c r="G14" s="60">
        <f>COUNTIFS([1]IH!$S:$S,"DISBURSED",[1]IH!$M:$M,B14)</f>
        <v>3</v>
      </c>
      <c r="H14" s="60">
        <f t="shared" si="0"/>
        <v>12</v>
      </c>
      <c r="I14" s="257">
        <f t="shared" si="1"/>
        <v>0.75</v>
      </c>
      <c r="J14" s="257">
        <f t="shared" si="2"/>
        <v>0.75</v>
      </c>
      <c r="K14" s="257">
        <f t="shared" si="3"/>
        <v>0.75</v>
      </c>
      <c r="L14" s="60" t="s">
        <v>270</v>
      </c>
      <c r="M14" s="60" t="s">
        <v>45</v>
      </c>
      <c r="N14" s="258">
        <f>COUNTIFS(RETAIL!K:K,"*TOUR*",RETAIL!N:N,B14)</f>
        <v>0</v>
      </c>
      <c r="O14" s="46"/>
      <c r="P14" s="58" t="s">
        <v>29</v>
      </c>
      <c r="Q14" s="267">
        <v>14</v>
      </c>
      <c r="R14" s="267">
        <v>1</v>
      </c>
      <c r="S14" s="267">
        <f t="shared" si="6"/>
        <v>15</v>
      </c>
      <c r="T14" s="267">
        <v>10</v>
      </c>
      <c r="U14" s="267">
        <v>1</v>
      </c>
      <c r="V14" s="267">
        <f t="shared" si="7"/>
        <v>11</v>
      </c>
      <c r="W14" s="189">
        <f t="shared" si="8"/>
        <v>0.714285714285714</v>
      </c>
      <c r="X14" s="189">
        <f t="shared" si="9"/>
        <v>1</v>
      </c>
      <c r="Y14" s="189">
        <f t="shared" si="10"/>
        <v>0.733333333333333</v>
      </c>
    </row>
    <row r="15" spans="2:25">
      <c r="B15" s="58" t="s">
        <v>34</v>
      </c>
      <c r="C15" s="60">
        <f>COUNTIFS(RETAIL!N:N,B15)</f>
        <v>14</v>
      </c>
      <c r="D15" s="60">
        <f>COUNTIFS([1]RETAIL!$N:$N,B15)</f>
        <v>0</v>
      </c>
      <c r="E15" s="60">
        <f t="shared" si="5"/>
        <v>14</v>
      </c>
      <c r="F15" s="60">
        <f>COUNTIFS(IH!M:M,B15,IH!S:S,"DISBURSED")</f>
        <v>6</v>
      </c>
      <c r="G15" s="60">
        <f>COUNTIFS([1]IH!$S:$S,"DISBURSED",[1]IH!$M:$M,B15)</f>
        <v>0</v>
      </c>
      <c r="H15" s="60">
        <f t="shared" si="0"/>
        <v>6</v>
      </c>
      <c r="I15" s="257">
        <f t="shared" si="1"/>
        <v>0.428571428571429</v>
      </c>
      <c r="J15" s="257">
        <f t="shared" si="2"/>
        <v>0</v>
      </c>
      <c r="K15" s="257">
        <f t="shared" si="3"/>
        <v>0.428571428571429</v>
      </c>
      <c r="L15" s="60" t="s">
        <v>275</v>
      </c>
      <c r="M15" s="60" t="s">
        <v>45</v>
      </c>
      <c r="N15" s="258">
        <f>COUNTIFS(RETAIL!K:K,"*TOUR*",RETAIL!N:N,B15)</f>
        <v>4</v>
      </c>
      <c r="O15" s="46"/>
      <c r="P15" s="58" t="s">
        <v>34</v>
      </c>
      <c r="Q15" s="267">
        <v>10</v>
      </c>
      <c r="R15" s="267">
        <v>2</v>
      </c>
      <c r="S15" s="267">
        <f t="shared" si="6"/>
        <v>12</v>
      </c>
      <c r="T15" s="267">
        <v>9</v>
      </c>
      <c r="U15" s="267">
        <v>0</v>
      </c>
      <c r="V15" s="267">
        <f t="shared" si="7"/>
        <v>9</v>
      </c>
      <c r="W15" s="189">
        <f t="shared" si="8"/>
        <v>0.9</v>
      </c>
      <c r="X15" s="189">
        <f t="shared" si="9"/>
        <v>0</v>
      </c>
      <c r="Y15" s="189">
        <f t="shared" si="10"/>
        <v>0.75</v>
      </c>
    </row>
    <row r="16" spans="2:25">
      <c r="B16" s="58" t="s">
        <v>38</v>
      </c>
      <c r="C16" s="60">
        <f>COUNTIFS(RETAIL!N:N,B16)</f>
        <v>25</v>
      </c>
      <c r="D16" s="60">
        <f>COUNTIFS([1]RETAIL!$N:$N,B16)</f>
        <v>4</v>
      </c>
      <c r="E16" s="60">
        <f t="shared" si="5"/>
        <v>29</v>
      </c>
      <c r="F16" s="60">
        <f>COUNTIFS(IH!M:M,B16,IH!S:S,"DISBURSED")</f>
        <v>12</v>
      </c>
      <c r="G16" s="60">
        <f>COUNTIFS([1]IH!$S:$S,"DISBURSED",[1]IH!$M:$M,B16)</f>
        <v>3</v>
      </c>
      <c r="H16" s="60">
        <f t="shared" si="0"/>
        <v>15</v>
      </c>
      <c r="I16" s="257">
        <f t="shared" si="1"/>
        <v>0.48</v>
      </c>
      <c r="J16" s="257">
        <f t="shared" si="2"/>
        <v>0.75</v>
      </c>
      <c r="K16" s="257">
        <f t="shared" si="3"/>
        <v>0.517241379310345</v>
      </c>
      <c r="L16" s="60" t="s">
        <v>274</v>
      </c>
      <c r="M16" s="60" t="s">
        <v>45</v>
      </c>
      <c r="N16" s="258">
        <f>COUNTIFS(RETAIL!K:K,"*TOUR*",RETAIL!N:N,B16)</f>
        <v>14</v>
      </c>
      <c r="O16" s="46"/>
      <c r="P16" s="58" t="s">
        <v>38</v>
      </c>
      <c r="Q16" s="267">
        <v>18</v>
      </c>
      <c r="R16" s="267">
        <v>3</v>
      </c>
      <c r="S16" s="267">
        <f t="shared" si="6"/>
        <v>21</v>
      </c>
      <c r="T16" s="267">
        <v>11</v>
      </c>
      <c r="U16" s="267">
        <v>1</v>
      </c>
      <c r="V16" s="267">
        <f t="shared" si="7"/>
        <v>12</v>
      </c>
      <c r="W16" s="189">
        <f t="shared" si="8"/>
        <v>0.611111111111111</v>
      </c>
      <c r="X16" s="189">
        <f t="shared" si="9"/>
        <v>0.333333333333333</v>
      </c>
      <c r="Y16" s="189">
        <f t="shared" si="10"/>
        <v>0.571428571428571</v>
      </c>
    </row>
    <row r="17" spans="2:25">
      <c r="B17" s="58" t="s">
        <v>175</v>
      </c>
      <c r="C17" s="60">
        <f>COUNTIFS(RETAIL!N:N,B17)</f>
        <v>9</v>
      </c>
      <c r="D17" s="60">
        <f>COUNTIFS([1]RETAIL!$N:$N,B17)</f>
        <v>2</v>
      </c>
      <c r="E17" s="60">
        <f t="shared" si="5"/>
        <v>11</v>
      </c>
      <c r="F17" s="60">
        <f>COUNTIFS(IH!M:M,B17,IH!S:S,"DISBURSED")</f>
        <v>5</v>
      </c>
      <c r="G17" s="60">
        <f>COUNTIFS([1]IH!$S:$S,"DISBURSED",[1]IH!$M:$M,B17)</f>
        <v>1</v>
      </c>
      <c r="H17" s="60">
        <f t="shared" si="0"/>
        <v>6</v>
      </c>
      <c r="I17" s="257">
        <f t="shared" si="1"/>
        <v>0.555555555555556</v>
      </c>
      <c r="J17" s="257">
        <f t="shared" si="2"/>
        <v>0.5</v>
      </c>
      <c r="K17" s="257">
        <f t="shared" si="3"/>
        <v>0.545454545454545</v>
      </c>
      <c r="L17" s="259" t="s">
        <v>273</v>
      </c>
      <c r="M17" s="60" t="s">
        <v>45</v>
      </c>
      <c r="N17" s="258">
        <f>COUNTIFS(RETAIL!K:K,"*TOUR*",RETAIL!N:N,B17)</f>
        <v>3</v>
      </c>
      <c r="O17" s="46"/>
      <c r="P17" s="58" t="s">
        <v>175</v>
      </c>
      <c r="Q17" s="267">
        <v>6</v>
      </c>
      <c r="R17" s="267">
        <v>5</v>
      </c>
      <c r="S17" s="267">
        <f t="shared" si="6"/>
        <v>11</v>
      </c>
      <c r="T17" s="267">
        <v>3</v>
      </c>
      <c r="U17" s="267">
        <v>5</v>
      </c>
      <c r="V17" s="267">
        <f t="shared" si="7"/>
        <v>8</v>
      </c>
      <c r="W17" s="189">
        <f t="shared" si="8"/>
        <v>0.5</v>
      </c>
      <c r="X17" s="189">
        <f t="shared" si="9"/>
        <v>1</v>
      </c>
      <c r="Y17" s="189">
        <f t="shared" si="10"/>
        <v>0.727272727272727</v>
      </c>
    </row>
    <row r="18" spans="2:25">
      <c r="B18" s="58" t="s">
        <v>125</v>
      </c>
      <c r="C18" s="60">
        <f>COUNTIFS(RETAIL!N:N,B18)</f>
        <v>10</v>
      </c>
      <c r="D18" s="60">
        <f>COUNTIFS([1]RETAIL!$N:$N,B18)</f>
        <v>70</v>
      </c>
      <c r="E18" s="60">
        <f t="shared" si="5"/>
        <v>80</v>
      </c>
      <c r="F18" s="60">
        <f>COUNTIFS(IH!M:M,B18,IH!S:S,"DISBURSED")</f>
        <v>4</v>
      </c>
      <c r="G18" s="60">
        <f>COUNTIFS([1]IH!$S:$S,"DISBURSED",[1]IH!$M:$M,B18)</f>
        <v>45</v>
      </c>
      <c r="H18" s="60">
        <f t="shared" si="0"/>
        <v>49</v>
      </c>
      <c r="I18" s="257">
        <f t="shared" si="1"/>
        <v>0.4</v>
      </c>
      <c r="J18" s="257">
        <f t="shared" si="2"/>
        <v>0.642857142857143</v>
      </c>
      <c r="K18" s="257">
        <f t="shared" si="3"/>
        <v>0.6125</v>
      </c>
      <c r="L18" s="60" t="s">
        <v>277</v>
      </c>
      <c r="M18" s="60" t="s">
        <v>42</v>
      </c>
      <c r="N18" s="258">
        <f>COUNTIFS(RETAIL!K:K,"*TOUR*",RETAIL!N:N,B18)</f>
        <v>3</v>
      </c>
      <c r="O18" s="46"/>
      <c r="P18" s="58" t="s">
        <v>125</v>
      </c>
      <c r="Q18" s="267">
        <v>11</v>
      </c>
      <c r="R18" s="267">
        <v>66</v>
      </c>
      <c r="S18" s="267">
        <f t="shared" si="6"/>
        <v>77</v>
      </c>
      <c r="T18" s="267">
        <v>6</v>
      </c>
      <c r="U18" s="267">
        <v>40</v>
      </c>
      <c r="V18" s="267">
        <f t="shared" si="7"/>
        <v>46</v>
      </c>
      <c r="W18" s="189">
        <f t="shared" si="8"/>
        <v>0.545454545454545</v>
      </c>
      <c r="X18" s="189">
        <f t="shared" si="9"/>
        <v>0.606060606060606</v>
      </c>
      <c r="Y18" s="189">
        <f t="shared" si="10"/>
        <v>0.597402597402597</v>
      </c>
    </row>
    <row r="19" spans="2:25">
      <c r="B19" s="58" t="s">
        <v>107</v>
      </c>
      <c r="C19" s="60">
        <f>COUNTIFS(RETAIL!N:N,B19)</f>
        <v>1</v>
      </c>
      <c r="D19" s="60">
        <f>COUNTIFS([1]RETAIL!$N:$N,B19)</f>
        <v>5</v>
      </c>
      <c r="E19" s="60">
        <f t="shared" si="5"/>
        <v>6</v>
      </c>
      <c r="F19" s="60">
        <f>COUNTIFS(IH!M:M,B19,IH!S:S,"DISBURSED")</f>
        <v>1</v>
      </c>
      <c r="G19" s="60">
        <f>COUNTIFS([1]IH!$S:$S,"DISBURSED",[1]IH!$M:$M,B19)</f>
        <v>4</v>
      </c>
      <c r="H19" s="60">
        <f t="shared" si="0"/>
        <v>5</v>
      </c>
      <c r="I19" s="257">
        <f t="shared" si="1"/>
        <v>1</v>
      </c>
      <c r="J19" s="257">
        <f t="shared" si="2"/>
        <v>0.8</v>
      </c>
      <c r="K19" s="257">
        <f t="shared" si="3"/>
        <v>0.833333333333333</v>
      </c>
      <c r="L19" s="60" t="s">
        <v>276</v>
      </c>
      <c r="M19" s="60" t="s">
        <v>282</v>
      </c>
      <c r="N19" s="258">
        <f>COUNTIFS(RETAIL!K:K,"*TOUR*",RETAIL!N:N,B19)</f>
        <v>1</v>
      </c>
      <c r="P19" s="58" t="s">
        <v>107</v>
      </c>
      <c r="Q19" s="267">
        <v>3</v>
      </c>
      <c r="R19" s="267">
        <v>5</v>
      </c>
      <c r="S19" s="267">
        <f t="shared" si="6"/>
        <v>8</v>
      </c>
      <c r="T19" s="267">
        <v>2</v>
      </c>
      <c r="U19" s="267">
        <v>1</v>
      </c>
      <c r="V19" s="267">
        <f t="shared" si="7"/>
        <v>3</v>
      </c>
      <c r="W19" s="189">
        <f t="shared" si="8"/>
        <v>0.666666666666667</v>
      </c>
      <c r="X19" s="189">
        <f t="shared" si="9"/>
        <v>0.2</v>
      </c>
      <c r="Y19" s="189">
        <f t="shared" si="10"/>
        <v>0.375</v>
      </c>
    </row>
    <row r="20" spans="2:25">
      <c r="B20" s="58" t="s">
        <v>187</v>
      </c>
      <c r="C20" s="60">
        <f>COUNTIFS(RETAIL!N:N,B20)</f>
        <v>0</v>
      </c>
      <c r="D20" s="60">
        <f>COUNTIFS([1]RETAIL!$N:$N,B20)</f>
        <v>1</v>
      </c>
      <c r="E20" s="60">
        <f t="shared" si="5"/>
        <v>1</v>
      </c>
      <c r="F20" s="60">
        <f>COUNTIFS(IH!M:M,B20,IH!S:S,"DISBURSED")</f>
        <v>0</v>
      </c>
      <c r="G20" s="60">
        <f>COUNTIFS([1]IH!$S:$S,"DISBURSED",[1]IH!$M:$M,B20)</f>
        <v>1</v>
      </c>
      <c r="H20" s="60">
        <f t="shared" si="0"/>
        <v>1</v>
      </c>
      <c r="I20" s="257">
        <f t="shared" ref="I20:K21" si="11">IFERROR((F20/C20),0)</f>
        <v>0</v>
      </c>
      <c r="J20" s="257">
        <f t="shared" si="11"/>
        <v>1</v>
      </c>
      <c r="K20" s="257">
        <f t="shared" si="11"/>
        <v>1</v>
      </c>
      <c r="L20" s="60" t="s">
        <v>276</v>
      </c>
      <c r="M20" s="60" t="s">
        <v>282</v>
      </c>
      <c r="N20" s="258">
        <f>COUNTIFS(RETAIL!K:K,"*TOUR*",RETAIL!N:N,B20)</f>
        <v>0</v>
      </c>
      <c r="P20" s="58" t="s">
        <v>187</v>
      </c>
      <c r="Q20" s="267">
        <v>0</v>
      </c>
      <c r="R20" s="267">
        <v>5</v>
      </c>
      <c r="S20" s="267">
        <f t="shared" si="6"/>
        <v>5</v>
      </c>
      <c r="T20" s="267">
        <v>0</v>
      </c>
      <c r="U20" s="267">
        <v>3</v>
      </c>
      <c r="V20" s="267">
        <f t="shared" si="7"/>
        <v>3</v>
      </c>
      <c r="W20" s="189">
        <f t="shared" si="8"/>
        <v>0</v>
      </c>
      <c r="X20" s="189">
        <f t="shared" si="9"/>
        <v>0.6</v>
      </c>
      <c r="Y20" s="189">
        <f t="shared" si="10"/>
        <v>0.6</v>
      </c>
    </row>
    <row r="21" spans="2:25">
      <c r="B21" s="249" t="s">
        <v>46</v>
      </c>
      <c r="C21" s="249">
        <f>SUM(C4:C20)</f>
        <v>185</v>
      </c>
      <c r="D21" s="249">
        <f>SUM(D4:D20)</f>
        <v>125</v>
      </c>
      <c r="E21" s="249">
        <f>SUM(C21+D21)</f>
        <v>310</v>
      </c>
      <c r="F21" s="249">
        <f>SUM(F4:F20)</f>
        <v>109</v>
      </c>
      <c r="G21" s="249">
        <f>SUM(G4:G20)</f>
        <v>88</v>
      </c>
      <c r="H21" s="249">
        <f t="shared" si="0"/>
        <v>197</v>
      </c>
      <c r="I21" s="260">
        <f t="shared" si="11"/>
        <v>0.589189189189189</v>
      </c>
      <c r="J21" s="260">
        <f t="shared" si="11"/>
        <v>0.704</v>
      </c>
      <c r="K21" s="260">
        <f t="shared" si="11"/>
        <v>0.635483870967742</v>
      </c>
      <c r="L21" s="249"/>
      <c r="M21" s="249"/>
      <c r="N21" s="256">
        <f>SUM(N4:N20)</f>
        <v>77</v>
      </c>
      <c r="O21" s="261"/>
      <c r="P21" s="262" t="s">
        <v>46</v>
      </c>
      <c r="Q21" s="268">
        <f>SUM(Q4:Q20)</f>
        <v>200</v>
      </c>
      <c r="R21" s="268">
        <f>SUM(R4:R20)</f>
        <v>123</v>
      </c>
      <c r="S21" s="269">
        <f t="shared" si="6"/>
        <v>323</v>
      </c>
      <c r="T21" s="268">
        <f>SUM(T4:T20)</f>
        <v>123</v>
      </c>
      <c r="U21" s="268">
        <f>SUM(U4:U20)</f>
        <v>76</v>
      </c>
      <c r="V21" s="269">
        <f t="shared" si="7"/>
        <v>199</v>
      </c>
      <c r="W21" s="270">
        <f t="shared" si="8"/>
        <v>0.615</v>
      </c>
      <c r="X21" s="270">
        <f t="shared" si="9"/>
        <v>0.617886178861789</v>
      </c>
      <c r="Y21" s="270">
        <f t="shared" si="10"/>
        <v>0.61609907120743</v>
      </c>
    </row>
    <row r="22" spans="14:14">
      <c r="N22" s="263">
        <f>N21/C21</f>
        <v>0.416216216216216</v>
      </c>
    </row>
    <row r="24" spans="2:25">
      <c r="B24" s="250" t="s">
        <v>281</v>
      </c>
      <c r="C24" s="250" cm="1">
        <f t="array" ref="C24">SUMPRODUCT(C4:C17)</f>
        <v>174</v>
      </c>
      <c r="D24" s="250" cm="1">
        <f t="array" ref="D24">SUMPRODUCT(D4:D17)</f>
        <v>49</v>
      </c>
      <c r="E24" s="250">
        <f t="shared" ref="E24:E27" si="12">C24+D24</f>
        <v>223</v>
      </c>
      <c r="F24" s="250" cm="1">
        <f t="array" ref="F24">SUMPRODUCT(F4:F17)</f>
        <v>104</v>
      </c>
      <c r="G24" s="250" cm="1">
        <f t="array" ref="G24">SUMPRODUCT(G4:G17)</f>
        <v>38</v>
      </c>
      <c r="H24" s="250">
        <f t="shared" ref="H24:H27" si="13">F24+G24</f>
        <v>142</v>
      </c>
      <c r="I24" s="264">
        <f>IFERROR((F24/C24),0)</f>
        <v>0.597701149425287</v>
      </c>
      <c r="J24" s="264">
        <f>IFERROR((G24/D24),0)</f>
        <v>0.775510204081633</v>
      </c>
      <c r="K24" s="264">
        <f>IFERROR((H24/E24),0)</f>
        <v>0.63677130044843</v>
      </c>
      <c r="P24" s="265" t="s">
        <v>325</v>
      </c>
      <c r="Q24" s="265"/>
      <c r="R24" s="265"/>
      <c r="S24" s="265"/>
      <c r="T24" s="265"/>
      <c r="U24" s="265"/>
      <c r="V24" s="265"/>
      <c r="W24" s="265"/>
      <c r="X24" s="265"/>
      <c r="Y24" s="265"/>
    </row>
    <row r="25" spans="2:25">
      <c r="B25" s="250" t="s">
        <v>125</v>
      </c>
      <c r="C25" s="250">
        <f t="shared" ref="C25:G25" si="14">SUMPRODUCT(C18)</f>
        <v>10</v>
      </c>
      <c r="D25" s="250">
        <f t="shared" si="14"/>
        <v>70</v>
      </c>
      <c r="E25" s="250">
        <f t="shared" si="12"/>
        <v>80</v>
      </c>
      <c r="F25" s="250">
        <f t="shared" si="14"/>
        <v>4</v>
      </c>
      <c r="G25" s="250">
        <f t="shared" si="14"/>
        <v>45</v>
      </c>
      <c r="H25" s="250">
        <f t="shared" si="13"/>
        <v>49</v>
      </c>
      <c r="I25" s="264">
        <f>IFERROR((F25/C25),0)</f>
        <v>0.4</v>
      </c>
      <c r="J25" s="264">
        <f>IFERROR((G25/D25),0)</f>
        <v>0.642857142857143</v>
      </c>
      <c r="K25" s="264">
        <f>IFERROR((H25/E25),0)</f>
        <v>0.6125</v>
      </c>
      <c r="O25" s="159"/>
      <c r="P25" s="266"/>
      <c r="Q25" s="271" t="s">
        <v>45</v>
      </c>
      <c r="R25" s="271"/>
      <c r="S25" s="271"/>
      <c r="T25" s="271" t="s">
        <v>42</v>
      </c>
      <c r="U25" s="271"/>
      <c r="V25" s="271"/>
      <c r="W25" s="271" t="s">
        <v>46</v>
      </c>
      <c r="X25" s="271"/>
      <c r="Y25" s="271"/>
    </row>
    <row r="26" spans="2:25">
      <c r="B26" s="250" t="s">
        <v>282</v>
      </c>
      <c r="C26" s="250" cm="1">
        <f t="array" ref="C26">SUMPRODUCT(C19:C20)</f>
        <v>1</v>
      </c>
      <c r="D26" s="250" cm="1">
        <f t="array" ref="D26">SUMPRODUCT(D19:D20)</f>
        <v>6</v>
      </c>
      <c r="E26" s="250">
        <f t="shared" si="12"/>
        <v>7</v>
      </c>
      <c r="F26" s="250" cm="1">
        <f t="array" ref="F26">SUMPRODUCT(F19:F20)</f>
        <v>1</v>
      </c>
      <c r="G26" s="250" cm="1">
        <f t="array" ref="G26">SUMPRODUCT(G19:G20)</f>
        <v>5</v>
      </c>
      <c r="H26" s="250">
        <f t="shared" si="13"/>
        <v>6</v>
      </c>
      <c r="I26" s="264">
        <f>IFERROR((F26/C26),0)</f>
        <v>1</v>
      </c>
      <c r="J26" s="264">
        <f>IFERROR((G26/D26),0)</f>
        <v>0.833333333333333</v>
      </c>
      <c r="K26" s="264">
        <f>IFERROR((H26/E26),0)</f>
        <v>0.857142857142857</v>
      </c>
      <c r="P26" s="255" t="s">
        <v>271</v>
      </c>
      <c r="Q26" s="255" t="s">
        <v>50</v>
      </c>
      <c r="R26" s="255" t="s">
        <v>272</v>
      </c>
      <c r="S26" s="255" t="s">
        <v>52</v>
      </c>
      <c r="T26" s="255" t="s">
        <v>50</v>
      </c>
      <c r="U26" s="255" t="s">
        <v>272</v>
      </c>
      <c r="V26" s="255" t="s">
        <v>52</v>
      </c>
      <c r="W26" s="255" t="s">
        <v>50</v>
      </c>
      <c r="X26" s="255" t="s">
        <v>272</v>
      </c>
      <c r="Y26" s="255" t="s">
        <v>52</v>
      </c>
    </row>
    <row r="27" spans="2:25">
      <c r="B27" s="250" t="s">
        <v>46</v>
      </c>
      <c r="C27" s="250">
        <f t="shared" ref="C27:G27" si="15">SUM(C24:C26)</f>
        <v>185</v>
      </c>
      <c r="D27" s="250">
        <f t="shared" si="15"/>
        <v>125</v>
      </c>
      <c r="E27" s="250">
        <f t="shared" si="12"/>
        <v>310</v>
      </c>
      <c r="F27" s="250">
        <f t="shared" si="15"/>
        <v>109</v>
      </c>
      <c r="G27" s="250">
        <f t="shared" si="15"/>
        <v>88</v>
      </c>
      <c r="H27" s="250">
        <f t="shared" si="13"/>
        <v>197</v>
      </c>
      <c r="I27" s="264">
        <f>IFERROR((F27/C27),0)</f>
        <v>0.589189189189189</v>
      </c>
      <c r="J27" s="264">
        <f>IFERROR((G27/D27),0)</f>
        <v>0.704</v>
      </c>
      <c r="K27" s="264">
        <f>IFERROR((H27/E27),0)</f>
        <v>0.635483870967742</v>
      </c>
      <c r="P27" s="259" t="s">
        <v>273</v>
      </c>
      <c r="Q27" s="259">
        <f>SUMIFS($Q$4:$Q$20,$L$4:$L$20,P27)</f>
        <v>60</v>
      </c>
      <c r="R27" s="259">
        <f>SUMIFS($T$4:$T$20,$L$4:$L$20,P27)</f>
        <v>37</v>
      </c>
      <c r="S27" s="272">
        <f t="shared" ref="S27:S33" si="16">IFERROR((R27/Q27),0)</f>
        <v>0.616666666666667</v>
      </c>
      <c r="T27" s="259">
        <f>SUMIFS($R$4:$R$20,$L$4:$L$20,P27)</f>
        <v>10</v>
      </c>
      <c r="U27" s="259">
        <f>SUMIFS($U$4:$U$20,$L$4:$L$20,P27)</f>
        <v>9</v>
      </c>
      <c r="V27" s="272">
        <f t="shared" ref="V27:V33" si="17">IFERROR((U27/T27),0)</f>
        <v>0.9</v>
      </c>
      <c r="W27" s="273">
        <f t="shared" ref="W27:W33" si="18">Q27+T27</f>
        <v>70</v>
      </c>
      <c r="X27" s="273">
        <f t="shared" ref="X27:X33" si="19">R27+U27</f>
        <v>46</v>
      </c>
      <c r="Y27" s="272">
        <f t="shared" ref="Y27:Y33" si="20">IFERROR((X27/W27),0)</f>
        <v>0.657142857142857</v>
      </c>
    </row>
    <row r="28" spans="16:25">
      <c r="P28" s="259" t="s">
        <v>275</v>
      </c>
      <c r="Q28" s="259">
        <f>SUMIFS($Q$4:$Q$20,$L$4:$L$20,P28)</f>
        <v>39</v>
      </c>
      <c r="R28" s="259">
        <f>SUMIFS($T$4:$T$20,$L$4:$L$20,P28)</f>
        <v>23</v>
      </c>
      <c r="S28" s="272">
        <f t="shared" si="16"/>
        <v>0.58974358974359</v>
      </c>
      <c r="T28" s="259">
        <f>SUMIFS($R$4:$R$20,$L$4:$L$20,P28)</f>
        <v>17</v>
      </c>
      <c r="U28" s="259">
        <f>SUMIFS($U$4:$U$20,$L$4:$L$20,P28)</f>
        <v>10</v>
      </c>
      <c r="V28" s="272">
        <f t="shared" si="17"/>
        <v>0.588235294117647</v>
      </c>
      <c r="W28" s="273">
        <f t="shared" si="18"/>
        <v>56</v>
      </c>
      <c r="X28" s="273">
        <f t="shared" si="19"/>
        <v>33</v>
      </c>
      <c r="Y28" s="272">
        <f t="shared" si="20"/>
        <v>0.589285714285714</v>
      </c>
    </row>
    <row r="29" spans="16:25">
      <c r="P29" s="259" t="s">
        <v>270</v>
      </c>
      <c r="Q29" s="259">
        <f>SUMIFS($Q$4:$Q$20,$L$4:$L$20,P29)</f>
        <v>25</v>
      </c>
      <c r="R29" s="259">
        <f>SUMIFS($T$4:$T$20,$L$4:$L$20,P29)</f>
        <v>15</v>
      </c>
      <c r="S29" s="272">
        <f t="shared" si="16"/>
        <v>0.6</v>
      </c>
      <c r="T29" s="259">
        <f>SUMIFS($R$4:$R$20,$L$4:$L$20,P29)</f>
        <v>5</v>
      </c>
      <c r="U29" s="259">
        <f>SUMIFS($U$4:$U$20,$L$4:$L$20,P29)</f>
        <v>3</v>
      </c>
      <c r="V29" s="272">
        <f t="shared" si="17"/>
        <v>0.6</v>
      </c>
      <c r="W29" s="273">
        <f t="shared" si="18"/>
        <v>30</v>
      </c>
      <c r="X29" s="273">
        <f t="shared" si="19"/>
        <v>18</v>
      </c>
      <c r="Y29" s="272">
        <f t="shared" si="20"/>
        <v>0.6</v>
      </c>
    </row>
    <row r="30" spans="16:25">
      <c r="P30" s="259" t="s">
        <v>274</v>
      </c>
      <c r="Q30" s="259">
        <f>SUMIFS($Q$4:$Q$20,$L$4:$L$20,P30)</f>
        <v>35</v>
      </c>
      <c r="R30" s="259">
        <f>SUMIFS($T$4:$T$20,$L$4:$L$20,P30)</f>
        <v>18</v>
      </c>
      <c r="S30" s="272">
        <f t="shared" si="16"/>
        <v>0.514285714285714</v>
      </c>
      <c r="T30" s="259">
        <f>SUMIFS($R$4:$R$20,$L$4:$L$20,P30)</f>
        <v>6</v>
      </c>
      <c r="U30" s="259">
        <f>SUMIFS($U$4:$U$20,$L$4:$L$20,P30)</f>
        <v>5</v>
      </c>
      <c r="V30" s="272">
        <f t="shared" si="17"/>
        <v>0.833333333333333</v>
      </c>
      <c r="W30" s="273">
        <f t="shared" si="18"/>
        <v>41</v>
      </c>
      <c r="X30" s="273">
        <f t="shared" si="19"/>
        <v>23</v>
      </c>
      <c r="Y30" s="272">
        <f t="shared" si="20"/>
        <v>0.560975609756098</v>
      </c>
    </row>
    <row r="31" spans="16:25">
      <c r="P31" s="259" t="s">
        <v>276</v>
      </c>
      <c r="Q31" s="259">
        <f>SUMIFS($Q$4:$Q$20,$L$4:$L$20,P31)</f>
        <v>30</v>
      </c>
      <c r="R31" s="259">
        <f>SUMIFS($T$4:$T$20,$L$4:$L$20,P31)</f>
        <v>24</v>
      </c>
      <c r="S31" s="272">
        <f t="shared" si="16"/>
        <v>0.8</v>
      </c>
      <c r="T31" s="259">
        <f>SUMIFS($R$4:$R$20,$L$4:$L$20,P31)</f>
        <v>19</v>
      </c>
      <c r="U31" s="259">
        <f>SUMIFS($U$4:$U$20,$L$4:$L$20,P31)</f>
        <v>9</v>
      </c>
      <c r="V31" s="272">
        <f t="shared" si="17"/>
        <v>0.473684210526316</v>
      </c>
      <c r="W31" s="273">
        <f t="shared" si="18"/>
        <v>49</v>
      </c>
      <c r="X31" s="273">
        <f t="shared" si="19"/>
        <v>33</v>
      </c>
      <c r="Y31" s="272">
        <f t="shared" si="20"/>
        <v>0.673469387755102</v>
      </c>
    </row>
    <row r="32" spans="16:25">
      <c r="P32" s="259" t="s">
        <v>277</v>
      </c>
      <c r="Q32" s="259">
        <f>SUMIFS($Q$4:$Q$20,$L$4:$L$20,P32)</f>
        <v>11</v>
      </c>
      <c r="R32" s="259">
        <f>SUMIFS($T$4:$T$20,$L$4:$L$20,P32)</f>
        <v>6</v>
      </c>
      <c r="S32" s="272">
        <f t="shared" si="16"/>
        <v>0.545454545454545</v>
      </c>
      <c r="T32" s="259">
        <f>SUMIFS($R$4:$R$20,$L$4:$L$20,P32)</f>
        <v>66</v>
      </c>
      <c r="U32" s="259">
        <f>SUMIFS($U$4:$U$20,$L$4:$L$20,P32)</f>
        <v>40</v>
      </c>
      <c r="V32" s="272">
        <f t="shared" si="17"/>
        <v>0.606060606060606</v>
      </c>
      <c r="W32" s="273">
        <f t="shared" si="18"/>
        <v>77</v>
      </c>
      <c r="X32" s="273">
        <f t="shared" si="19"/>
        <v>46</v>
      </c>
      <c r="Y32" s="272">
        <f t="shared" si="20"/>
        <v>0.597402597402597</v>
      </c>
    </row>
    <row r="33" spans="16:25">
      <c r="P33" s="201" t="s">
        <v>46</v>
      </c>
      <c r="Q33" s="201">
        <f>SUM(Q27:Q32)</f>
        <v>200</v>
      </c>
      <c r="R33" s="201">
        <f>SUM(R27:R32)</f>
        <v>123</v>
      </c>
      <c r="S33" s="274">
        <f t="shared" si="16"/>
        <v>0.615</v>
      </c>
      <c r="T33" s="201">
        <f>SUM(T27:T32)</f>
        <v>123</v>
      </c>
      <c r="U33" s="201">
        <f>SUM(U27:U32)</f>
        <v>76</v>
      </c>
      <c r="V33" s="274">
        <f t="shared" si="17"/>
        <v>0.617886178861789</v>
      </c>
      <c r="W33" s="201">
        <f>SUM(W27:W32)</f>
        <v>323</v>
      </c>
      <c r="X33" s="201">
        <f>SUM(X27:X32)</f>
        <v>199</v>
      </c>
      <c r="Y33" s="274">
        <f t="shared" si="20"/>
        <v>0.61609907120743</v>
      </c>
    </row>
    <row r="37" spans="17:17">
      <c r="Q37" s="275"/>
    </row>
  </sheetData>
  <sortState ref="B4:K19">
    <sortCondition ref="B4:B19"/>
  </sortState>
  <mergeCells count="13">
    <mergeCell ref="B1:M1"/>
    <mergeCell ref="P1:Y1"/>
    <mergeCell ref="C2:E2"/>
    <mergeCell ref="F2:H2"/>
    <mergeCell ref="I2:K2"/>
    <mergeCell ref="L2:M2"/>
    <mergeCell ref="Q2:S2"/>
    <mergeCell ref="T2:V2"/>
    <mergeCell ref="W2:Y2"/>
    <mergeCell ref="P24:Y24"/>
    <mergeCell ref="Q25:S25"/>
    <mergeCell ref="T25:V25"/>
    <mergeCell ref="W25:Y25"/>
  </mergeCells>
  <pageMargins left="0.751388888888889" right="0.751388888888889" top="1" bottom="1" header="0.5" footer="0.5"/>
  <pageSetup paperSize="9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70C0"/>
    <pageSetUpPr fitToPage="1"/>
  </sheetPr>
  <dimension ref="A1:AA186"/>
  <sheetViews>
    <sheetView zoomScale="85" zoomScaleNormal="85" topLeftCell="O1" workbookViewId="0">
      <pane ySplit="1" topLeftCell="A2" activePane="bottomLeft" state="frozen"/>
      <selection/>
      <selection pane="bottomLeft" activeCell="B110" sqref="B110:X170"/>
    </sheetView>
  </sheetViews>
  <sheetFormatPr defaultColWidth="10.625" defaultRowHeight="15" customHeight="1"/>
  <cols>
    <col min="1" max="1" width="4" style="56" customWidth="1"/>
    <col min="2" max="2" width="15" style="56" customWidth="1"/>
    <col min="3" max="3" width="12" style="56" customWidth="1"/>
    <col min="4" max="4" width="7" style="56" customWidth="1"/>
    <col min="5" max="5" width="7.875" style="56" customWidth="1"/>
    <col min="6" max="6" width="15.875" style="56" customWidth="1"/>
    <col min="7" max="7" width="9.25" style="56" customWidth="1"/>
    <col min="8" max="8" width="11.375" style="56" customWidth="1"/>
    <col min="9" max="9" width="37.625" style="56" customWidth="1"/>
    <col min="10" max="10" width="8.75" style="56" customWidth="1"/>
    <col min="11" max="11" width="34.875" style="56" customWidth="1"/>
    <col min="12" max="12" width="22.125" style="231" customWidth="1"/>
    <col min="13" max="13" width="20.875" style="56" customWidth="1"/>
    <col min="14" max="14" width="17.125" style="56" customWidth="1"/>
    <col min="15" max="15" width="12.375" style="56" customWidth="1"/>
    <col min="16" max="16" width="24.125" style="56" customWidth="1" outlineLevel="1"/>
    <col min="17" max="17" width="12.375" style="56" customWidth="1" outlineLevel="1"/>
    <col min="18" max="18" width="7.625" style="56" customWidth="1" outlineLevel="1"/>
    <col min="19" max="19" width="5.625" style="56" customWidth="1" outlineLevel="1"/>
    <col min="20" max="20" width="13.125" style="230" customWidth="1" outlineLevel="1"/>
    <col min="21" max="21" width="15.125" style="56" customWidth="1" outlineLevel="1"/>
    <col min="22" max="22" width="10" style="56" customWidth="1" outlineLevel="1"/>
    <col min="23" max="23" width="14.875" style="56" customWidth="1" outlineLevel="1"/>
    <col min="24" max="24" width="11.375" style="56" customWidth="1" outlineLevel="1"/>
    <col min="25" max="25" width="29.5" style="232" customWidth="1"/>
    <col min="26" max="26" width="27.25" style="232" customWidth="1"/>
    <col min="27" max="27" width="18.5166666666667" style="137" customWidth="1"/>
    <col min="28" max="30" width="10.625" style="137"/>
    <col min="31" max="16384" width="10.625" style="137" hidden="1" customWidth="1"/>
  </cols>
  <sheetData>
    <row r="1" s="230" customFormat="1" spans="1:27">
      <c r="A1" s="208" t="s">
        <v>326</v>
      </c>
      <c r="B1" s="208" t="s">
        <v>327</v>
      </c>
      <c r="C1" s="208" t="s">
        <v>328</v>
      </c>
      <c r="D1" s="208" t="s">
        <v>329</v>
      </c>
      <c r="E1" s="208" t="s">
        <v>330</v>
      </c>
      <c r="F1" s="208" t="s">
        <v>331</v>
      </c>
      <c r="G1" s="208" t="s">
        <v>332</v>
      </c>
      <c r="H1" s="208" t="s">
        <v>333</v>
      </c>
      <c r="I1" s="208" t="s">
        <v>334</v>
      </c>
      <c r="J1" s="208" t="s">
        <v>335</v>
      </c>
      <c r="K1" s="208" t="s">
        <v>336</v>
      </c>
      <c r="L1" s="208" t="s">
        <v>47</v>
      </c>
      <c r="M1" s="220" t="s">
        <v>48</v>
      </c>
      <c r="N1" s="220" t="s">
        <v>321</v>
      </c>
      <c r="O1" s="220" t="s">
        <v>49</v>
      </c>
      <c r="P1" s="208" t="s">
        <v>337</v>
      </c>
      <c r="Q1" s="208" t="s">
        <v>338</v>
      </c>
      <c r="R1" s="208" t="s">
        <v>339</v>
      </c>
      <c r="S1" s="208" t="s">
        <v>307</v>
      </c>
      <c r="T1" s="220" t="s">
        <v>340</v>
      </c>
      <c r="U1" s="220" t="s">
        <v>341</v>
      </c>
      <c r="V1" s="220" t="s">
        <v>342</v>
      </c>
      <c r="W1" s="220" t="s">
        <v>343</v>
      </c>
      <c r="X1" s="220" t="s">
        <v>344</v>
      </c>
      <c r="Y1" s="238" t="s">
        <v>345</v>
      </c>
      <c r="Z1" s="238" t="s">
        <v>346</v>
      </c>
      <c r="AA1" s="208" t="s">
        <v>347</v>
      </c>
    </row>
    <row r="2" hidden="1" customHeight="1" spans="1:27">
      <c r="A2" s="56">
        <v>1</v>
      </c>
      <c r="B2" s="214" t="s">
        <v>348</v>
      </c>
      <c r="C2" s="214" t="s">
        <v>349</v>
      </c>
      <c r="D2" s="214">
        <v>165115</v>
      </c>
      <c r="E2" s="214" t="s">
        <v>350</v>
      </c>
      <c r="F2" s="214" t="s">
        <v>351</v>
      </c>
      <c r="G2" s="233">
        <v>46086</v>
      </c>
      <c r="H2" s="214">
        <v>2567247652</v>
      </c>
      <c r="I2" s="214" t="s">
        <v>352</v>
      </c>
      <c r="J2" s="214" t="s">
        <v>353</v>
      </c>
      <c r="K2" s="214" t="s">
        <v>354</v>
      </c>
      <c r="L2" s="231" t="s">
        <v>228</v>
      </c>
      <c r="M2" s="215" t="str">
        <f>VLOOKUP($L2,Emp!$A:$F,2,0)</f>
        <v>BINOY RAJ</v>
      </c>
      <c r="N2" s="215" t="str">
        <f>VLOOKUP($L2,Emp!$A:$F,3,0)</f>
        <v>KODUNGALLUR</v>
      </c>
      <c r="O2" s="215" t="str">
        <f>VLOOKUP($L2,Emp!$A:$F,4,0)</f>
        <v>ARENA</v>
      </c>
      <c r="P2" s="214" t="s">
        <v>355</v>
      </c>
      <c r="Q2" s="56" t="s">
        <v>355</v>
      </c>
      <c r="R2" s="56" t="s">
        <v>355</v>
      </c>
      <c r="S2" s="56" t="s">
        <v>356</v>
      </c>
      <c r="T2" s="236" t="str">
        <f>IF(_xlfn.XLOOKUP(F2,IH!Y:Y,IH!AA:AA,"")="MAPPED","MAPPED","")</f>
        <v/>
      </c>
      <c r="U2" s="237" t="str">
        <f>IFERROR(VLOOKUP(H2,IH!C:T,18,0),"")</f>
        <v/>
      </c>
      <c r="V2" s="237" t="str">
        <f>IF(W2&lt;&gt;"","DISBURSED","")</f>
        <v/>
      </c>
      <c r="W2" s="221" t="str">
        <f>IFERROR(VLOOKUP(H2,IH!C:X,14,0),"")</f>
        <v/>
      </c>
      <c r="X2" s="215" t="str">
        <f>VLOOKUP($L2,Emp!$A:$F,5,0)</f>
        <v>JINEESH</v>
      </c>
      <c r="Y2" s="239" t="e">
        <f>VLOOKUP($H2,ERP!$H:$AP,33,0)</f>
        <v>#N/A</v>
      </c>
      <c r="Z2" s="239" t="e">
        <f>VLOOKUP($H2,ERP!$H:$AP,34,0)</f>
        <v>#N/A</v>
      </c>
      <c r="AA2" s="209"/>
    </row>
    <row r="3" hidden="1" customHeight="1" spans="1:27">
      <c r="A3" s="56">
        <v>2</v>
      </c>
      <c r="B3" s="214" t="s">
        <v>357</v>
      </c>
      <c r="C3" s="214" t="s">
        <v>358</v>
      </c>
      <c r="D3" s="214" t="s">
        <v>359</v>
      </c>
      <c r="E3" s="214" t="s">
        <v>360</v>
      </c>
      <c r="F3" s="214" t="s">
        <v>361</v>
      </c>
      <c r="G3" s="233">
        <v>46087</v>
      </c>
      <c r="H3" s="214">
        <v>2567242037</v>
      </c>
      <c r="I3" s="214" t="s">
        <v>362</v>
      </c>
      <c r="J3" s="214" t="s">
        <v>363</v>
      </c>
      <c r="K3" s="214" t="s">
        <v>364</v>
      </c>
      <c r="L3" s="231" t="s">
        <v>250</v>
      </c>
      <c r="M3" s="215" t="str">
        <f>VLOOKUP($L3,Emp!$A:$F,2,0)</f>
        <v>SIVAPRAKASH K S</v>
      </c>
      <c r="N3" s="215" t="str">
        <f>VLOOKUP($L3,Emp!$A:$F,3,0)</f>
        <v>THRISSUR</v>
      </c>
      <c r="O3" s="215" t="str">
        <f>VLOOKUP($L3,Emp!$A:$F,4,0)</f>
        <v>ARENA</v>
      </c>
      <c r="P3" s="214" t="s">
        <v>365</v>
      </c>
      <c r="Q3" s="56" t="s">
        <v>366</v>
      </c>
      <c r="R3" s="56" t="s">
        <v>51</v>
      </c>
      <c r="S3" s="56" t="s">
        <v>367</v>
      </c>
      <c r="T3" s="236" t="str">
        <f>IF(_xlfn.XLOOKUP(F3,IH!Y:Y,IH!AA:AA,"")="MAPPED","MAPPED","")</f>
        <v/>
      </c>
      <c r="U3" s="237" t="str">
        <f>IFERROR(VLOOKUP(H3,IH!C:T,18,0),"")</f>
        <v/>
      </c>
      <c r="V3" s="237" t="s">
        <v>368</v>
      </c>
      <c r="W3" s="221" t="s">
        <v>369</v>
      </c>
      <c r="X3" s="215" t="str">
        <f>VLOOKUP($L3,Emp!$A:$F,5,0)</f>
        <v>SINTO</v>
      </c>
      <c r="Y3" s="239" t="str">
        <f>VLOOKUP($H3,ERP!$H:$AP,33,0)</f>
        <v>NA</v>
      </c>
      <c r="Z3" s="239" t="str">
        <f>VLOOKUP($H3,ERP!$H:$AP,34,0)</f>
        <v>NA</v>
      </c>
      <c r="AA3" s="209"/>
    </row>
    <row r="4" hidden="1" customHeight="1" spans="1:27">
      <c r="A4" s="56">
        <v>3</v>
      </c>
      <c r="B4" s="214" t="s">
        <v>370</v>
      </c>
      <c r="C4" s="214" t="s">
        <v>371</v>
      </c>
      <c r="D4" s="214" t="s">
        <v>372</v>
      </c>
      <c r="E4" s="214" t="s">
        <v>373</v>
      </c>
      <c r="F4" s="214" t="s">
        <v>374</v>
      </c>
      <c r="G4" s="233">
        <v>46087</v>
      </c>
      <c r="H4" s="214">
        <v>2567344451</v>
      </c>
      <c r="I4" s="214" t="s">
        <v>375</v>
      </c>
      <c r="J4" s="214" t="s">
        <v>363</v>
      </c>
      <c r="K4" s="214" t="s">
        <v>364</v>
      </c>
      <c r="L4" s="231" t="s">
        <v>172</v>
      </c>
      <c r="M4" s="215" t="str">
        <f>VLOOKUP($L4,Emp!$A:$F,2,0)</f>
        <v>SIVAPRAKASH K S</v>
      </c>
      <c r="N4" s="215" t="str">
        <f>VLOOKUP($L4,Emp!$A:$F,3,0)</f>
        <v>THRISSUR</v>
      </c>
      <c r="O4" s="215" t="str">
        <f>VLOOKUP($L4,Emp!$A:$F,4,0)</f>
        <v>ARENA</v>
      </c>
      <c r="P4" s="214" t="s">
        <v>376</v>
      </c>
      <c r="Q4" s="56" t="s">
        <v>377</v>
      </c>
      <c r="R4" s="56" t="s">
        <v>378</v>
      </c>
      <c r="S4" s="56" t="s">
        <v>356</v>
      </c>
      <c r="T4" s="236" t="str">
        <f>IF(_xlfn.XLOOKUP(F4,IH!Y:Y,IH!AA:AA,"")="MAPPED","MAPPED","")</f>
        <v/>
      </c>
      <c r="U4" s="237" t="str">
        <f>IFERROR(VLOOKUP(H4,IH!C:T,18,0),"")</f>
        <v/>
      </c>
      <c r="V4" s="237" t="str">
        <f t="shared" ref="V4:V11" si="0">IF(W4&lt;&gt;"","DISBURSED","")</f>
        <v/>
      </c>
      <c r="W4" s="221" t="str">
        <f>IFERROR(VLOOKUP(H4,IH!C:X,14,0),"")</f>
        <v/>
      </c>
      <c r="X4" s="215" t="str">
        <f>VLOOKUP($L4,Emp!$A:$F,5,0)</f>
        <v>SINTO</v>
      </c>
      <c r="Y4" s="239" t="str">
        <f>VLOOKUP($H4,ERP!$H:$AP,33,0)</f>
        <v>VISHNUDAS P D (C23106),</v>
      </c>
      <c r="Z4" s="239" t="str">
        <f>VLOOKUP($H4,ERP!$H:$AP,34,0)</f>
        <v>RAJEEV (THCR)</v>
      </c>
      <c r="AA4" s="209"/>
    </row>
    <row r="5" hidden="1" customHeight="1" spans="1:27">
      <c r="A5" s="56">
        <v>4</v>
      </c>
      <c r="B5" s="214" t="s">
        <v>379</v>
      </c>
      <c r="C5" s="214" t="s">
        <v>380</v>
      </c>
      <c r="D5" s="214" t="s">
        <v>381</v>
      </c>
      <c r="E5" s="214" t="s">
        <v>382</v>
      </c>
      <c r="F5" s="214" t="s">
        <v>383</v>
      </c>
      <c r="G5" s="233">
        <v>46087</v>
      </c>
      <c r="H5" s="214">
        <v>2567447231</v>
      </c>
      <c r="I5" s="214" t="s">
        <v>384</v>
      </c>
      <c r="J5" s="214" t="s">
        <v>363</v>
      </c>
      <c r="K5" s="214" t="s">
        <v>364</v>
      </c>
      <c r="L5" s="231" t="s">
        <v>202</v>
      </c>
      <c r="M5" s="215" t="str">
        <f>VLOOKUP($L5,Emp!$A:$F,2,0)</f>
        <v>SMITHIN P S</v>
      </c>
      <c r="N5" s="215" t="str">
        <f>VLOOKUP($L5,Emp!$A:$F,3,0)</f>
        <v>KAIPAMANGALAM</v>
      </c>
      <c r="O5" s="215" t="str">
        <f>VLOOKUP($L5,Emp!$A:$F,4,0)</f>
        <v>ARENA</v>
      </c>
      <c r="P5" s="214" t="s">
        <v>385</v>
      </c>
      <c r="Q5" s="56" t="s">
        <v>386</v>
      </c>
      <c r="R5" s="56" t="s">
        <v>378</v>
      </c>
      <c r="S5" s="56" t="s">
        <v>356</v>
      </c>
      <c r="T5" s="236" t="str">
        <f>IF(_xlfn.XLOOKUP(F5,IH!Y:Y,IH!AA:AA,"")="MAPPED","MAPPED","")</f>
        <v/>
      </c>
      <c r="U5" s="237" t="str">
        <f>IFERROR(VLOOKUP(H5,IH!C:T,18,0),"")</f>
        <v/>
      </c>
      <c r="V5" s="237" t="str">
        <f t="shared" si="0"/>
        <v/>
      </c>
      <c r="W5" s="221" t="str">
        <f>IFERROR(VLOOKUP(H5,IH!C:X,14,0),"")</f>
        <v/>
      </c>
      <c r="X5" s="215" t="str">
        <f>VLOOKUP($L5,Emp!$A:$F,5,0)</f>
        <v>JINEESH</v>
      </c>
      <c r="Y5" s="239" t="str">
        <f>VLOOKUP($H5,ERP!$H:$AP,33,0)</f>
        <v>NA</v>
      </c>
      <c r="Z5" s="239" t="str">
        <f>VLOOKUP($H5,ERP!$H:$AP,34,0)</f>
        <v>NA</v>
      </c>
      <c r="AA5" s="209"/>
    </row>
    <row r="6" hidden="1" customHeight="1" spans="1:27">
      <c r="A6" s="56">
        <v>5</v>
      </c>
      <c r="B6" s="214" t="s">
        <v>387</v>
      </c>
      <c r="C6" s="214" t="s">
        <v>388</v>
      </c>
      <c r="D6" s="214" t="s">
        <v>389</v>
      </c>
      <c r="E6" s="214" t="s">
        <v>390</v>
      </c>
      <c r="F6" s="214" t="s">
        <v>391</v>
      </c>
      <c r="G6" s="233">
        <v>46087</v>
      </c>
      <c r="H6" s="214">
        <v>2567222939</v>
      </c>
      <c r="I6" s="214" t="s">
        <v>392</v>
      </c>
      <c r="J6" s="214" t="s">
        <v>363</v>
      </c>
      <c r="K6" s="214" t="s">
        <v>364</v>
      </c>
      <c r="L6" s="234" t="s">
        <v>231</v>
      </c>
      <c r="M6" s="215" t="str">
        <f>VLOOKUP($L6,Emp!$A:$F,2,0)</f>
        <v>SIVAPRAKASH K S</v>
      </c>
      <c r="N6" s="215" t="str">
        <f>VLOOKUP($L6,Emp!$A:$F,3,0)</f>
        <v>THRISSUR</v>
      </c>
      <c r="O6" s="215" t="str">
        <f>VLOOKUP($L6,Emp!$A:$F,4,0)</f>
        <v>ARENA</v>
      </c>
      <c r="P6" s="214" t="s">
        <v>355</v>
      </c>
      <c r="Q6" s="56" t="s">
        <v>355</v>
      </c>
      <c r="R6" s="56" t="s">
        <v>355</v>
      </c>
      <c r="S6" s="56" t="s">
        <v>356</v>
      </c>
      <c r="T6" s="236" t="str">
        <f>IF(_xlfn.XLOOKUP(F6,IH!Y:Y,IH!AA:AA,"")="MAPPED","MAPPED","")</f>
        <v/>
      </c>
      <c r="U6" s="237" t="str">
        <f>IFERROR(VLOOKUP(H6,IH!C:T,18,0),"")</f>
        <v/>
      </c>
      <c r="V6" s="237" t="str">
        <f t="shared" si="0"/>
        <v/>
      </c>
      <c r="W6" s="221" t="str">
        <f>IFERROR(VLOOKUP(H6,IH!C:X,14,0),"")</f>
        <v/>
      </c>
      <c r="X6" s="215" t="str">
        <f>VLOOKUP($L6,Emp!$A:$F,5,0)</f>
        <v>SINTO</v>
      </c>
      <c r="Y6" s="239" t="str">
        <f>VLOOKUP($H6,ERP!$H:$AP,33,0)</f>
        <v>NA</v>
      </c>
      <c r="Z6" s="239" t="str">
        <f>VLOOKUP($H6,ERP!$H:$AP,34,0)</f>
        <v>BHAGIESH P (CHKD)</v>
      </c>
      <c r="AA6" s="209"/>
    </row>
    <row r="7" hidden="1" customHeight="1" spans="1:27">
      <c r="A7" s="56">
        <v>6</v>
      </c>
      <c r="B7" s="214" t="s">
        <v>393</v>
      </c>
      <c r="C7" s="214" t="s">
        <v>394</v>
      </c>
      <c r="D7" s="214" t="s">
        <v>395</v>
      </c>
      <c r="E7" s="214">
        <v>1427481</v>
      </c>
      <c r="F7" s="214" t="s">
        <v>396</v>
      </c>
      <c r="G7" s="233">
        <v>46087</v>
      </c>
      <c r="H7" s="214">
        <v>2566746837</v>
      </c>
      <c r="I7" s="214" t="s">
        <v>397</v>
      </c>
      <c r="J7" s="214" t="s">
        <v>363</v>
      </c>
      <c r="K7" s="214" t="s">
        <v>364</v>
      </c>
      <c r="L7" s="231" t="s">
        <v>169</v>
      </c>
      <c r="M7" s="215" t="str">
        <f>VLOOKUP($L7,Emp!$A:$F,2,0)</f>
        <v>SIVAPRAKASH K S</v>
      </c>
      <c r="N7" s="215" t="str">
        <f>VLOOKUP($L7,Emp!$A:$F,3,0)</f>
        <v>THRISSUR</v>
      </c>
      <c r="O7" s="215" t="str">
        <f>VLOOKUP($L7,Emp!$A:$F,4,0)</f>
        <v>ARENA</v>
      </c>
      <c r="P7" s="214" t="s">
        <v>365</v>
      </c>
      <c r="Q7" s="56" t="s">
        <v>366</v>
      </c>
      <c r="R7" s="56" t="s">
        <v>51</v>
      </c>
      <c r="S7" s="56" t="s">
        <v>367</v>
      </c>
      <c r="T7" s="236" t="str">
        <f>IF(_xlfn.XLOOKUP(F7,IH!Y:Y,IH!AA:AA,"")="MAPPED","MAPPED","")</f>
        <v/>
      </c>
      <c r="U7" s="237" t="str">
        <f>IFERROR(VLOOKUP(H7,IH!C:T,18,0),"")</f>
        <v>NO</v>
      </c>
      <c r="V7" s="237" t="str">
        <f t="shared" si="0"/>
        <v>DISBURSED</v>
      </c>
      <c r="W7" s="221">
        <f>IFERROR(VLOOKUP(H7,IH!C:X,14,0),"")</f>
        <v>46087</v>
      </c>
      <c r="X7" s="215" t="str">
        <f>VLOOKUP($L7,Emp!$A:$F,5,0)</f>
        <v>SINTO</v>
      </c>
      <c r="Y7" s="239" t="str">
        <f>VLOOKUP($H7,ERP!$H:$AP,33,0)</f>
        <v>BINEESH P ANTO (C22936),</v>
      </c>
      <c r="Z7" s="239" t="str">
        <f>VLOOKUP($H7,ERP!$H:$AP,34,0)</f>
        <v>RAJEEV (THCR)</v>
      </c>
      <c r="AA7" s="209"/>
    </row>
    <row r="8" hidden="1" customHeight="1" spans="1:27">
      <c r="A8" s="56">
        <v>7</v>
      </c>
      <c r="B8" s="214" t="s">
        <v>398</v>
      </c>
      <c r="C8" s="214" t="s">
        <v>399</v>
      </c>
      <c r="D8" s="214" t="s">
        <v>400</v>
      </c>
      <c r="E8" s="214" t="s">
        <v>401</v>
      </c>
      <c r="F8" s="214" t="s">
        <v>402</v>
      </c>
      <c r="G8" s="233">
        <v>46087</v>
      </c>
      <c r="H8" s="214">
        <v>2567087596</v>
      </c>
      <c r="I8" s="214" t="s">
        <v>403</v>
      </c>
      <c r="J8" s="214" t="s">
        <v>363</v>
      </c>
      <c r="K8" s="214" t="s">
        <v>364</v>
      </c>
      <c r="L8" s="231" t="s">
        <v>213</v>
      </c>
      <c r="M8" s="215" t="str">
        <f>VLOOKUP($L8,Emp!$A:$F,2,0)</f>
        <v>SIVAPRAKASH K S</v>
      </c>
      <c r="N8" s="215" t="str">
        <f>VLOOKUP($L8,Emp!$A:$F,3,0)</f>
        <v>THRISSUR</v>
      </c>
      <c r="O8" s="215" t="str">
        <f>VLOOKUP($L8,Emp!$A:$F,4,0)</f>
        <v>ARENA</v>
      </c>
      <c r="P8" s="214" t="s">
        <v>365</v>
      </c>
      <c r="Q8" s="56" t="s">
        <v>366</v>
      </c>
      <c r="R8" s="56" t="s">
        <v>51</v>
      </c>
      <c r="S8" s="56" t="s">
        <v>356</v>
      </c>
      <c r="T8" s="236" t="str">
        <f>IF(_xlfn.XLOOKUP(F8,IH!Y:Y,IH!AA:AA,"")="MAPPED","MAPPED","")</f>
        <v/>
      </c>
      <c r="U8" s="237" t="str">
        <f>IFERROR(VLOOKUP(H8,IH!C:T,18,0),"")</f>
        <v>NO</v>
      </c>
      <c r="V8" s="237" t="str">
        <f t="shared" si="0"/>
        <v>DISBURSED</v>
      </c>
      <c r="W8" s="221">
        <f>IFERROR(VLOOKUP(H8,IH!C:X,14,0),"")</f>
        <v>46087</v>
      </c>
      <c r="X8" s="215" t="str">
        <f>VLOOKUP($L8,Emp!$A:$F,5,0)</f>
        <v>SINTO</v>
      </c>
      <c r="Y8" s="239" t="str">
        <f>VLOOKUP($H8,ERP!$H:$AP,33,0)</f>
        <v>SANJAY.M.G(C26392),</v>
      </c>
      <c r="Z8" s="239" t="str">
        <f>VLOOKUP($H8,ERP!$H:$AP,34,0)</f>
        <v>SIVAPRAKASH K.S.(TCR)</v>
      </c>
      <c r="AA8" s="209"/>
    </row>
    <row r="9" hidden="1" customHeight="1" spans="1:27">
      <c r="A9" s="56">
        <v>8</v>
      </c>
      <c r="B9" s="214" t="s">
        <v>404</v>
      </c>
      <c r="C9" s="214" t="s">
        <v>405</v>
      </c>
      <c r="D9" s="214" t="s">
        <v>406</v>
      </c>
      <c r="E9" s="214" t="s">
        <v>407</v>
      </c>
      <c r="F9" s="214" t="s">
        <v>408</v>
      </c>
      <c r="G9" s="233">
        <v>46087</v>
      </c>
      <c r="H9" s="214">
        <v>2567161284</v>
      </c>
      <c r="I9" s="214" t="s">
        <v>409</v>
      </c>
      <c r="J9" s="214" t="s">
        <v>363</v>
      </c>
      <c r="K9" s="214" t="s">
        <v>364</v>
      </c>
      <c r="L9" s="231" t="s">
        <v>76</v>
      </c>
      <c r="M9" s="215" t="str">
        <f>VLOOKUP($L9,Emp!$A:$F,2,0)</f>
        <v>NOUFAL T A</v>
      </c>
      <c r="N9" s="215" t="str">
        <f>VLOOKUP($L9,Emp!$A:$F,3,0)</f>
        <v>EDAPPALLY</v>
      </c>
      <c r="O9" s="215" t="str">
        <f>VLOOKUP($L9,Emp!$A:$F,4,0)</f>
        <v>ARENA</v>
      </c>
      <c r="P9" s="214" t="s">
        <v>410</v>
      </c>
      <c r="Q9" s="56" t="s">
        <v>411</v>
      </c>
      <c r="R9" s="56" t="s">
        <v>51</v>
      </c>
      <c r="S9" s="56" t="s">
        <v>367</v>
      </c>
      <c r="T9" s="236" t="str">
        <f>IF(_xlfn.XLOOKUP(F9,IH!Y:Y,IH!AA:AA,"")="MAPPED","MAPPED","")</f>
        <v/>
      </c>
      <c r="U9" s="237" t="str">
        <f>IFERROR(VLOOKUP(H9,IH!C:T,18,0),"")</f>
        <v/>
      </c>
      <c r="V9" s="237" t="s">
        <v>368</v>
      </c>
      <c r="W9" s="221" t="s">
        <v>369</v>
      </c>
      <c r="X9" s="215" t="str">
        <f>VLOOKUP($L9,Emp!$A:$F,5,0)</f>
        <v>SIVAPRASAD</v>
      </c>
      <c r="Y9" s="239" t="str">
        <f>VLOOKUP($H9,ERP!$H:$AP,33,0)</f>
        <v>SALAS JUDE (C25782),</v>
      </c>
      <c r="Z9" s="239" t="str">
        <f>VLOOKUP($H9,ERP!$H:$AP,34,0)</f>
        <v>NOUFAL T.A</v>
      </c>
      <c r="AA9" s="209"/>
    </row>
    <row r="10" hidden="1" customHeight="1" spans="1:27">
      <c r="A10" s="56">
        <v>9</v>
      </c>
      <c r="B10" s="214" t="s">
        <v>412</v>
      </c>
      <c r="C10" s="214" t="s">
        <v>413</v>
      </c>
      <c r="D10" s="214" t="s">
        <v>414</v>
      </c>
      <c r="E10" s="214">
        <v>1426622</v>
      </c>
      <c r="F10" s="214" t="s">
        <v>415</v>
      </c>
      <c r="G10" s="233">
        <v>46087</v>
      </c>
      <c r="H10" s="214">
        <v>2567186125</v>
      </c>
      <c r="I10" s="214" t="s">
        <v>416</v>
      </c>
      <c r="J10" s="214" t="s">
        <v>363</v>
      </c>
      <c r="K10" s="214" t="s">
        <v>364</v>
      </c>
      <c r="L10" s="231" t="s">
        <v>70</v>
      </c>
      <c r="M10" s="215" t="str">
        <f>VLOOKUP($L10,Emp!$A:$F,2,0)</f>
        <v>MANU SASI</v>
      </c>
      <c r="N10" s="215" t="str">
        <f>VLOOKUP($L10,Emp!$A:$F,3,0)</f>
        <v>EDAPPALLY</v>
      </c>
      <c r="O10" s="215" t="str">
        <f>VLOOKUP($L10,Emp!$A:$F,4,0)</f>
        <v>ARENA</v>
      </c>
      <c r="P10" s="214" t="s">
        <v>417</v>
      </c>
      <c r="Q10" s="56" t="s">
        <v>366</v>
      </c>
      <c r="R10" s="56" t="s">
        <v>51</v>
      </c>
      <c r="S10" s="56" t="s">
        <v>367</v>
      </c>
      <c r="T10" s="236" t="str">
        <f>IF(_xlfn.XLOOKUP(F10,IH!Y:Y,IH!AA:AA,"")="MAPPED","MAPPED","")</f>
        <v/>
      </c>
      <c r="U10" s="237" t="str">
        <f>IFERROR(VLOOKUP(H10,IH!C:T,18,0),"")</f>
        <v>MSSF LOGIN</v>
      </c>
      <c r="V10" s="237" t="str">
        <f t="shared" si="0"/>
        <v>DISBURSED</v>
      </c>
      <c r="W10" s="221">
        <f>IFERROR(VLOOKUP(H10,IH!C:X,14,0),"")</f>
        <v>46086</v>
      </c>
      <c r="X10" s="215" t="str">
        <f>VLOOKUP($L10,Emp!$A:$F,5,0)</f>
        <v>SIVAPRASAD</v>
      </c>
      <c r="Y10" s="239" t="str">
        <f>VLOOKUP($H10,ERP!$H:$AP,33,0)</f>
        <v>MANU JOY (C22591),</v>
      </c>
      <c r="Z10" s="239" t="str">
        <f>VLOOKUP($H10,ERP!$H:$AP,34,0)</f>
        <v>MANU SASI</v>
      </c>
      <c r="AA10" s="209"/>
    </row>
    <row r="11" hidden="1" customHeight="1" spans="1:27">
      <c r="A11" s="56">
        <v>10</v>
      </c>
      <c r="B11" s="214" t="s">
        <v>418</v>
      </c>
      <c r="C11" s="214" t="s">
        <v>419</v>
      </c>
      <c r="D11" s="214" t="s">
        <v>420</v>
      </c>
      <c r="E11" s="214">
        <v>1426830</v>
      </c>
      <c r="F11" s="214" t="s">
        <v>421</v>
      </c>
      <c r="G11" s="233">
        <v>46087</v>
      </c>
      <c r="H11" s="214">
        <v>2567459895</v>
      </c>
      <c r="I11" s="214" t="s">
        <v>422</v>
      </c>
      <c r="J11" s="214" t="s">
        <v>363</v>
      </c>
      <c r="K11" s="214" t="s">
        <v>364</v>
      </c>
      <c r="L11" s="234" t="s">
        <v>103</v>
      </c>
      <c r="M11" s="215" t="str">
        <f>VLOOKUP($L11,Emp!$A:$F,2,0)</f>
        <v>BINOY RAJ</v>
      </c>
      <c r="N11" s="215" t="str">
        <f>VLOOKUP($L11,Emp!$A:$F,3,0)</f>
        <v>KODUNGALLUR</v>
      </c>
      <c r="O11" s="215" t="str">
        <f>VLOOKUP($L11,Emp!$A:$F,4,0)</f>
        <v>ARENA</v>
      </c>
      <c r="P11" s="214" t="s">
        <v>423</v>
      </c>
      <c r="Q11" s="56" t="s">
        <v>424</v>
      </c>
      <c r="R11" s="56" t="s">
        <v>378</v>
      </c>
      <c r="S11" s="56" t="s">
        <v>356</v>
      </c>
      <c r="T11" s="236" t="str">
        <f>IF(_xlfn.XLOOKUP(F11,IH!Y:Y,IH!AA:AA,"")="MAPPED","MAPPED","")</f>
        <v/>
      </c>
      <c r="U11" s="237" t="str">
        <f>IFERROR(VLOOKUP(H11,IH!C:T,18,0),"")</f>
        <v/>
      </c>
      <c r="V11" s="237" t="str">
        <f t="shared" si="0"/>
        <v/>
      </c>
      <c r="W11" s="221" t="str">
        <f>IFERROR(VLOOKUP(H11,IH!C:X,14,0),"")</f>
        <v/>
      </c>
      <c r="X11" s="215" t="str">
        <f>VLOOKUP($L11,Emp!$A:$F,5,0)</f>
        <v>JINEESH</v>
      </c>
      <c r="Y11" s="239" t="str">
        <f>VLOOKUP($H11,ERP!$H:$AP,33,0)</f>
        <v>NA</v>
      </c>
      <c r="Z11" s="239" t="str">
        <f>VLOOKUP($H11,ERP!$H:$AP,34,0)</f>
        <v>NA</v>
      </c>
      <c r="AA11" s="209"/>
    </row>
    <row r="12" hidden="1" customHeight="1" spans="1:26">
      <c r="A12" s="56">
        <v>11</v>
      </c>
      <c r="B12" s="214" t="s">
        <v>425</v>
      </c>
      <c r="C12" s="214" t="s">
        <v>426</v>
      </c>
      <c r="D12" s="214" t="s">
        <v>427</v>
      </c>
      <c r="E12" s="214">
        <v>1427670</v>
      </c>
      <c r="F12" s="214" t="s">
        <v>428</v>
      </c>
      <c r="G12" s="233">
        <v>46088</v>
      </c>
      <c r="H12" s="214">
        <v>2567479499</v>
      </c>
      <c r="I12" s="214" t="s">
        <v>429</v>
      </c>
      <c r="J12" s="214" t="s">
        <v>363</v>
      </c>
      <c r="K12" s="214" t="s">
        <v>364</v>
      </c>
      <c r="L12" s="231" t="s">
        <v>222</v>
      </c>
      <c r="M12" s="215" t="str">
        <f>VLOOKUP($L12,Emp!$A:$F,2,0)</f>
        <v>ELDHO A JACOB</v>
      </c>
      <c r="N12" s="215" t="str">
        <f>VLOOKUP($L12,Emp!$A:$F,3,0)</f>
        <v>ANGAMALY</v>
      </c>
      <c r="O12" s="215" t="str">
        <f>VLOOKUP($L12,Emp!$A:$F,4,0)</f>
        <v>ARENA</v>
      </c>
      <c r="P12" s="214" t="s">
        <v>365</v>
      </c>
      <c r="Q12" s="56" t="s">
        <v>366</v>
      </c>
      <c r="R12" s="56" t="s">
        <v>51</v>
      </c>
      <c r="S12" s="56" t="s">
        <v>367</v>
      </c>
      <c r="T12" s="236" t="str">
        <f>IF(_xlfn.XLOOKUP(F12,IH!Y:Y,IH!AA:AA,"")="MAPPED","MAPPED","")</f>
        <v/>
      </c>
      <c r="U12" s="237" t="str">
        <f>IFERROR(VLOOKUP(H12,IH!C:T,18,0),"")</f>
        <v>MSSF LOGIN</v>
      </c>
      <c r="V12" s="237" t="str">
        <f t="shared" ref="V12:V30" si="1">IF(W12&lt;&gt;"","DISBURSED","")</f>
        <v>DISBURSED</v>
      </c>
      <c r="W12" s="221">
        <f>IFERROR(VLOOKUP(H12,IH!C:X,14,0),"")</f>
        <v>46094</v>
      </c>
      <c r="X12" s="215" t="str">
        <f>VLOOKUP($L12,Emp!$A:$F,5,0)</f>
        <v>SALMAN</v>
      </c>
      <c r="Y12" s="239" t="str">
        <f>VLOOKUP($H12,ERP!$H:$AP,33,0)</f>
        <v>VISHNU T M (C26466),</v>
      </c>
      <c r="Z12" s="239" t="str">
        <f>VLOOKUP($H12,ERP!$H:$AP,34,0)</f>
        <v>ELDHO A JACOB</v>
      </c>
    </row>
    <row r="13" hidden="1" customHeight="1" spans="1:26">
      <c r="A13" s="56">
        <v>12</v>
      </c>
      <c r="B13" s="214" t="s">
        <v>430</v>
      </c>
      <c r="C13" s="214" t="s">
        <v>431</v>
      </c>
      <c r="D13" s="214">
        <v>474586</v>
      </c>
      <c r="E13" s="214">
        <v>1427330</v>
      </c>
      <c r="F13" s="214" t="s">
        <v>432</v>
      </c>
      <c r="G13" s="233">
        <v>46088</v>
      </c>
      <c r="H13" s="214">
        <v>2567480248</v>
      </c>
      <c r="I13" s="214" t="s">
        <v>433</v>
      </c>
      <c r="J13" s="214" t="s">
        <v>434</v>
      </c>
      <c r="K13" s="214" t="s">
        <v>435</v>
      </c>
      <c r="L13" s="231" t="s">
        <v>113</v>
      </c>
      <c r="M13" s="215" t="str">
        <f>VLOOKUP($L13,Emp!$A:$F,2,0)</f>
        <v>ANAND K V</v>
      </c>
      <c r="N13" s="215" t="str">
        <f>VLOOKUP($L13,Emp!$A:$F,3,0)</f>
        <v>KOLENCHERY</v>
      </c>
      <c r="O13" s="215" t="str">
        <f>VLOOKUP($L13,Emp!$A:$F,4,0)</f>
        <v>ARENA</v>
      </c>
      <c r="P13" s="214" t="s">
        <v>436</v>
      </c>
      <c r="Q13" s="56" t="s">
        <v>437</v>
      </c>
      <c r="R13" s="56" t="s">
        <v>51</v>
      </c>
      <c r="S13" s="56" t="s">
        <v>367</v>
      </c>
      <c r="T13" s="236" t="str">
        <f>IF(_xlfn.XLOOKUP(F13,IH!Y:Y,IH!AA:AA,"")="MAPPED","MAPPED","")</f>
        <v>MAPPED</v>
      </c>
      <c r="U13" s="237" t="str">
        <f>IFERROR(VLOOKUP(H13,IH!C:T,18,0),"")</f>
        <v>MSSF DISBURSED</v>
      </c>
      <c r="V13" s="237" t="str">
        <f t="shared" si="1"/>
        <v>DISBURSED</v>
      </c>
      <c r="W13" s="221">
        <f>IFERROR(VLOOKUP(H13,IH!C:X,14,0),"")</f>
        <v>46090</v>
      </c>
      <c r="X13" s="215" t="str">
        <f>VLOOKUP($L13,Emp!$A:$F,5,0)</f>
        <v>AMAL</v>
      </c>
      <c r="Y13" s="239" t="str">
        <f>VLOOKUP($H13,ERP!$H:$AP,33,0)</f>
        <v>ELSON JACOB(C23950),</v>
      </c>
      <c r="Z13" s="239" t="str">
        <f>VLOOKUP($H13,ERP!$H:$AP,34,0)</f>
        <v>ANAND (KLY)</v>
      </c>
    </row>
    <row r="14" hidden="1" customHeight="1" spans="1:26">
      <c r="A14" s="56">
        <v>13</v>
      </c>
      <c r="B14" s="214" t="s">
        <v>438</v>
      </c>
      <c r="C14" s="214" t="s">
        <v>439</v>
      </c>
      <c r="D14" s="214">
        <v>410269</v>
      </c>
      <c r="E14" s="214" t="s">
        <v>440</v>
      </c>
      <c r="F14" s="214" t="s">
        <v>441</v>
      </c>
      <c r="G14" s="233">
        <v>46088</v>
      </c>
      <c r="H14" s="214">
        <v>2566023466</v>
      </c>
      <c r="I14" s="214" t="s">
        <v>442</v>
      </c>
      <c r="J14" s="214" t="s">
        <v>443</v>
      </c>
      <c r="K14" s="214" t="s">
        <v>444</v>
      </c>
      <c r="L14" s="231" t="s">
        <v>226</v>
      </c>
      <c r="M14" s="215" t="str">
        <f>VLOOKUP($L14,Emp!$A:$F,2,0)</f>
        <v>RATISH K R</v>
      </c>
      <c r="N14" s="215" t="str">
        <f>VLOOKUP($L14,Emp!$A:$F,3,0)</f>
        <v>KADAVANTHRA</v>
      </c>
      <c r="O14" s="215" t="str">
        <f>VLOOKUP($L14,Emp!$A:$F,4,0)</f>
        <v>ARENA</v>
      </c>
      <c r="P14" s="214" t="s">
        <v>355</v>
      </c>
      <c r="Q14" s="56" t="s">
        <v>355</v>
      </c>
      <c r="R14" s="56" t="s">
        <v>355</v>
      </c>
      <c r="S14" s="56" t="s">
        <v>356</v>
      </c>
      <c r="T14" s="236" t="str">
        <f>IF(_xlfn.XLOOKUP(F14,IH!Y:Y,IH!AA:AA,"")="MAPPED","MAPPED","")</f>
        <v/>
      </c>
      <c r="U14" s="237" t="str">
        <f>IFERROR(VLOOKUP(H14,IH!C:T,18,0),"")</f>
        <v/>
      </c>
      <c r="V14" s="237" t="str">
        <f t="shared" si="1"/>
        <v/>
      </c>
      <c r="W14" s="221" t="str">
        <f>IFERROR(VLOOKUP(H14,IH!C:X,14,0),"")</f>
        <v/>
      </c>
      <c r="X14" s="215" t="str">
        <f>VLOOKUP($L14,Emp!$A:$F,5,0)</f>
        <v>SALMAN</v>
      </c>
      <c r="Y14" s="239" t="str">
        <f>VLOOKUP($H14,ERP!$H:$AP,33,0)</f>
        <v>ALBIN MARTIN (C26561),</v>
      </c>
      <c r="Z14" s="239" t="str">
        <f>VLOOKUP($H14,ERP!$H:$AP,34,0)</f>
        <v>RATHEESH.K.R</v>
      </c>
    </row>
    <row r="15" hidden="1" customHeight="1" spans="1:26">
      <c r="A15" s="56">
        <v>14</v>
      </c>
      <c r="B15" s="214" t="s">
        <v>445</v>
      </c>
      <c r="C15" s="214" t="s">
        <v>446</v>
      </c>
      <c r="D15" s="214" t="s">
        <v>447</v>
      </c>
      <c r="E15" s="214" t="s">
        <v>448</v>
      </c>
      <c r="F15" s="214" t="s">
        <v>449</v>
      </c>
      <c r="G15" s="233">
        <v>46088</v>
      </c>
      <c r="H15" s="214">
        <v>2567479837</v>
      </c>
      <c r="I15" s="214" t="s">
        <v>450</v>
      </c>
      <c r="J15" s="214" t="s">
        <v>363</v>
      </c>
      <c r="K15" s="214" t="s">
        <v>364</v>
      </c>
      <c r="L15" s="231" t="s">
        <v>54</v>
      </c>
      <c r="M15" s="215" t="str">
        <f>VLOOKUP($L15,Emp!$A:$F,2,0)</f>
        <v>SHEMEER A K</v>
      </c>
      <c r="N15" s="215" t="str">
        <f>VLOOKUP($L15,Emp!$A:$F,3,0)</f>
        <v>EDAPPALLY</v>
      </c>
      <c r="O15" s="215" t="str">
        <f>VLOOKUP($L15,Emp!$A:$F,4,0)</f>
        <v>ARENA</v>
      </c>
      <c r="P15" s="214" t="s">
        <v>417</v>
      </c>
      <c r="Q15" s="56" t="s">
        <v>366</v>
      </c>
      <c r="R15" s="56" t="s">
        <v>51</v>
      </c>
      <c r="S15" s="56" t="s">
        <v>367</v>
      </c>
      <c r="T15" s="236" t="str">
        <f>IF(_xlfn.XLOOKUP(F15,IH!Y:Y,IH!AA:AA,"")="MAPPED","MAPPED","")</f>
        <v>MAPPED</v>
      </c>
      <c r="U15" s="237" t="str">
        <f>IFERROR(VLOOKUP(H15,IH!C:T,18,0),"")</f>
        <v>MSSF DISBURSED</v>
      </c>
      <c r="V15" s="237" t="str">
        <f t="shared" si="1"/>
        <v>DISBURSED</v>
      </c>
      <c r="W15" s="221">
        <f>IFERROR(VLOOKUP(H15,IH!C:X,14,0),"")</f>
        <v>46088</v>
      </c>
      <c r="X15" s="215" t="str">
        <f>VLOOKUP($L15,Emp!$A:$F,5,0)</f>
        <v>SIVAPRASAD</v>
      </c>
      <c r="Y15" s="239" t="str">
        <f>VLOOKUP($H15,ERP!$H:$AP,33,0)</f>
        <v>MOHAMMED RIYAS (C25510),</v>
      </c>
      <c r="Z15" s="239" t="str">
        <f>VLOOKUP($H15,ERP!$H:$AP,34,0)</f>
        <v>SHEMEER.AK</v>
      </c>
    </row>
    <row r="16" hidden="1" customHeight="1" spans="1:26">
      <c r="A16" s="56">
        <v>15</v>
      </c>
      <c r="B16" s="214" t="s">
        <v>451</v>
      </c>
      <c r="C16" s="214" t="s">
        <v>452</v>
      </c>
      <c r="D16" s="214" t="s">
        <v>453</v>
      </c>
      <c r="E16" s="214">
        <v>1426949</v>
      </c>
      <c r="F16" s="214" t="s">
        <v>454</v>
      </c>
      <c r="G16" s="233">
        <v>46088</v>
      </c>
      <c r="H16" s="214">
        <v>2567449123</v>
      </c>
      <c r="I16" s="214" t="s">
        <v>455</v>
      </c>
      <c r="J16" s="214" t="s">
        <v>363</v>
      </c>
      <c r="K16" s="214" t="s">
        <v>364</v>
      </c>
      <c r="L16" s="231" t="s">
        <v>98</v>
      </c>
      <c r="M16" s="215" t="str">
        <f>VLOOKUP($L16,Emp!$A:$F,2,0)</f>
        <v>BINOY RAJ</v>
      </c>
      <c r="N16" s="215" t="str">
        <f>VLOOKUP($L16,Emp!$A:$F,3,0)</f>
        <v>KODUNGALLUR</v>
      </c>
      <c r="O16" s="215" t="str">
        <f>VLOOKUP($L16,Emp!$A:$F,4,0)</f>
        <v>ARENA</v>
      </c>
      <c r="P16" s="214" t="s">
        <v>456</v>
      </c>
      <c r="Q16" s="56" t="s">
        <v>457</v>
      </c>
      <c r="R16" s="56" t="s">
        <v>51</v>
      </c>
      <c r="S16" s="56" t="s">
        <v>367</v>
      </c>
      <c r="T16" s="236" t="str">
        <f>IF(_xlfn.XLOOKUP(F16,IH!Y:Y,IH!AA:AA,"")="MAPPED","MAPPED","")</f>
        <v>MAPPED</v>
      </c>
      <c r="U16" s="237" t="str">
        <f>IFERROR(VLOOKUP(H16,IH!C:T,18,0),"")</f>
        <v>MSSF DISBURSED</v>
      </c>
      <c r="V16" s="237" t="str">
        <f t="shared" si="1"/>
        <v>DISBURSED</v>
      </c>
      <c r="W16" s="221">
        <f>IFERROR(VLOOKUP(H16,IH!C:X,14,0),"")</f>
        <v>46087</v>
      </c>
      <c r="X16" s="215" t="str">
        <f>VLOOKUP($L16,Emp!$A:$F,5,0)</f>
        <v>JINEESH</v>
      </c>
      <c r="Y16" s="239" t="str">
        <f>VLOOKUP($H16,ERP!$H:$AP,33,0)</f>
        <v>JAYAKRISHNAN K V (C25293),</v>
      </c>
      <c r="Z16" s="239" t="str">
        <f>VLOOKUP($H16,ERP!$H:$AP,34,0)</f>
        <v>LINISH.T.K</v>
      </c>
    </row>
    <row r="17" hidden="1" customHeight="1" spans="1:26">
      <c r="A17" s="56">
        <v>16</v>
      </c>
      <c r="B17" s="214" t="s">
        <v>458</v>
      </c>
      <c r="C17" s="214" t="s">
        <v>459</v>
      </c>
      <c r="D17" s="214">
        <v>760858</v>
      </c>
      <c r="E17" s="214" t="s">
        <v>460</v>
      </c>
      <c r="F17" s="214" t="s">
        <v>461</v>
      </c>
      <c r="G17" s="233">
        <v>46088</v>
      </c>
      <c r="H17" s="214">
        <v>2567473596</v>
      </c>
      <c r="I17" s="214" t="s">
        <v>462</v>
      </c>
      <c r="J17" s="214" t="s">
        <v>463</v>
      </c>
      <c r="K17" s="214" t="s">
        <v>464</v>
      </c>
      <c r="L17" s="231" t="s">
        <v>238</v>
      </c>
      <c r="M17" s="215" t="str">
        <f>VLOOKUP($L17,Emp!$A:$F,2,0)</f>
        <v>SACHIN</v>
      </c>
      <c r="N17" s="215" t="str">
        <f>VLOOKUP($L17,Emp!$A:$F,3,0)</f>
        <v>KODUNGALLUR</v>
      </c>
      <c r="O17" s="215" t="str">
        <f>VLOOKUP($L17,Emp!$A:$F,4,0)</f>
        <v>ARENA</v>
      </c>
      <c r="P17" s="214" t="s">
        <v>465</v>
      </c>
      <c r="Q17" s="56" t="s">
        <v>466</v>
      </c>
      <c r="R17" s="56" t="s">
        <v>51</v>
      </c>
      <c r="S17" s="56" t="s">
        <v>356</v>
      </c>
      <c r="T17" s="236" t="str">
        <f>IF(_xlfn.XLOOKUP(F17,IH!Y:Y,IH!AA:AA,"")="MAPPED","MAPPED","")</f>
        <v/>
      </c>
      <c r="U17" s="237" t="str">
        <f>IFERROR(VLOOKUP(H17,IH!C:T,18,0),"")</f>
        <v>NO</v>
      </c>
      <c r="V17" s="237" t="str">
        <f t="shared" si="1"/>
        <v>DISBURSED</v>
      </c>
      <c r="W17" s="221">
        <f>IFERROR(VLOOKUP(H17,IH!C:X,14,0),"")</f>
        <v>46087</v>
      </c>
      <c r="X17" s="215" t="str">
        <f>VLOOKUP($L17,Emp!$A:$F,5,0)</f>
        <v>JINEESH</v>
      </c>
      <c r="Y17" s="239" t="str">
        <f>VLOOKUP($H17,ERP!$H:$AP,33,0)</f>
        <v>KRISHNARAJ M R(C26582),</v>
      </c>
      <c r="Z17" s="239" t="str">
        <f>VLOOKUP($H17,ERP!$H:$AP,34,0)</f>
        <v>BINOY(KDLR)</v>
      </c>
    </row>
    <row r="18" hidden="1" customHeight="1" spans="1:26">
      <c r="A18" s="56">
        <v>17</v>
      </c>
      <c r="B18" s="214" t="s">
        <v>467</v>
      </c>
      <c r="C18" s="214" t="s">
        <v>468</v>
      </c>
      <c r="D18" s="214">
        <v>465599</v>
      </c>
      <c r="E18" s="214">
        <v>1416463</v>
      </c>
      <c r="F18" s="214" t="s">
        <v>469</v>
      </c>
      <c r="G18" s="233">
        <v>46088</v>
      </c>
      <c r="H18" s="214">
        <v>2567460397</v>
      </c>
      <c r="I18" s="214" t="s">
        <v>470</v>
      </c>
      <c r="J18" s="214" t="s">
        <v>434</v>
      </c>
      <c r="K18" s="214" t="s">
        <v>471</v>
      </c>
      <c r="L18" s="231" t="s">
        <v>157</v>
      </c>
      <c r="M18" s="215" t="str">
        <f>VLOOKUP($L18,Emp!$A:$F,2,0)</f>
        <v>SIJO VARGHESE GEORGE</v>
      </c>
      <c r="N18" s="215" t="str">
        <f>VLOOKUP($L18,Emp!$A:$F,3,0)</f>
        <v>PERUMBAVOOR</v>
      </c>
      <c r="O18" s="215" t="str">
        <f>VLOOKUP($L18,Emp!$A:$F,4,0)</f>
        <v>ARENA</v>
      </c>
      <c r="P18" s="214" t="s">
        <v>355</v>
      </c>
      <c r="Q18" s="56" t="s">
        <v>355</v>
      </c>
      <c r="R18" s="56" t="s">
        <v>355</v>
      </c>
      <c r="S18" s="56" t="s">
        <v>356</v>
      </c>
      <c r="T18" s="236" t="str">
        <f>IF(_xlfn.XLOOKUP(F18,IH!Y:Y,IH!AA:AA,"")="MAPPED","MAPPED","")</f>
        <v/>
      </c>
      <c r="U18" s="237" t="str">
        <f>IFERROR(VLOOKUP(H18,IH!C:T,18,0),"")</f>
        <v/>
      </c>
      <c r="V18" s="237" t="str">
        <f t="shared" si="1"/>
        <v/>
      </c>
      <c r="W18" s="221" t="str">
        <f>IFERROR(VLOOKUP(H18,IH!C:X,14,0),"")</f>
        <v/>
      </c>
      <c r="X18" s="215" t="str">
        <f>VLOOKUP($L18,Emp!$A:$F,5,0)</f>
        <v>SALMAN</v>
      </c>
      <c r="Y18" s="239" t="str">
        <f>VLOOKUP($H18,ERP!$H:$AP,33,0)</f>
        <v>NIGIL GEORGE(C23881),</v>
      </c>
      <c r="Z18" s="239" t="str">
        <f>VLOOKUP($H18,ERP!$H:$AP,34,0)</f>
        <v>SIJO VARGHESE GEORGE (PBVR)</v>
      </c>
    </row>
    <row r="19" hidden="1" customHeight="1" spans="1:26">
      <c r="A19" s="56">
        <v>18</v>
      </c>
      <c r="B19" s="214" t="s">
        <v>472</v>
      </c>
      <c r="C19" s="214" t="s">
        <v>473</v>
      </c>
      <c r="D19" s="214">
        <v>257240</v>
      </c>
      <c r="E19" s="214" t="s">
        <v>474</v>
      </c>
      <c r="F19" s="214" t="s">
        <v>475</v>
      </c>
      <c r="G19" s="233">
        <v>46088</v>
      </c>
      <c r="H19" s="214">
        <v>2567435685</v>
      </c>
      <c r="I19" s="214" t="s">
        <v>476</v>
      </c>
      <c r="J19" s="214" t="s">
        <v>477</v>
      </c>
      <c r="K19" s="214" t="s">
        <v>478</v>
      </c>
      <c r="L19" s="231" t="s">
        <v>166</v>
      </c>
      <c r="M19" s="215" t="str">
        <f>VLOOKUP($L19,Emp!$A:$F,2,0)</f>
        <v>JESTIN UTHUP JOHN</v>
      </c>
      <c r="N19" s="215" t="str">
        <f>VLOOKUP($L19,Emp!$A:$F,3,0)</f>
        <v>PIRAVOM</v>
      </c>
      <c r="O19" s="215" t="str">
        <f>VLOOKUP($L19,Emp!$A:$F,4,0)</f>
        <v>ARENA</v>
      </c>
      <c r="P19" s="214" t="s">
        <v>436</v>
      </c>
      <c r="Q19" s="56" t="s">
        <v>437</v>
      </c>
      <c r="R19" s="56" t="s">
        <v>51</v>
      </c>
      <c r="S19" s="56" t="s">
        <v>367</v>
      </c>
      <c r="T19" s="236" t="str">
        <f>IF(_xlfn.XLOOKUP(F19,IH!Y:Y,IH!AA:AA,"")="MAPPED","MAPPED","")</f>
        <v>MAPPED</v>
      </c>
      <c r="U19" s="237" t="str">
        <f>IFERROR(VLOOKUP(H19,IH!C:T,18,0),"")</f>
        <v>MSSF DISBURSED</v>
      </c>
      <c r="V19" s="237" t="str">
        <f t="shared" si="1"/>
        <v>DISBURSED</v>
      </c>
      <c r="W19" s="221">
        <f>IFERROR(VLOOKUP(H19,IH!C:X,14,0),"")</f>
        <v>46088</v>
      </c>
      <c r="X19" s="215" t="str">
        <f>VLOOKUP($L19,Emp!$A:$F,5,0)</f>
        <v>AMAL</v>
      </c>
      <c r="Y19" s="239" t="str">
        <f>VLOOKUP($H19,ERP!$H:$AP,33,0)</f>
        <v>MIRAJ K KAREEM (C26100),</v>
      </c>
      <c r="Z19" s="239" t="str">
        <f>VLOOKUP($H19,ERP!$H:$AP,34,0)</f>
        <v>JUSTIN UTHUP JOHN (PRVM)</v>
      </c>
    </row>
    <row r="20" hidden="1" customHeight="1" spans="1:26">
      <c r="A20" s="56">
        <v>19</v>
      </c>
      <c r="B20" s="214" t="s">
        <v>479</v>
      </c>
      <c r="C20" s="214" t="s">
        <v>480</v>
      </c>
      <c r="D20" s="214" t="s">
        <v>481</v>
      </c>
      <c r="E20" s="214">
        <v>1428231</v>
      </c>
      <c r="F20" s="214" t="s">
        <v>482</v>
      </c>
      <c r="G20" s="233">
        <v>46090</v>
      </c>
      <c r="H20" s="214">
        <v>2567348291</v>
      </c>
      <c r="I20" s="214" t="s">
        <v>483</v>
      </c>
      <c r="J20" s="214" t="s">
        <v>363</v>
      </c>
      <c r="K20" s="214" t="s">
        <v>364</v>
      </c>
      <c r="L20" s="231" t="s">
        <v>90</v>
      </c>
      <c r="M20" s="215" t="str">
        <f>VLOOKUP($L20,Emp!$A:$F,2,0)</f>
        <v>RATISH K R</v>
      </c>
      <c r="N20" s="215" t="str">
        <f>VLOOKUP($L20,Emp!$A:$F,3,0)</f>
        <v>KADAVANTHRA</v>
      </c>
      <c r="O20" s="215" t="str">
        <f>VLOOKUP($L20,Emp!$A:$F,4,0)</f>
        <v>ARENA</v>
      </c>
      <c r="P20" s="214" t="s">
        <v>365</v>
      </c>
      <c r="Q20" s="56" t="s">
        <v>366</v>
      </c>
      <c r="R20" s="56" t="s">
        <v>51</v>
      </c>
      <c r="S20" s="56" t="s">
        <v>367</v>
      </c>
      <c r="T20" s="236" t="str">
        <f>IF(_xlfn.XLOOKUP(F20,IH!Y:Y,IH!AA:AA,"")="MAPPED","MAPPED","")</f>
        <v/>
      </c>
      <c r="U20" s="237" t="s">
        <v>10</v>
      </c>
      <c r="V20" s="237" t="s">
        <v>368</v>
      </c>
      <c r="W20" s="221" t="s">
        <v>369</v>
      </c>
      <c r="X20" s="215" t="str">
        <f>VLOOKUP($L20,Emp!$A:$F,5,0)</f>
        <v>SALMAN</v>
      </c>
      <c r="Y20" s="239" t="str">
        <f>VLOOKUP($H20,ERP!$H:$AP,33,0)</f>
        <v>VINAY T V (C20769),</v>
      </c>
      <c r="Z20" s="239" t="str">
        <f>VLOOKUP($H20,ERP!$H:$AP,34,0)</f>
        <v>RATHEESH.K.R</v>
      </c>
    </row>
    <row r="21" hidden="1" customHeight="1" spans="1:26">
      <c r="A21" s="56">
        <v>20</v>
      </c>
      <c r="B21" s="214" t="s">
        <v>484</v>
      </c>
      <c r="C21" s="214" t="s">
        <v>485</v>
      </c>
      <c r="D21" s="214" t="s">
        <v>486</v>
      </c>
      <c r="E21" s="214">
        <v>9261102</v>
      </c>
      <c r="F21" s="214" t="s">
        <v>487</v>
      </c>
      <c r="G21" s="233">
        <v>46090</v>
      </c>
      <c r="H21" s="214">
        <v>2567497252</v>
      </c>
      <c r="I21" s="214" t="s">
        <v>488</v>
      </c>
      <c r="J21" s="214" t="s">
        <v>489</v>
      </c>
      <c r="K21" s="214" t="s">
        <v>490</v>
      </c>
      <c r="L21" s="203" t="s">
        <v>101</v>
      </c>
      <c r="M21" s="215" t="str">
        <f>VLOOKUP($L21,Emp!$A:$F,2,0)</f>
        <v>BINOY RAJ</v>
      </c>
      <c r="N21" s="215" t="str">
        <f>VLOOKUP($L21,Emp!$A:$F,3,0)</f>
        <v>KODUNGALLUR</v>
      </c>
      <c r="O21" s="215" t="str">
        <f>VLOOKUP($L21,Emp!$A:$F,4,0)</f>
        <v>ARENA</v>
      </c>
      <c r="P21" s="214" t="s">
        <v>491</v>
      </c>
      <c r="Q21" s="56" t="s">
        <v>492</v>
      </c>
      <c r="R21" s="56" t="s">
        <v>51</v>
      </c>
      <c r="S21" s="56" t="s">
        <v>356</v>
      </c>
      <c r="T21" s="236" t="str">
        <f>IF(_xlfn.XLOOKUP(F21,IH!Y:Y,IH!AA:AA,"")="MAPPED","MAPPED","")</f>
        <v/>
      </c>
      <c r="U21" s="237" t="str">
        <f>IFERROR(VLOOKUP(H21,IH!C:T,18,0),"")</f>
        <v>NO</v>
      </c>
      <c r="V21" s="237" t="str">
        <f t="shared" si="1"/>
        <v>DISBURSED</v>
      </c>
      <c r="W21" s="221">
        <f>IFERROR(VLOOKUP(H21,IH!C:X,14,0),"")</f>
        <v>46088</v>
      </c>
      <c r="X21" s="215" t="str">
        <f>VLOOKUP($L21,Emp!$A:$F,5,0)</f>
        <v>JINEESH</v>
      </c>
      <c r="Y21" s="239" t="str">
        <f>VLOOKUP($H21,ERP!$H:$AP,33,0)</f>
        <v>NIKESH KRISHNA P S (C25381),</v>
      </c>
      <c r="Z21" s="239" t="str">
        <f>VLOOKUP($H21,ERP!$H:$AP,34,0)</f>
        <v>BINOY(KDLR)</v>
      </c>
    </row>
    <row r="22" hidden="1" customHeight="1" spans="1:26">
      <c r="A22" s="56">
        <v>21</v>
      </c>
      <c r="B22" s="214" t="s">
        <v>493</v>
      </c>
      <c r="C22" s="214" t="s">
        <v>494</v>
      </c>
      <c r="D22" s="214" t="s">
        <v>495</v>
      </c>
      <c r="E22" s="214" t="s">
        <v>496</v>
      </c>
      <c r="F22" s="214" t="s">
        <v>497</v>
      </c>
      <c r="G22" s="233">
        <v>46090</v>
      </c>
      <c r="H22" s="214">
        <v>2567243043</v>
      </c>
      <c r="I22" s="214" t="s">
        <v>498</v>
      </c>
      <c r="J22" s="214" t="s">
        <v>363</v>
      </c>
      <c r="K22" s="214" t="s">
        <v>364</v>
      </c>
      <c r="L22" s="231" t="s">
        <v>177</v>
      </c>
      <c r="M22" s="215" t="str">
        <f>VLOOKUP($L22,Emp!$A:$F,2,0)</f>
        <v>PRANOOB V NAIR</v>
      </c>
      <c r="N22" s="215" t="str">
        <f>VLOOKUP($L22,Emp!$A:$F,3,0)</f>
        <v>TRIPPUNITHURA</v>
      </c>
      <c r="O22" s="215" t="str">
        <f>VLOOKUP($L22,Emp!$A:$F,4,0)</f>
        <v>ARENA</v>
      </c>
      <c r="P22" s="214" t="s">
        <v>355</v>
      </c>
      <c r="Q22" s="56" t="s">
        <v>355</v>
      </c>
      <c r="R22" s="56" t="s">
        <v>355</v>
      </c>
      <c r="S22" s="56" t="s">
        <v>356</v>
      </c>
      <c r="T22" s="236" t="str">
        <f>IF(_xlfn.XLOOKUP(F22,IH!Y:Y,IH!AA:AA,"")="MAPPED","MAPPED","")</f>
        <v/>
      </c>
      <c r="U22" s="237" t="str">
        <f>IFERROR(VLOOKUP(H22,IH!C:T,18,0),"")</f>
        <v/>
      </c>
      <c r="V22" s="237" t="str">
        <f t="shared" si="1"/>
        <v/>
      </c>
      <c r="W22" s="221" t="str">
        <f>IFERROR(VLOOKUP(H22,IH!C:X,14,0),"")</f>
        <v/>
      </c>
      <c r="X22" s="215" t="str">
        <f>VLOOKUP($L22,Emp!$A:$F,5,0)</f>
        <v>SIVAPRASAD</v>
      </c>
      <c r="Y22" s="239" t="str">
        <f>VLOOKUP($H22,ERP!$H:$AP,33,0)</f>
        <v>RATHEESH K B,</v>
      </c>
      <c r="Z22" s="239" t="str">
        <f>VLOOKUP($H22,ERP!$H:$AP,34,0)</f>
        <v>PRANOOB V (TPRA)</v>
      </c>
    </row>
    <row r="23" hidden="1" customHeight="1" spans="1:26">
      <c r="A23" s="56">
        <v>22</v>
      </c>
      <c r="B23" s="214" t="s">
        <v>499</v>
      </c>
      <c r="C23" s="214" t="s">
        <v>500</v>
      </c>
      <c r="D23" s="214" t="s">
        <v>501</v>
      </c>
      <c r="E23" s="214">
        <v>7934235</v>
      </c>
      <c r="F23" s="214" t="s">
        <v>502</v>
      </c>
      <c r="G23" s="233">
        <v>46090</v>
      </c>
      <c r="H23" s="214">
        <v>2567483180</v>
      </c>
      <c r="I23" s="214" t="s">
        <v>503</v>
      </c>
      <c r="J23" s="214" t="s">
        <v>504</v>
      </c>
      <c r="K23" s="214" t="s">
        <v>505</v>
      </c>
      <c r="L23" s="231" t="s">
        <v>251</v>
      </c>
      <c r="M23" s="215" t="str">
        <f>VLOOKUP($L23,Emp!$A:$F,2,0)</f>
        <v>VIBIN I B</v>
      </c>
      <c r="N23" s="215" t="str">
        <f>VLOOKUP($L23,Emp!$A:$F,3,0)</f>
        <v>KAIPAMANGALAM</v>
      </c>
      <c r="O23" s="215" t="str">
        <f>VLOOKUP($L23,Emp!$A:$F,4,0)</f>
        <v>STUDIO</v>
      </c>
      <c r="P23" s="214" t="s">
        <v>506</v>
      </c>
      <c r="Q23" s="56" t="s">
        <v>507</v>
      </c>
      <c r="R23" s="56" t="s">
        <v>51</v>
      </c>
      <c r="S23" s="56" t="s">
        <v>367</v>
      </c>
      <c r="T23" s="236" t="str">
        <f>IF(_xlfn.XLOOKUP(F23,IH!Y:Y,IH!AA:AA,"")="MAPPED","MAPPED","")</f>
        <v/>
      </c>
      <c r="U23" s="237" t="str">
        <f>IFERROR(VLOOKUP(H23,IH!C:T,18,0),"")</f>
        <v>MSSF DISBURSED</v>
      </c>
      <c r="V23" s="237" t="str">
        <f t="shared" si="1"/>
        <v>DISBURSED</v>
      </c>
      <c r="W23" s="221">
        <f>IFERROR(VLOOKUP(H23,IH!C:X,14,0),"")</f>
        <v>46087</v>
      </c>
      <c r="X23" s="215" t="str">
        <f>VLOOKUP($L23,Emp!$A:$F,5,0)</f>
        <v>JINEESH</v>
      </c>
      <c r="Y23" s="239" t="str">
        <f>VLOOKUP($H23,ERP!$H:$AP,33,0)</f>
        <v>RAGIL N R(C26613),</v>
      </c>
      <c r="Z23" s="239" t="str">
        <f>VLOOKUP($H23,ERP!$H:$AP,34,0)</f>
        <v>VIBIN I B(KPLM)</v>
      </c>
    </row>
    <row r="24" hidden="1" customHeight="1" spans="1:26">
      <c r="A24" s="56">
        <v>23</v>
      </c>
      <c r="B24" s="214" t="s">
        <v>508</v>
      </c>
      <c r="C24" s="214" t="s">
        <v>509</v>
      </c>
      <c r="D24" s="214" t="s">
        <v>510</v>
      </c>
      <c r="E24" s="214" t="s">
        <v>511</v>
      </c>
      <c r="F24" s="214" t="s">
        <v>512</v>
      </c>
      <c r="G24" s="233">
        <v>46090</v>
      </c>
      <c r="H24" s="214">
        <v>2567354817</v>
      </c>
      <c r="I24" s="214" t="s">
        <v>513</v>
      </c>
      <c r="J24" s="214" t="s">
        <v>363</v>
      </c>
      <c r="K24" s="214" t="s">
        <v>364</v>
      </c>
      <c r="L24" s="231" t="s">
        <v>75</v>
      </c>
      <c r="M24" s="215" t="str">
        <f>VLOOKUP($L24,Emp!$A:$F,2,0)</f>
        <v>NOUFAL T A</v>
      </c>
      <c r="N24" s="215" t="str">
        <f>VLOOKUP($L24,Emp!$A:$F,3,0)</f>
        <v>EDAPPALLY</v>
      </c>
      <c r="O24" s="215" t="str">
        <f>VLOOKUP($L24,Emp!$A:$F,4,0)</f>
        <v>ARENA</v>
      </c>
      <c r="P24" s="214" t="s">
        <v>417</v>
      </c>
      <c r="Q24" s="56" t="s">
        <v>366</v>
      </c>
      <c r="R24" s="56" t="s">
        <v>51</v>
      </c>
      <c r="S24" s="56" t="s">
        <v>367</v>
      </c>
      <c r="T24" s="236" t="str">
        <f>IF(_xlfn.XLOOKUP(F24,IH!Y:Y,IH!AA:AA,"")="MAPPED","MAPPED","")</f>
        <v>MAPPED</v>
      </c>
      <c r="U24" s="237" t="str">
        <f>IFERROR(VLOOKUP(H24,IH!C:T,18,0),"")</f>
        <v>MSSF DISBURSED</v>
      </c>
      <c r="V24" s="237" t="str">
        <f t="shared" si="1"/>
        <v>DISBURSED</v>
      </c>
      <c r="W24" s="221">
        <f>IFERROR(VLOOKUP(H24,IH!C:X,14,0),"")</f>
        <v>46088</v>
      </c>
      <c r="X24" s="215" t="str">
        <f>VLOOKUP($L24,Emp!$A:$F,5,0)</f>
        <v>SIVAPRASAD</v>
      </c>
      <c r="Y24" s="239" t="str">
        <f>VLOOKUP($H24,ERP!$H:$AP,33,0)</f>
        <v>SREENATH R PRABHU (C23391),</v>
      </c>
      <c r="Z24" s="239" t="str">
        <f>VLOOKUP($H24,ERP!$H:$AP,34,0)</f>
        <v>MANU SASI</v>
      </c>
    </row>
    <row r="25" hidden="1" customHeight="1" spans="1:26">
      <c r="A25" s="56">
        <v>24</v>
      </c>
      <c r="B25" s="214" t="s">
        <v>514</v>
      </c>
      <c r="C25" s="214" t="s">
        <v>515</v>
      </c>
      <c r="D25" s="214" t="s">
        <v>516</v>
      </c>
      <c r="E25" s="214" t="s">
        <v>517</v>
      </c>
      <c r="F25" s="214" t="s">
        <v>518</v>
      </c>
      <c r="G25" s="233">
        <v>46090</v>
      </c>
      <c r="H25" s="214">
        <v>2566948355</v>
      </c>
      <c r="I25" s="214" t="s">
        <v>519</v>
      </c>
      <c r="J25" s="214" t="s">
        <v>489</v>
      </c>
      <c r="K25" s="214" t="s">
        <v>520</v>
      </c>
      <c r="L25" s="231" t="s">
        <v>226</v>
      </c>
      <c r="M25" s="215" t="str">
        <f>VLOOKUP($L25,Emp!$A:$F,2,0)</f>
        <v>RATISH K R</v>
      </c>
      <c r="N25" s="215" t="str">
        <f>VLOOKUP($L25,Emp!$A:$F,3,0)</f>
        <v>KADAVANTHRA</v>
      </c>
      <c r="O25" s="215" t="str">
        <f>VLOOKUP($L25,Emp!$A:$F,4,0)</f>
        <v>ARENA</v>
      </c>
      <c r="P25" s="214" t="s">
        <v>456</v>
      </c>
      <c r="Q25" s="56" t="s">
        <v>457</v>
      </c>
      <c r="R25" s="56" t="s">
        <v>51</v>
      </c>
      <c r="S25" s="56" t="s">
        <v>367</v>
      </c>
      <c r="T25" s="236" t="str">
        <f>IF(_xlfn.XLOOKUP(F25,IH!Y:Y,IH!AA:AA,"")="MAPPED","MAPPED","")</f>
        <v/>
      </c>
      <c r="U25" s="237" t="str">
        <f>IFERROR(VLOOKUP(H25,IH!C:T,18,0),"")</f>
        <v>MSSF DISBURSED</v>
      </c>
      <c r="V25" s="237" t="str">
        <f t="shared" si="1"/>
        <v>DISBURSED</v>
      </c>
      <c r="W25" s="221">
        <f>IFERROR(VLOOKUP(H25,IH!C:X,14,0),"")</f>
        <v>46092</v>
      </c>
      <c r="X25" s="215" t="str">
        <f>VLOOKUP($L25,Emp!$A:$F,5,0)</f>
        <v>SALMAN</v>
      </c>
      <c r="Y25" s="239" t="str">
        <f>VLOOKUP($H25,ERP!$H:$AP,33,0)</f>
        <v>ALBIN MARTIN (C26561),</v>
      </c>
      <c r="Z25" s="239" t="str">
        <f>VLOOKUP($H25,ERP!$H:$AP,34,0)</f>
        <v>RATHEESH.K.R</v>
      </c>
    </row>
    <row r="26" hidden="1" customHeight="1" spans="1:26">
      <c r="A26" s="56">
        <v>25</v>
      </c>
      <c r="B26" s="214" t="s">
        <v>521</v>
      </c>
      <c r="C26" s="214" t="s">
        <v>522</v>
      </c>
      <c r="D26" s="214" t="s">
        <v>523</v>
      </c>
      <c r="E26" s="214" t="s">
        <v>524</v>
      </c>
      <c r="F26" s="214" t="s">
        <v>525</v>
      </c>
      <c r="G26" s="233">
        <v>46090</v>
      </c>
      <c r="H26" s="214">
        <v>2566534647</v>
      </c>
      <c r="I26" s="214" t="s">
        <v>526</v>
      </c>
      <c r="J26" s="214" t="s">
        <v>489</v>
      </c>
      <c r="K26" s="214" t="s">
        <v>520</v>
      </c>
      <c r="L26" s="231" t="s">
        <v>213</v>
      </c>
      <c r="M26" s="215" t="str">
        <f>VLOOKUP($L26,Emp!$A:$F,2,0)</f>
        <v>SIVAPRAKASH K S</v>
      </c>
      <c r="N26" s="215" t="str">
        <f>VLOOKUP($L26,Emp!$A:$F,3,0)</f>
        <v>THRISSUR</v>
      </c>
      <c r="O26" s="215" t="str">
        <f>VLOOKUP($L26,Emp!$A:$F,4,0)</f>
        <v>ARENA</v>
      </c>
      <c r="P26" s="214" t="s">
        <v>491</v>
      </c>
      <c r="Q26" s="56" t="s">
        <v>492</v>
      </c>
      <c r="R26" s="56" t="s">
        <v>51</v>
      </c>
      <c r="S26" s="56" t="s">
        <v>356</v>
      </c>
      <c r="T26" s="236" t="str">
        <f>IF(_xlfn.XLOOKUP(F26,IH!Y:Y,IH!AA:AA,"")="MAPPED","MAPPED","")</f>
        <v/>
      </c>
      <c r="U26" s="237" t="str">
        <f>IFERROR(VLOOKUP(H26,IH!C:T,18,0),"")</f>
        <v>NO</v>
      </c>
      <c r="V26" s="237" t="str">
        <f t="shared" si="1"/>
        <v>DISBURSED</v>
      </c>
      <c r="W26" s="221">
        <f>IFERROR(VLOOKUP(H26,IH!C:X,14,0),"")</f>
        <v>46087</v>
      </c>
      <c r="X26" s="215" t="str">
        <f>VLOOKUP($L26,Emp!$A:$F,5,0)</f>
        <v>SINTO</v>
      </c>
      <c r="Y26" s="239" t="str">
        <f>VLOOKUP($H26,ERP!$H:$AP,33,0)</f>
        <v>SANJAY.M.G(C26392),</v>
      </c>
      <c r="Z26" s="239" t="str">
        <f>VLOOKUP($H26,ERP!$H:$AP,34,0)</f>
        <v>SIVAPRAKASH K.S.(TCR)</v>
      </c>
    </row>
    <row r="27" hidden="1" customHeight="1" spans="1:26">
      <c r="A27" s="56">
        <v>26</v>
      </c>
      <c r="B27" s="214" t="s">
        <v>527</v>
      </c>
      <c r="C27" s="214" t="s">
        <v>528</v>
      </c>
      <c r="D27" s="214" t="s">
        <v>529</v>
      </c>
      <c r="E27" s="214">
        <v>4578574</v>
      </c>
      <c r="F27" s="214" t="s">
        <v>530</v>
      </c>
      <c r="G27" s="233">
        <v>46090</v>
      </c>
      <c r="H27" s="214">
        <v>2567445237</v>
      </c>
      <c r="I27" s="214" t="s">
        <v>531</v>
      </c>
      <c r="J27" s="214" t="s">
        <v>532</v>
      </c>
      <c r="K27" s="214" t="s">
        <v>533</v>
      </c>
      <c r="L27" s="231" t="s">
        <v>157</v>
      </c>
      <c r="M27" s="215" t="str">
        <f>VLOOKUP($L27,Emp!$A:$F,2,0)</f>
        <v>SIJO VARGHESE GEORGE</v>
      </c>
      <c r="N27" s="215" t="str">
        <f>VLOOKUP($L27,Emp!$A:$F,3,0)</f>
        <v>PERUMBAVOOR</v>
      </c>
      <c r="O27" s="215" t="str">
        <f>VLOOKUP($L27,Emp!$A:$F,4,0)</f>
        <v>ARENA</v>
      </c>
      <c r="P27" s="214" t="s">
        <v>456</v>
      </c>
      <c r="Q27" s="56" t="s">
        <v>457</v>
      </c>
      <c r="R27" s="56" t="s">
        <v>51</v>
      </c>
      <c r="S27" s="56" t="s">
        <v>367</v>
      </c>
      <c r="T27" s="236" t="str">
        <f>IF(_xlfn.XLOOKUP(F27,IH!Y:Y,IH!AA:AA,"")="MAPPED","MAPPED","")</f>
        <v/>
      </c>
      <c r="U27" s="237" t="str">
        <f>IFERROR(VLOOKUP(H27,IH!C:T,18,0),"")</f>
        <v>MSSF DISBURSED</v>
      </c>
      <c r="V27" s="237" t="str">
        <f t="shared" si="1"/>
        <v>DISBURSED</v>
      </c>
      <c r="W27" s="221">
        <f>IFERROR(VLOOKUP(H27,IH!C:X,14,0),"")</f>
        <v>46088</v>
      </c>
      <c r="X27" s="215" t="str">
        <f>VLOOKUP($L27,Emp!$A:$F,5,0)</f>
        <v>SALMAN</v>
      </c>
      <c r="Y27" s="239" t="str">
        <f>VLOOKUP($H27,ERP!$H:$AP,33,0)</f>
        <v>NIGIL GEORGE(C23881),</v>
      </c>
      <c r="Z27" s="239" t="str">
        <f>VLOOKUP($H27,ERP!$H:$AP,34,0)</f>
        <v>SIJO VARGHESE GEORGE (PBVR)</v>
      </c>
    </row>
    <row r="28" hidden="1" customHeight="1" spans="1:26">
      <c r="A28" s="56">
        <v>27</v>
      </c>
      <c r="B28" s="214" t="s">
        <v>534</v>
      </c>
      <c r="C28" s="214" t="s">
        <v>535</v>
      </c>
      <c r="D28" s="214" t="s">
        <v>536</v>
      </c>
      <c r="E28" s="214">
        <v>4563880</v>
      </c>
      <c r="F28" s="214" t="s">
        <v>537</v>
      </c>
      <c r="G28" s="233">
        <v>46091</v>
      </c>
      <c r="H28" s="214">
        <v>2567479764</v>
      </c>
      <c r="I28" s="214" t="s">
        <v>538</v>
      </c>
      <c r="J28" s="214" t="s">
        <v>532</v>
      </c>
      <c r="K28" s="214" t="s">
        <v>539</v>
      </c>
      <c r="L28" s="231" t="s">
        <v>114</v>
      </c>
      <c r="M28" s="215" t="str">
        <f>VLOOKUP($L28,Emp!$A:$F,2,0)</f>
        <v>ANAND K V</v>
      </c>
      <c r="N28" s="215" t="str">
        <f>VLOOKUP($L28,Emp!$A:$F,3,0)</f>
        <v>KOLENCHERY</v>
      </c>
      <c r="O28" s="215" t="str">
        <f>VLOOKUP($L28,Emp!$A:$F,4,0)</f>
        <v>ARENA</v>
      </c>
      <c r="P28" s="214" t="s">
        <v>540</v>
      </c>
      <c r="Q28" s="56" t="s">
        <v>457</v>
      </c>
      <c r="R28" s="56" t="s">
        <v>51</v>
      </c>
      <c r="S28" s="56" t="s">
        <v>367</v>
      </c>
      <c r="T28" s="236" t="str">
        <f>IF(_xlfn.XLOOKUP(F28,IH!Y:Y,IH!AA:AA,"")="MAPPED","MAPPED","")</f>
        <v>MAPPED</v>
      </c>
      <c r="U28" s="237" t="str">
        <f>IFERROR(VLOOKUP(H28,IH!C:T,18,0),"")</f>
        <v>MSSF DISBURSED</v>
      </c>
      <c r="V28" s="237" t="str">
        <f t="shared" si="1"/>
        <v>DISBURSED</v>
      </c>
      <c r="W28" s="221">
        <f>IFERROR(VLOOKUP(H28,IH!C:X,14,0),"")</f>
        <v>46091</v>
      </c>
      <c r="X28" s="215" t="str">
        <f>VLOOKUP($L28,Emp!$A:$F,5,0)</f>
        <v>AMAL</v>
      </c>
      <c r="Y28" s="239" t="str">
        <f>VLOOKUP($H28,ERP!$H:$AP,33,0)</f>
        <v>SOORAJ K S (C24979),</v>
      </c>
      <c r="Z28" s="239" t="str">
        <f>VLOOKUP($H28,ERP!$H:$AP,34,0)</f>
        <v>NA</v>
      </c>
    </row>
    <row r="29" hidden="1" customHeight="1" spans="1:26">
      <c r="A29" s="56">
        <v>28</v>
      </c>
      <c r="B29" s="214" t="s">
        <v>541</v>
      </c>
      <c r="C29" s="214" t="s">
        <v>542</v>
      </c>
      <c r="D29" s="214" t="s">
        <v>543</v>
      </c>
      <c r="E29" s="214" t="s">
        <v>544</v>
      </c>
      <c r="F29" s="214" t="s">
        <v>545</v>
      </c>
      <c r="G29" s="233">
        <v>46091</v>
      </c>
      <c r="H29" s="214">
        <v>2567527116</v>
      </c>
      <c r="I29" s="214" t="s">
        <v>546</v>
      </c>
      <c r="J29" s="214" t="s">
        <v>363</v>
      </c>
      <c r="K29" s="214" t="s">
        <v>364</v>
      </c>
      <c r="L29" s="231" t="s">
        <v>189</v>
      </c>
      <c r="M29" s="215" t="str">
        <f>VLOOKUP($L29,Emp!$A:$F,2,0)</f>
        <v>KASI VISWANATH</v>
      </c>
      <c r="N29" s="215" t="str">
        <f>VLOOKUP($L29,Emp!$A:$F,3,0)</f>
        <v>KAIPAMANGALAM</v>
      </c>
      <c r="O29" s="215" t="str">
        <f>VLOOKUP($L29,Emp!$A:$F,4,0)</f>
        <v>ARENA</v>
      </c>
      <c r="P29" s="214" t="s">
        <v>355</v>
      </c>
      <c r="Q29" s="56" t="s">
        <v>457</v>
      </c>
      <c r="R29" s="56" t="s">
        <v>51</v>
      </c>
      <c r="S29" s="56" t="s">
        <v>367</v>
      </c>
      <c r="T29" s="236" t="str">
        <f>IF(_xlfn.XLOOKUP(F29,IH!Y:Y,IH!AA:AA,"")="MAPPED","MAPPED","")</f>
        <v>MAPPED</v>
      </c>
      <c r="U29" s="237" t="str">
        <f>IFERROR(VLOOKUP(H29,IH!C:T,18,0),"")</f>
        <v>MSSF DISBURSED</v>
      </c>
      <c r="V29" s="237" t="str">
        <f t="shared" si="1"/>
        <v>DISBURSED</v>
      </c>
      <c r="W29" s="221">
        <f>IFERROR(VLOOKUP(H29,IH!C:X,14,0),"")</f>
        <v>46093</v>
      </c>
      <c r="X29" s="215" t="str">
        <f>VLOOKUP($L29,Emp!$A:$F,5,0)</f>
        <v>JINEESH</v>
      </c>
      <c r="Y29" s="239" t="str">
        <f>VLOOKUP($H29,ERP!$H:$AP,33,0)</f>
        <v>JITHIN K ANAND(C26246),</v>
      </c>
      <c r="Z29" s="239" t="str">
        <f>VLOOKUP($H29,ERP!$H:$AP,34,0)</f>
        <v>KASI VISWANATH K M</v>
      </c>
    </row>
    <row r="30" hidden="1" customHeight="1" spans="1:26">
      <c r="A30" s="56">
        <v>29</v>
      </c>
      <c r="B30" s="214" t="s">
        <v>547</v>
      </c>
      <c r="C30" s="214" t="s">
        <v>548</v>
      </c>
      <c r="D30" s="214" t="s">
        <v>549</v>
      </c>
      <c r="E30" s="214">
        <v>1428539</v>
      </c>
      <c r="F30" s="214" t="s">
        <v>550</v>
      </c>
      <c r="G30" s="233">
        <v>46091</v>
      </c>
      <c r="H30" s="214">
        <v>2567368472</v>
      </c>
      <c r="I30" s="214" t="s">
        <v>551</v>
      </c>
      <c r="J30" s="214" t="s">
        <v>363</v>
      </c>
      <c r="K30" s="214" t="s">
        <v>364</v>
      </c>
      <c r="L30" s="231" t="s">
        <v>172</v>
      </c>
      <c r="M30" s="215" t="str">
        <f>VLOOKUP($L30,Emp!$A:$F,2,0)</f>
        <v>SIVAPRAKASH K S</v>
      </c>
      <c r="N30" s="215" t="str">
        <f>VLOOKUP($L30,Emp!$A:$F,3,0)</f>
        <v>THRISSUR</v>
      </c>
      <c r="O30" s="215" t="str">
        <f>VLOOKUP($L30,Emp!$A:$F,4,0)</f>
        <v>ARENA</v>
      </c>
      <c r="P30" s="214" t="s">
        <v>552</v>
      </c>
      <c r="Q30" s="56" t="s">
        <v>553</v>
      </c>
      <c r="R30" s="56" t="s">
        <v>51</v>
      </c>
      <c r="S30" s="56" t="s">
        <v>367</v>
      </c>
      <c r="T30" s="236" t="str">
        <f>IF(_xlfn.XLOOKUP(F30,IH!Y:Y,IH!AA:AA,"")="MAPPED","MAPPED","")</f>
        <v>MAPPED</v>
      </c>
      <c r="U30" s="237" t="str">
        <f>IFERROR(VLOOKUP(H30,IH!C:T,18,0),"")</f>
        <v>MSSF DISBURSED</v>
      </c>
      <c r="V30" s="237" t="str">
        <f t="shared" si="1"/>
        <v>DISBURSED</v>
      </c>
      <c r="W30" s="221">
        <f>IFERROR(VLOOKUP(H30,IH!C:X,14,0),"")</f>
        <v>46092</v>
      </c>
      <c r="X30" s="215" t="str">
        <f>VLOOKUP($L30,Emp!$A:$F,5,0)</f>
        <v>SINTO</v>
      </c>
      <c r="Y30" s="239" t="str">
        <f>VLOOKUP($H30,ERP!$H:$AP,33,0)</f>
        <v>NA</v>
      </c>
      <c r="Z30" s="239" t="str">
        <f>VLOOKUP($H30,ERP!$H:$AP,34,0)</f>
        <v>NA</v>
      </c>
    </row>
    <row r="31" hidden="1" customHeight="1" spans="1:26">
      <c r="A31" s="56">
        <v>30</v>
      </c>
      <c r="B31" s="214" t="s">
        <v>554</v>
      </c>
      <c r="C31" s="214" t="s">
        <v>555</v>
      </c>
      <c r="D31" s="214" t="s">
        <v>556</v>
      </c>
      <c r="E31" s="214">
        <v>4575397</v>
      </c>
      <c r="F31" s="214" t="s">
        <v>557</v>
      </c>
      <c r="G31" s="233">
        <v>46091</v>
      </c>
      <c r="H31" s="214">
        <v>2566648961</v>
      </c>
      <c r="I31" s="214" t="s">
        <v>558</v>
      </c>
      <c r="J31" s="214" t="s">
        <v>532</v>
      </c>
      <c r="K31" s="214" t="s">
        <v>533</v>
      </c>
      <c r="L31" s="231" t="s">
        <v>91</v>
      </c>
      <c r="M31" s="215" t="str">
        <f>VLOOKUP($L31,Emp!$A:$F,2,0)</f>
        <v>SMITHIN P S</v>
      </c>
      <c r="N31" s="215" t="str">
        <f>VLOOKUP($L31,Emp!$A:$F,3,0)</f>
        <v>KAIPAMANGALAM</v>
      </c>
      <c r="O31" s="215" t="str">
        <f>VLOOKUP($L31,Emp!$A:$F,4,0)</f>
        <v>ARENA</v>
      </c>
      <c r="P31" s="214" t="s">
        <v>436</v>
      </c>
      <c r="Q31" s="56" t="s">
        <v>437</v>
      </c>
      <c r="R31" s="56" t="s">
        <v>51</v>
      </c>
      <c r="S31" s="56" t="s">
        <v>367</v>
      </c>
      <c r="T31" s="236" t="s">
        <v>559</v>
      </c>
      <c r="U31" s="237" t="s">
        <v>10</v>
      </c>
      <c r="V31" s="237" t="s">
        <v>368</v>
      </c>
      <c r="W31" s="221" t="s">
        <v>369</v>
      </c>
      <c r="X31" s="215" t="str">
        <f>VLOOKUP($L31,Emp!$A:$F,5,0)</f>
        <v>JINEESH</v>
      </c>
      <c r="Y31" s="239" t="str">
        <f>VLOOKUP($H31,ERP!$H:$AP,33,0)</f>
        <v>ANADAKRISHANAN P A (C25203),</v>
      </c>
      <c r="Z31" s="239" t="str">
        <f>VLOOKUP($H31,ERP!$H:$AP,34,0)</f>
        <v>SMITHIN (KPLM)</v>
      </c>
    </row>
    <row r="32" hidden="1" customHeight="1" spans="1:26">
      <c r="A32" s="56">
        <v>31</v>
      </c>
      <c r="B32" s="214" t="s">
        <v>560</v>
      </c>
      <c r="C32" s="214" t="s">
        <v>561</v>
      </c>
      <c r="D32" s="214" t="s">
        <v>562</v>
      </c>
      <c r="E32" s="214">
        <v>9259943</v>
      </c>
      <c r="F32" s="214" t="s">
        <v>563</v>
      </c>
      <c r="G32" s="233">
        <v>46091</v>
      </c>
      <c r="H32" s="214">
        <v>2566876238</v>
      </c>
      <c r="I32" s="214" t="s">
        <v>564</v>
      </c>
      <c r="J32" s="214" t="s">
        <v>489</v>
      </c>
      <c r="K32" s="214" t="s">
        <v>565</v>
      </c>
      <c r="L32" s="231" t="s">
        <v>118</v>
      </c>
      <c r="M32" s="215" t="str">
        <f>VLOOKUP($L32,Emp!$A:$F,2,0)</f>
        <v>ARUN BABU</v>
      </c>
      <c r="N32" s="215" t="str">
        <f>VLOOKUP($L32,Emp!$A:$F,3,0)</f>
        <v>KOOTHATTUKULAM</v>
      </c>
      <c r="O32" s="215" t="str">
        <f>VLOOKUP($L32,Emp!$A:$F,4,0)</f>
        <v>ARENA</v>
      </c>
      <c r="P32" s="214" t="s">
        <v>355</v>
      </c>
      <c r="Q32" s="56" t="s">
        <v>355</v>
      </c>
      <c r="R32" s="56" t="s">
        <v>355</v>
      </c>
      <c r="S32" s="56" t="s">
        <v>356</v>
      </c>
      <c r="T32" s="236" t="str">
        <f>IF(_xlfn.XLOOKUP(F32,IH!Y:Y,IH!AA:AA,"")="MAPPED","MAPPED","")</f>
        <v/>
      </c>
      <c r="U32" s="237" t="str">
        <f>IFERROR(VLOOKUP(H32,IH!C:T,18,0),"")</f>
        <v/>
      </c>
      <c r="V32" s="237" t="str">
        <f>IF(W32&lt;&gt;"","DISBURSED","")</f>
        <v/>
      </c>
      <c r="W32" s="221" t="str">
        <f>IFERROR(VLOOKUP(H32,IH!C:X,14,0),"")</f>
        <v/>
      </c>
      <c r="X32" s="215" t="str">
        <f>VLOOKUP($L32,Emp!$A:$F,5,0)</f>
        <v>AMAL</v>
      </c>
      <c r="Y32" s="239" t="str">
        <f>VLOOKUP($H32,ERP!$H:$AP,33,0)</f>
        <v>SAJIN T.S.(C20798),</v>
      </c>
      <c r="Z32" s="239" t="str">
        <f>VLOOKUP($H32,ERP!$H:$AP,34,0)</f>
        <v>ARUN BABU(KTLM)</v>
      </c>
    </row>
    <row r="33" hidden="1" customHeight="1" spans="1:26">
      <c r="A33" s="56">
        <v>32</v>
      </c>
      <c r="B33" s="214" t="s">
        <v>566</v>
      </c>
      <c r="C33" s="214" t="s">
        <v>567</v>
      </c>
      <c r="D33" s="214">
        <v>472765</v>
      </c>
      <c r="E33" s="214" t="s">
        <v>568</v>
      </c>
      <c r="F33" s="214" t="s">
        <v>569</v>
      </c>
      <c r="G33" s="233">
        <v>46092</v>
      </c>
      <c r="H33" s="214">
        <v>2567529834</v>
      </c>
      <c r="I33" s="214" t="s">
        <v>570</v>
      </c>
      <c r="J33" s="214" t="s">
        <v>434</v>
      </c>
      <c r="K33" s="214" t="s">
        <v>571</v>
      </c>
      <c r="L33" s="231" t="s">
        <v>91</v>
      </c>
      <c r="M33" s="215" t="str">
        <f>VLOOKUP($L33,Emp!$A:$F,2,0)</f>
        <v>SMITHIN P S</v>
      </c>
      <c r="N33" s="215" t="str">
        <f>VLOOKUP($L33,Emp!$A:$F,3,0)</f>
        <v>KAIPAMANGALAM</v>
      </c>
      <c r="O33" s="215" t="str">
        <f>VLOOKUP($L33,Emp!$A:$F,4,0)</f>
        <v>ARENA</v>
      </c>
      <c r="P33" s="214" t="s">
        <v>572</v>
      </c>
      <c r="Q33" s="56" t="s">
        <v>377</v>
      </c>
      <c r="R33" s="56" t="s">
        <v>378</v>
      </c>
      <c r="S33" s="56" t="s">
        <v>356</v>
      </c>
      <c r="T33" s="236" t="str">
        <f>IF(_xlfn.XLOOKUP(F33,IH!Y:Y,IH!AA:AA,"")="MAPPED","MAPPED","")</f>
        <v/>
      </c>
      <c r="U33" s="237" t="str">
        <f>IFERROR(VLOOKUP(H33,IH!C:T,18,0),"")</f>
        <v/>
      </c>
      <c r="V33" s="237" t="str">
        <f>IF(W33&lt;&gt;"","DISBURSED","")</f>
        <v/>
      </c>
      <c r="W33" s="221" t="str">
        <f>IFERROR(VLOOKUP(H33,IH!C:X,14,0),"")</f>
        <v/>
      </c>
      <c r="X33" s="215" t="str">
        <f>VLOOKUP($L33,Emp!$A:$F,5,0)</f>
        <v>JINEESH</v>
      </c>
      <c r="Y33" s="239" t="str">
        <f>VLOOKUP($H33,ERP!$H:$AP,33,0)</f>
        <v>ANADAKRISHANAN P A (C25203),</v>
      </c>
      <c r="Z33" s="239" t="str">
        <f>VLOOKUP($H33,ERP!$H:$AP,34,0)</f>
        <v>SMITHIN (KPLM)</v>
      </c>
    </row>
    <row r="34" hidden="1" customHeight="1" spans="1:26">
      <c r="A34" s="56">
        <v>33</v>
      </c>
      <c r="B34" s="214" t="s">
        <v>573</v>
      </c>
      <c r="C34" s="214" t="s">
        <v>574</v>
      </c>
      <c r="D34" s="214">
        <v>413173</v>
      </c>
      <c r="E34" s="214" t="s">
        <v>575</v>
      </c>
      <c r="F34" s="214" t="s">
        <v>576</v>
      </c>
      <c r="G34" s="233">
        <v>46092</v>
      </c>
      <c r="H34" s="214">
        <v>2567045600</v>
      </c>
      <c r="I34" s="214" t="s">
        <v>577</v>
      </c>
      <c r="J34" s="214" t="s">
        <v>443</v>
      </c>
      <c r="K34" s="214" t="s">
        <v>444</v>
      </c>
      <c r="L34" s="231" t="s">
        <v>68</v>
      </c>
      <c r="M34" s="215" t="str">
        <f>VLOOKUP($L34,Emp!$A:$F,2,0)</f>
        <v>MANU SASI</v>
      </c>
      <c r="N34" s="215" t="str">
        <f>VLOOKUP($L34,Emp!$A:$F,3,0)</f>
        <v>EDAPPALLY</v>
      </c>
      <c r="O34" s="215" t="str">
        <f>VLOOKUP($L34,Emp!$A:$F,4,0)</f>
        <v>ARENA</v>
      </c>
      <c r="P34" s="214" t="s">
        <v>417</v>
      </c>
      <c r="Q34" s="56" t="s">
        <v>366</v>
      </c>
      <c r="R34" s="56" t="s">
        <v>51</v>
      </c>
      <c r="S34" s="56" t="s">
        <v>356</v>
      </c>
      <c r="T34" s="236" t="str">
        <f>IF(_xlfn.XLOOKUP(F34,IH!Y:Y,IH!AA:AA,"")="MAPPED","MAPPED","")</f>
        <v/>
      </c>
      <c r="U34" s="237" t="str">
        <f>IFERROR(VLOOKUP(H34,IH!C:T,18,0),"")</f>
        <v>MSSF LOGIN</v>
      </c>
      <c r="V34" s="237" t="str">
        <f>IF(W34&lt;&gt;"","DISBURSED","")</f>
        <v>DISBURSED</v>
      </c>
      <c r="W34" s="221">
        <f>IFERROR(VLOOKUP(H34,IH!C:X,14,0),"")</f>
        <v>46093</v>
      </c>
      <c r="X34" s="215" t="str">
        <f>VLOOKUP($L34,Emp!$A:$F,5,0)</f>
        <v>SIVAPRASAD</v>
      </c>
      <c r="Y34" s="239" t="str">
        <f>VLOOKUP($H34,ERP!$H:$AP,33,0)</f>
        <v>LANEESH A S(C21174), Mr.</v>
      </c>
      <c r="Z34" s="239" t="str">
        <f>VLOOKUP($H34,ERP!$H:$AP,34,0)</f>
        <v>MANU SASI</v>
      </c>
    </row>
    <row r="35" hidden="1" customHeight="1" spans="1:26">
      <c r="A35" s="56">
        <v>34</v>
      </c>
      <c r="B35" s="214" t="s">
        <v>578</v>
      </c>
      <c r="C35" s="214" t="s">
        <v>579</v>
      </c>
      <c r="D35" s="214" t="s">
        <v>580</v>
      </c>
      <c r="E35" s="214" t="s">
        <v>581</v>
      </c>
      <c r="F35" s="214" t="s">
        <v>582</v>
      </c>
      <c r="G35" s="233">
        <v>46092</v>
      </c>
      <c r="H35" s="214">
        <v>2567549960</v>
      </c>
      <c r="I35" s="214" t="s">
        <v>583</v>
      </c>
      <c r="J35" s="214" t="s">
        <v>489</v>
      </c>
      <c r="K35" s="214" t="s">
        <v>520</v>
      </c>
      <c r="L35" s="231" t="s">
        <v>177</v>
      </c>
      <c r="M35" s="215" t="str">
        <f>VLOOKUP($L35,Emp!$A:$F,2,0)</f>
        <v>PRANOOB V NAIR</v>
      </c>
      <c r="N35" s="215" t="str">
        <f>VLOOKUP($L35,Emp!$A:$F,3,0)</f>
        <v>TRIPPUNITHURA</v>
      </c>
      <c r="O35" s="215" t="str">
        <f>VLOOKUP($L35,Emp!$A:$F,4,0)</f>
        <v>ARENA</v>
      </c>
      <c r="P35" s="214" t="s">
        <v>506</v>
      </c>
      <c r="Q35" s="56" t="s">
        <v>507</v>
      </c>
      <c r="R35" s="56" t="s">
        <v>51</v>
      </c>
      <c r="S35" s="56" t="s">
        <v>367</v>
      </c>
      <c r="T35" s="236" t="str">
        <f>IF(_xlfn.XLOOKUP(F35,IH!Y:Y,IH!AA:AA,"")="MAPPED","MAPPED","")</f>
        <v>MAPPED</v>
      </c>
      <c r="U35" s="237" t="str">
        <f>IFERROR(VLOOKUP(H35,IH!C:T,18,0),"")</f>
        <v>MSSF DISBURSED</v>
      </c>
      <c r="V35" s="237" t="str">
        <f>IF(W35&lt;&gt;"","DISBURSED","")</f>
        <v>DISBURSED</v>
      </c>
      <c r="W35" s="221">
        <f>IFERROR(VLOOKUP(H35,IH!C:X,14,0),"")</f>
        <v>46091</v>
      </c>
      <c r="X35" s="215" t="str">
        <f>VLOOKUP($L35,Emp!$A:$F,5,0)</f>
        <v>SIVAPRASAD</v>
      </c>
      <c r="Y35" s="239" t="str">
        <f>VLOOKUP($H35,ERP!$H:$AP,33,0)</f>
        <v>RATHEESH K B,</v>
      </c>
      <c r="Z35" s="239" t="str">
        <f>VLOOKUP($H35,ERP!$H:$AP,34,0)</f>
        <v>PRANOOB V (TPRA)</v>
      </c>
    </row>
    <row r="36" hidden="1" customHeight="1" spans="1:26">
      <c r="A36" s="56">
        <v>35</v>
      </c>
      <c r="B36" s="214" t="s">
        <v>584</v>
      </c>
      <c r="C36" s="214" t="s">
        <v>585</v>
      </c>
      <c r="D36" s="214" t="s">
        <v>586</v>
      </c>
      <c r="E36" s="214">
        <v>9259408</v>
      </c>
      <c r="F36" s="214" t="s">
        <v>587</v>
      </c>
      <c r="G36" s="233">
        <v>46093</v>
      </c>
      <c r="H36" s="214">
        <v>2567479082</v>
      </c>
      <c r="I36" s="214" t="s">
        <v>588</v>
      </c>
      <c r="J36" s="214" t="s">
        <v>489</v>
      </c>
      <c r="K36" s="214" t="s">
        <v>565</v>
      </c>
      <c r="L36" s="231" t="s">
        <v>64</v>
      </c>
      <c r="M36" s="215" t="str">
        <f>VLOOKUP($L36,Emp!$A:$F,2,0)</f>
        <v>BHAGIESH</v>
      </c>
      <c r="N36" s="215" t="str">
        <f>VLOOKUP($L36,Emp!$A:$F,3,0)</f>
        <v>CHAVAKKAD</v>
      </c>
      <c r="O36" s="215" t="str">
        <f>VLOOKUP($L36,Emp!$A:$F,4,0)</f>
        <v>ARENA</v>
      </c>
      <c r="P36" s="214" t="s">
        <v>589</v>
      </c>
      <c r="Q36" s="56" t="s">
        <v>590</v>
      </c>
      <c r="R36" s="56" t="s">
        <v>51</v>
      </c>
      <c r="S36" s="56" t="s">
        <v>367</v>
      </c>
      <c r="T36" s="236" t="str">
        <f>IF(_xlfn.XLOOKUP(F36,IH!Y:Y,IH!AA:AA,"")="MAPPED","MAPPED","")</f>
        <v>MAPPED</v>
      </c>
      <c r="U36" s="237" t="str">
        <f>IFERROR(VLOOKUP(H36,IH!C:T,18,0),"")</f>
        <v>MSSF DISBURSED</v>
      </c>
      <c r="V36" s="237" t="str">
        <f t="shared" ref="V36:V47" si="2">IF(W36&lt;&gt;"","DISBURSED","")</f>
        <v>DISBURSED</v>
      </c>
      <c r="W36" s="221">
        <f>IFERROR(VLOOKUP(H36,IH!C:X,14,0),"")</f>
        <v>46092</v>
      </c>
      <c r="X36" s="215" t="str">
        <f>VLOOKUP($L36,Emp!$A:$F,5,0)</f>
        <v>SINTO</v>
      </c>
      <c r="Y36" s="239" t="str">
        <f>VLOOKUP($H36,ERP!$H:$AP,33,0)</f>
        <v>RISHAD K.S</v>
      </c>
      <c r="Z36" s="239" t="str">
        <f>VLOOKUP($H36,ERP!$H:$AP,34,0)</f>
        <v>NA</v>
      </c>
    </row>
    <row r="37" hidden="1" customHeight="1" spans="1:26">
      <c r="A37" s="56">
        <v>36</v>
      </c>
      <c r="B37" s="214" t="s">
        <v>591</v>
      </c>
      <c r="C37" s="214" t="s">
        <v>592</v>
      </c>
      <c r="D37" s="214">
        <v>410146</v>
      </c>
      <c r="E37" s="214" t="s">
        <v>593</v>
      </c>
      <c r="F37" s="214" t="s">
        <v>594</v>
      </c>
      <c r="G37" s="233">
        <v>46093</v>
      </c>
      <c r="H37" s="214">
        <v>2567549813</v>
      </c>
      <c r="I37" s="214" t="s">
        <v>595</v>
      </c>
      <c r="J37" s="214" t="s">
        <v>443</v>
      </c>
      <c r="K37" s="214" t="s">
        <v>444</v>
      </c>
      <c r="L37" s="231" t="s">
        <v>98</v>
      </c>
      <c r="M37" s="215" t="str">
        <f>VLOOKUP($L37,Emp!$A:$F,2,0)</f>
        <v>BINOY RAJ</v>
      </c>
      <c r="N37" s="215" t="str">
        <f>VLOOKUP($L37,Emp!$A:$F,3,0)</f>
        <v>KODUNGALLUR</v>
      </c>
      <c r="O37" s="215" t="str">
        <f>VLOOKUP($L37,Emp!$A:$F,4,0)</f>
        <v>ARENA</v>
      </c>
      <c r="P37" s="214" t="s">
        <v>596</v>
      </c>
      <c r="Q37" s="56" t="s">
        <v>377</v>
      </c>
      <c r="R37" s="56" t="s">
        <v>378</v>
      </c>
      <c r="S37" s="56" t="s">
        <v>356</v>
      </c>
      <c r="T37" s="236" t="str">
        <f>IF(_xlfn.XLOOKUP(F37,IH!Y:Y,IH!AA:AA,"")="MAPPED","MAPPED","")</f>
        <v/>
      </c>
      <c r="U37" s="237" t="str">
        <f>IFERROR(VLOOKUP(H37,IH!C:T,18,0),"")</f>
        <v/>
      </c>
      <c r="V37" s="237" t="str">
        <f t="shared" si="2"/>
        <v/>
      </c>
      <c r="W37" s="221" t="str">
        <f>IFERROR(VLOOKUP(H37,IH!C:X,14,0),"")</f>
        <v/>
      </c>
      <c r="X37" s="215" t="str">
        <f>VLOOKUP($L37,Emp!$A:$F,5,0)</f>
        <v>JINEESH</v>
      </c>
      <c r="Y37" s="239" t="str">
        <f>VLOOKUP($H37,ERP!$H:$AP,33,0)</f>
        <v>JAYAKRISHNAN K V (C25293),</v>
      </c>
      <c r="Z37" s="239" t="str">
        <f>VLOOKUP($H37,ERP!$H:$AP,34,0)</f>
        <v>LINISH.T.K</v>
      </c>
    </row>
    <row r="38" hidden="1" customHeight="1" spans="1:26">
      <c r="A38" s="56">
        <v>37</v>
      </c>
      <c r="B38" s="214" t="s">
        <v>597</v>
      </c>
      <c r="C38" s="214" t="s">
        <v>598</v>
      </c>
      <c r="D38" s="214">
        <v>412106</v>
      </c>
      <c r="E38" s="214" t="s">
        <v>599</v>
      </c>
      <c r="F38" s="214" t="s">
        <v>600</v>
      </c>
      <c r="G38" s="233">
        <v>46093</v>
      </c>
      <c r="H38" s="214">
        <v>2566498468</v>
      </c>
      <c r="I38" s="214" t="s">
        <v>601</v>
      </c>
      <c r="J38" s="214" t="s">
        <v>443</v>
      </c>
      <c r="K38" s="214" t="s">
        <v>444</v>
      </c>
      <c r="L38" s="231" t="s">
        <v>170</v>
      </c>
      <c r="M38" s="215" t="str">
        <f>VLOOKUP($L38,Emp!$A:$F,2,0)</f>
        <v>SIVAPRAKASH K S</v>
      </c>
      <c r="N38" s="215" t="str">
        <f>VLOOKUP($L38,Emp!$A:$F,3,0)</f>
        <v>THRISSUR</v>
      </c>
      <c r="O38" s="215" t="str">
        <f>VLOOKUP($L38,Emp!$A:$F,4,0)</f>
        <v>ARENA</v>
      </c>
      <c r="P38" s="214" t="s">
        <v>365</v>
      </c>
      <c r="Q38" s="56" t="s">
        <v>366</v>
      </c>
      <c r="R38" s="56" t="s">
        <v>51</v>
      </c>
      <c r="S38" s="56" t="s">
        <v>367</v>
      </c>
      <c r="T38" s="236" t="str">
        <f>IF(_xlfn.XLOOKUP(F38,IH!Y:Y,IH!AA:AA,"")="MAPPED","MAPPED","")</f>
        <v/>
      </c>
      <c r="U38" s="237" t="str">
        <f>IFERROR(VLOOKUP(H38,IH!C:T,18,0),"")</f>
        <v>NO</v>
      </c>
      <c r="V38" s="237" t="str">
        <f t="shared" si="2"/>
        <v>DISBURSED</v>
      </c>
      <c r="W38" s="221">
        <f>IFERROR(VLOOKUP(H38,IH!C:X,14,0),"")</f>
        <v>46093</v>
      </c>
      <c r="X38" s="215" t="str">
        <f>VLOOKUP($L38,Emp!$A:$F,5,0)</f>
        <v>SINTO</v>
      </c>
      <c r="Y38" s="239" t="str">
        <f>VLOOKUP($H38,ERP!$H:$AP,33,0)</f>
        <v>SUJEESH P G (C24887),</v>
      </c>
      <c r="Z38" s="239" t="str">
        <f>VLOOKUP($H38,ERP!$H:$AP,34,0)</f>
        <v>RAJEEV (THCR)</v>
      </c>
    </row>
    <row r="39" hidden="1" customHeight="1" spans="1:26">
      <c r="A39" s="56">
        <v>38</v>
      </c>
      <c r="B39" s="214" t="s">
        <v>602</v>
      </c>
      <c r="C39" s="214" t="s">
        <v>603</v>
      </c>
      <c r="D39" s="214">
        <v>777144</v>
      </c>
      <c r="E39" s="214" t="s">
        <v>604</v>
      </c>
      <c r="F39" s="214" t="s">
        <v>605</v>
      </c>
      <c r="G39" s="233">
        <v>46093</v>
      </c>
      <c r="H39" s="214">
        <v>2567538185</v>
      </c>
      <c r="I39" s="214" t="s">
        <v>606</v>
      </c>
      <c r="J39" s="214" t="s">
        <v>463</v>
      </c>
      <c r="K39" s="214" t="s">
        <v>464</v>
      </c>
      <c r="L39" s="231" t="s">
        <v>201</v>
      </c>
      <c r="M39" s="215" t="str">
        <f>VLOOKUP($L39,Emp!$A:$F,2,0)</f>
        <v>SIVAPRAKASH K S</v>
      </c>
      <c r="N39" s="215" t="str">
        <f>VLOOKUP($L39,Emp!$A:$F,3,0)</f>
        <v>THRISSUR</v>
      </c>
      <c r="O39" s="215" t="str">
        <f>VLOOKUP($L39,Emp!$A:$F,4,0)</f>
        <v>ARENA</v>
      </c>
      <c r="P39" s="214" t="s">
        <v>355</v>
      </c>
      <c r="Q39" s="56" t="s">
        <v>355</v>
      </c>
      <c r="R39" s="56" t="s">
        <v>355</v>
      </c>
      <c r="S39" s="56" t="s">
        <v>356</v>
      </c>
      <c r="T39" s="236" t="str">
        <f>IF(_xlfn.XLOOKUP(F39,IH!Y:Y,IH!AA:AA,"")="MAPPED","MAPPED","")</f>
        <v/>
      </c>
      <c r="U39" s="237" t="str">
        <f>IFERROR(VLOOKUP(H39,IH!C:T,18,0),"")</f>
        <v/>
      </c>
      <c r="V39" s="237" t="str">
        <f t="shared" si="2"/>
        <v/>
      </c>
      <c r="W39" s="221" t="str">
        <f>IFERROR(VLOOKUP(H39,IH!C:X,14,0),"")</f>
        <v/>
      </c>
      <c r="X39" s="215" t="str">
        <f>VLOOKUP($L39,Emp!$A:$F,5,0)</f>
        <v>SINTO</v>
      </c>
      <c r="Y39" s="239" t="str">
        <f>VLOOKUP($H39,ERP!$H:$AP,33,0)</f>
        <v>SUDHEESH.K.S(C26156),</v>
      </c>
      <c r="Z39" s="239" t="str">
        <f>VLOOKUP($H39,ERP!$H:$AP,34,0)</f>
        <v>SIVAPRAKASH K.S.(TCR)</v>
      </c>
    </row>
    <row r="40" hidden="1" customHeight="1" spans="1:26">
      <c r="A40" s="56">
        <v>39</v>
      </c>
      <c r="B40" s="214" t="s">
        <v>607</v>
      </c>
      <c r="C40" s="214" t="s">
        <v>608</v>
      </c>
      <c r="D40" s="214">
        <v>470701</v>
      </c>
      <c r="E40" s="214">
        <v>1424818</v>
      </c>
      <c r="F40" s="214" t="s">
        <v>609</v>
      </c>
      <c r="G40" s="233">
        <v>46093</v>
      </c>
      <c r="H40" s="214">
        <v>2567077782</v>
      </c>
      <c r="I40" s="214" t="s">
        <v>610</v>
      </c>
      <c r="J40" s="214" t="s">
        <v>434</v>
      </c>
      <c r="K40" s="214" t="s">
        <v>471</v>
      </c>
      <c r="L40" s="231" t="s">
        <v>241</v>
      </c>
      <c r="M40" s="215" t="str">
        <f>VLOOKUP($L40,Emp!$A:$F,2,0)</f>
        <v>JAYESH</v>
      </c>
      <c r="N40" s="215" t="str">
        <f>VLOOKUP($L40,Emp!$A:$F,3,0)</f>
        <v>ALUVA</v>
      </c>
      <c r="O40" s="215" t="str">
        <f>VLOOKUP($L40,Emp!$A:$F,4,0)</f>
        <v>ARENA</v>
      </c>
      <c r="P40" s="214" t="s">
        <v>611</v>
      </c>
      <c r="Q40" s="56" t="s">
        <v>612</v>
      </c>
      <c r="R40" s="56" t="s">
        <v>378</v>
      </c>
      <c r="S40" s="56" t="s">
        <v>356</v>
      </c>
      <c r="T40" s="236" t="str">
        <f>IF(_xlfn.XLOOKUP(F40,IH!Y:Y,IH!AA:AA,"")="MAPPED","MAPPED","")</f>
        <v/>
      </c>
      <c r="U40" s="237" t="str">
        <f>IFERROR(VLOOKUP(H40,IH!C:T,18,0),"")</f>
        <v/>
      </c>
      <c r="V40" s="237" t="str">
        <f t="shared" si="2"/>
        <v/>
      </c>
      <c r="W40" s="221" t="str">
        <f>IFERROR(VLOOKUP(H40,IH!C:X,14,0),"")</f>
        <v/>
      </c>
      <c r="X40" s="215" t="str">
        <f>VLOOKUP($L40,Emp!$A:$F,5,0)</f>
        <v>SALMAN</v>
      </c>
      <c r="Y40" s="239" t="str">
        <f>VLOOKUP($H40,ERP!$H:$AP,33,0)</f>
        <v>MUHAMMED ABOOBACKER(C26570),</v>
      </c>
      <c r="Z40" s="239" t="str">
        <f>VLOOKUP($H40,ERP!$H:$AP,34,0)</f>
        <v>JAYESH (ALUVA)</v>
      </c>
    </row>
    <row r="41" hidden="1" customHeight="1" spans="1:26">
      <c r="A41" s="56">
        <v>40</v>
      </c>
      <c r="B41" s="214" t="s">
        <v>613</v>
      </c>
      <c r="C41" s="214" t="s">
        <v>614</v>
      </c>
      <c r="D41" s="214" t="s">
        <v>615</v>
      </c>
      <c r="E41" s="214" t="s">
        <v>616</v>
      </c>
      <c r="F41" s="214" t="s">
        <v>617</v>
      </c>
      <c r="G41" s="233">
        <v>46093</v>
      </c>
      <c r="H41" s="214">
        <v>2567564981</v>
      </c>
      <c r="I41" s="214" t="s">
        <v>618</v>
      </c>
      <c r="J41" s="214" t="s">
        <v>619</v>
      </c>
      <c r="K41" s="214" t="s">
        <v>620</v>
      </c>
      <c r="L41" s="231" t="s">
        <v>70</v>
      </c>
      <c r="M41" s="215" t="str">
        <f>VLOOKUP($L41,Emp!$A:$F,2,0)</f>
        <v>MANU SASI</v>
      </c>
      <c r="N41" s="215" t="str">
        <f>VLOOKUP($L41,Emp!$A:$F,3,0)</f>
        <v>EDAPPALLY</v>
      </c>
      <c r="O41" s="215" t="str">
        <f>VLOOKUP($L41,Emp!$A:$F,4,0)</f>
        <v>ARENA</v>
      </c>
      <c r="P41" s="214" t="s">
        <v>355</v>
      </c>
      <c r="Q41" s="56" t="s">
        <v>355</v>
      </c>
      <c r="R41" s="56" t="s">
        <v>355</v>
      </c>
      <c r="S41" s="56" t="s">
        <v>356</v>
      </c>
      <c r="T41" s="236" t="str">
        <f>IF(_xlfn.XLOOKUP(F41,IH!Y:Y,IH!AA:AA,"")="MAPPED","MAPPED","")</f>
        <v/>
      </c>
      <c r="U41" s="237" t="str">
        <f>IFERROR(VLOOKUP(H41,IH!C:T,18,0),"")</f>
        <v/>
      </c>
      <c r="V41" s="237" t="str">
        <f t="shared" si="2"/>
        <v/>
      </c>
      <c r="W41" s="221" t="str">
        <f>IFERROR(VLOOKUP(H41,IH!C:X,14,0),"")</f>
        <v/>
      </c>
      <c r="X41" s="215" t="str">
        <f>VLOOKUP($L41,Emp!$A:$F,5,0)</f>
        <v>SIVAPRASAD</v>
      </c>
      <c r="Y41" s="239" t="str">
        <f>VLOOKUP($H41,ERP!$H:$AP,33,0)</f>
        <v>MANU JOY (C22591),</v>
      </c>
      <c r="Z41" s="239" t="str">
        <f>VLOOKUP($H41,ERP!$H:$AP,34,0)</f>
        <v>MANU SASI</v>
      </c>
    </row>
    <row r="42" hidden="1" customHeight="1" spans="1:26">
      <c r="A42" s="56">
        <v>41</v>
      </c>
      <c r="B42" s="214" t="s">
        <v>621</v>
      </c>
      <c r="C42" s="214" t="s">
        <v>622</v>
      </c>
      <c r="D42" s="214" t="s">
        <v>623</v>
      </c>
      <c r="E42" s="214">
        <v>4593757</v>
      </c>
      <c r="F42" s="214" t="s">
        <v>624</v>
      </c>
      <c r="G42" s="233">
        <v>46093</v>
      </c>
      <c r="H42" s="214">
        <v>2567515064</v>
      </c>
      <c r="I42" s="214" t="s">
        <v>625</v>
      </c>
      <c r="J42" s="214" t="s">
        <v>532</v>
      </c>
      <c r="K42" s="214" t="s">
        <v>533</v>
      </c>
      <c r="L42" s="231" t="s">
        <v>64</v>
      </c>
      <c r="M42" s="215" t="str">
        <f>VLOOKUP($L42,Emp!$A:$F,2,0)</f>
        <v>BHAGIESH</v>
      </c>
      <c r="N42" s="215" t="str">
        <f>VLOOKUP($L42,Emp!$A:$F,3,0)</f>
        <v>CHAVAKKAD</v>
      </c>
      <c r="O42" s="215" t="str">
        <f>VLOOKUP($L42,Emp!$A:$F,4,0)</f>
        <v>ARENA</v>
      </c>
      <c r="P42" s="214" t="s">
        <v>365</v>
      </c>
      <c r="Q42" s="56" t="s">
        <v>366</v>
      </c>
      <c r="R42" s="56" t="s">
        <v>51</v>
      </c>
      <c r="S42" s="56" t="s">
        <v>367</v>
      </c>
      <c r="T42" s="236" t="str">
        <f>IF(_xlfn.XLOOKUP(F42,IH!Y:Y,IH!AA:AA,"")="MAPPED","MAPPED","")</f>
        <v/>
      </c>
      <c r="U42" s="237" t="str">
        <f>IFERROR(VLOOKUP(H42,IH!C:T,18,0),"")</f>
        <v>NO</v>
      </c>
      <c r="V42" s="237" t="str">
        <f t="shared" si="2"/>
        <v>DISBURSED</v>
      </c>
      <c r="W42" s="221">
        <f>IFERROR(VLOOKUP(H42,IH!C:X,14,0),"")</f>
        <v>46087</v>
      </c>
      <c r="X42" s="215" t="str">
        <f>VLOOKUP($L42,Emp!$A:$F,5,0)</f>
        <v>SINTO</v>
      </c>
      <c r="Y42" s="239" t="str">
        <f>VLOOKUP($H42,ERP!$H:$AP,33,0)</f>
        <v>RISHAD K.S</v>
      </c>
      <c r="Z42" s="239" t="str">
        <f>VLOOKUP($H42,ERP!$H:$AP,34,0)</f>
        <v>NA</v>
      </c>
    </row>
    <row r="43" hidden="1" customHeight="1" spans="1:26">
      <c r="A43" s="56">
        <v>42</v>
      </c>
      <c r="B43" s="214" t="s">
        <v>626</v>
      </c>
      <c r="C43" s="214" t="s">
        <v>627</v>
      </c>
      <c r="D43" s="214">
        <v>165583</v>
      </c>
      <c r="E43" s="214" t="s">
        <v>628</v>
      </c>
      <c r="F43" s="214" t="s">
        <v>629</v>
      </c>
      <c r="G43" s="233">
        <v>46093</v>
      </c>
      <c r="H43" s="214">
        <v>2567565813</v>
      </c>
      <c r="I43" s="214" t="s">
        <v>630</v>
      </c>
      <c r="J43" s="214" t="s">
        <v>353</v>
      </c>
      <c r="K43" s="214" t="s">
        <v>631</v>
      </c>
      <c r="L43" s="231" t="s">
        <v>170</v>
      </c>
      <c r="M43" s="215" t="str">
        <f>VLOOKUP($L43,Emp!$A:$F,2,0)</f>
        <v>SIVAPRAKASH K S</v>
      </c>
      <c r="N43" s="215" t="str">
        <f>VLOOKUP($L43,Emp!$A:$F,3,0)</f>
        <v>THRISSUR</v>
      </c>
      <c r="O43" s="215" t="str">
        <f>VLOOKUP($L43,Emp!$A:$F,4,0)</f>
        <v>ARENA</v>
      </c>
      <c r="P43" s="214" t="s">
        <v>632</v>
      </c>
      <c r="Q43" s="56" t="s">
        <v>633</v>
      </c>
      <c r="R43" s="56" t="s">
        <v>378</v>
      </c>
      <c r="S43" s="56" t="s">
        <v>356</v>
      </c>
      <c r="T43" s="236" t="str">
        <f>IF(_xlfn.XLOOKUP(F43,IH!Y:Y,IH!AA:AA,"")="MAPPED","MAPPED","")</f>
        <v/>
      </c>
      <c r="U43" s="237" t="str">
        <f>IFERROR(VLOOKUP(H43,IH!C:T,18,0),"")</f>
        <v/>
      </c>
      <c r="V43" s="237" t="str">
        <f t="shared" si="2"/>
        <v/>
      </c>
      <c r="W43" s="221" t="str">
        <f>IFERROR(VLOOKUP(H43,IH!C:X,14,0),"")</f>
        <v/>
      </c>
      <c r="X43" s="215" t="str">
        <f>VLOOKUP($L43,Emp!$A:$F,5,0)</f>
        <v>SINTO</v>
      </c>
      <c r="Y43" s="239" t="str">
        <f>VLOOKUP($H43,ERP!$H:$AP,33,0)</f>
        <v>SUJEESH P G (C24887),</v>
      </c>
      <c r="Z43" s="239" t="str">
        <f>VLOOKUP($H43,ERP!$H:$AP,34,0)</f>
        <v>RAJEEV (THCR)</v>
      </c>
    </row>
    <row r="44" hidden="1" customHeight="1" spans="1:26">
      <c r="A44" s="56">
        <v>43</v>
      </c>
      <c r="B44" s="214" t="s">
        <v>634</v>
      </c>
      <c r="C44" s="214" t="s">
        <v>635</v>
      </c>
      <c r="D44" s="214" t="s">
        <v>636</v>
      </c>
      <c r="E44" s="214">
        <v>4593164</v>
      </c>
      <c r="F44" s="214" t="s">
        <v>637</v>
      </c>
      <c r="G44" s="233">
        <v>46093</v>
      </c>
      <c r="H44" s="214">
        <v>2567561397</v>
      </c>
      <c r="I44" s="214" t="s">
        <v>638</v>
      </c>
      <c r="J44" s="214" t="s">
        <v>639</v>
      </c>
      <c r="K44" s="214" t="s">
        <v>640</v>
      </c>
      <c r="L44" s="231" t="s">
        <v>189</v>
      </c>
      <c r="M44" s="215" t="str">
        <f>VLOOKUP($L44,Emp!$A:$F,2,0)</f>
        <v>KASI VISWANATH</v>
      </c>
      <c r="N44" s="215" t="str">
        <f>VLOOKUP($L44,Emp!$A:$F,3,0)</f>
        <v>KAIPAMANGALAM</v>
      </c>
      <c r="O44" s="215" t="str">
        <f>VLOOKUP($L44,Emp!$A:$F,4,0)</f>
        <v>ARENA</v>
      </c>
      <c r="P44" s="214" t="s">
        <v>365</v>
      </c>
      <c r="Q44" s="56" t="s">
        <v>366</v>
      </c>
      <c r="R44" s="56" t="s">
        <v>51</v>
      </c>
      <c r="S44" s="56" t="s">
        <v>367</v>
      </c>
      <c r="T44" s="236" t="str">
        <f>IF(_xlfn.XLOOKUP(F44,IH!Y:Y,IH!AA:AA,"")="MAPPED","MAPPED","")</f>
        <v/>
      </c>
      <c r="U44" s="237" t="str">
        <f>IFERROR(VLOOKUP(H44,IH!C:T,18,0),"")</f>
        <v>NO</v>
      </c>
      <c r="V44" s="237" t="str">
        <f t="shared" si="2"/>
        <v>DISBURSED</v>
      </c>
      <c r="W44" s="221">
        <f>IFERROR(VLOOKUP(H44,IH!C:X,14,0),"")</f>
        <v>46092</v>
      </c>
      <c r="X44" s="215" t="str">
        <f>VLOOKUP($L44,Emp!$A:$F,5,0)</f>
        <v>JINEESH</v>
      </c>
      <c r="Y44" s="239" t="str">
        <f>VLOOKUP($H44,ERP!$H:$AP,33,0)</f>
        <v>JITHIN K ANAND(C26246),</v>
      </c>
      <c r="Z44" s="239" t="str">
        <f>VLOOKUP($H44,ERP!$H:$AP,34,0)</f>
        <v>KASI VISWANATH K M</v>
      </c>
    </row>
    <row r="45" hidden="1" customHeight="1" spans="1:26">
      <c r="A45" s="56">
        <v>44</v>
      </c>
      <c r="B45" s="214" t="s">
        <v>641</v>
      </c>
      <c r="C45" s="214" t="s">
        <v>642</v>
      </c>
      <c r="D45" s="214">
        <v>158633</v>
      </c>
      <c r="E45" s="214" t="s">
        <v>643</v>
      </c>
      <c r="F45" s="214" t="s">
        <v>644</v>
      </c>
      <c r="G45" s="233">
        <v>46094</v>
      </c>
      <c r="H45" s="214">
        <v>2567533245</v>
      </c>
      <c r="I45" s="214" t="s">
        <v>645</v>
      </c>
      <c r="J45" s="214" t="s">
        <v>353</v>
      </c>
      <c r="K45" s="214" t="s">
        <v>646</v>
      </c>
      <c r="L45" s="231" t="s">
        <v>248</v>
      </c>
      <c r="M45" s="215" t="str">
        <f>VLOOKUP($L45,Emp!$A:$F,2,0)</f>
        <v>JESTIN UTHUP JOHN</v>
      </c>
      <c r="N45" s="215" t="str">
        <f>VLOOKUP($L45,Emp!$A:$F,3,0)</f>
        <v>PIRAVOM</v>
      </c>
      <c r="O45" s="215" t="str">
        <f>VLOOKUP($L45,Emp!$A:$F,4,0)</f>
        <v>ARENA</v>
      </c>
      <c r="P45" s="214" t="s">
        <v>647</v>
      </c>
      <c r="Q45" s="56" t="s">
        <v>648</v>
      </c>
      <c r="R45" s="56" t="s">
        <v>51</v>
      </c>
      <c r="S45" s="56" t="s">
        <v>367</v>
      </c>
      <c r="T45" s="236" t="str">
        <f>IF(_xlfn.XLOOKUP(F45,IH!Y:Y,IH!AA:AA,"")="MAPPED","MAPPED","")</f>
        <v/>
      </c>
      <c r="U45" s="237" t="str">
        <f>IFERROR(VLOOKUP(H45,IH!C:T,18,0),"")</f>
        <v>NO</v>
      </c>
      <c r="V45" s="237" t="str">
        <f t="shared" si="2"/>
        <v>DISBURSED</v>
      </c>
      <c r="W45" s="221">
        <f>IFERROR(VLOOKUP(H45,IH!C:X,14,0),"")</f>
        <v>46092</v>
      </c>
      <c r="X45" s="215" t="str">
        <f>VLOOKUP($L45,Emp!$A:$F,5,0)</f>
        <v>AMAL</v>
      </c>
      <c r="Y45" s="239" t="str">
        <f>VLOOKUP($H45,ERP!$H:$AP,33,0)</f>
        <v>ALFIYA ASHRAF (C26586),</v>
      </c>
      <c r="Z45" s="239" t="str">
        <f>VLOOKUP($H45,ERP!$H:$AP,34,0)</f>
        <v>JUSTIN UTHUP JOHN (PRVM)</v>
      </c>
    </row>
    <row r="46" hidden="1" customHeight="1" spans="1:26">
      <c r="A46" s="56">
        <v>45</v>
      </c>
      <c r="B46" s="214" t="s">
        <v>649</v>
      </c>
      <c r="C46" s="214" t="s">
        <v>650</v>
      </c>
      <c r="D46" s="214" t="s">
        <v>651</v>
      </c>
      <c r="E46" s="214">
        <v>9259013</v>
      </c>
      <c r="F46" s="214" t="s">
        <v>652</v>
      </c>
      <c r="G46" s="233">
        <v>46094</v>
      </c>
      <c r="H46" s="214">
        <v>2567528747</v>
      </c>
      <c r="I46" s="214" t="s">
        <v>653</v>
      </c>
      <c r="J46" s="214" t="s">
        <v>489</v>
      </c>
      <c r="K46" s="214" t="s">
        <v>654</v>
      </c>
      <c r="L46" s="235" t="s">
        <v>195</v>
      </c>
      <c r="M46" s="215" t="str">
        <f>VLOOKUP($L46,Emp!$A:$F,2,0)</f>
        <v>SIJO VARGHESE GEORGE</v>
      </c>
      <c r="N46" s="215" t="str">
        <f>VLOOKUP($L46,Emp!$A:$F,3,0)</f>
        <v>PERUMBAVOOR</v>
      </c>
      <c r="O46" s="215" t="str">
        <f>VLOOKUP($L46,Emp!$A:$F,4,0)</f>
        <v>ARENA</v>
      </c>
      <c r="P46" s="214" t="s">
        <v>355</v>
      </c>
      <c r="Q46" s="56" t="s">
        <v>355</v>
      </c>
      <c r="R46" s="56" t="s">
        <v>355</v>
      </c>
      <c r="S46" s="56" t="s">
        <v>356</v>
      </c>
      <c r="T46" s="236" t="str">
        <f>IF(_xlfn.XLOOKUP(F46,IH!Y:Y,IH!AA:AA,"")="MAPPED","MAPPED","")</f>
        <v/>
      </c>
      <c r="U46" s="237" t="str">
        <f>IFERROR(VLOOKUP(H46,IH!C:T,18,0),"")</f>
        <v/>
      </c>
      <c r="V46" s="237" t="str">
        <f t="shared" si="2"/>
        <v/>
      </c>
      <c r="W46" s="221" t="str">
        <f>IFERROR(VLOOKUP(H46,IH!C:X,14,0),"")</f>
        <v/>
      </c>
      <c r="X46" s="215" t="str">
        <f>VLOOKUP($L46,Emp!$A:$F,5,0)</f>
        <v>SALMAN</v>
      </c>
      <c r="Y46" s="239" t="str">
        <f>VLOOKUP($H46,ERP!$H:$AP,33,0)</f>
        <v>NA</v>
      </c>
      <c r="Z46" s="239" t="str">
        <f>VLOOKUP($H46,ERP!$H:$AP,34,0)</f>
        <v>NA</v>
      </c>
    </row>
    <row r="47" hidden="1" customHeight="1" spans="1:26">
      <c r="A47" s="56">
        <v>46</v>
      </c>
      <c r="B47" s="214" t="s">
        <v>655</v>
      </c>
      <c r="C47" s="214" t="s">
        <v>656</v>
      </c>
      <c r="D47" s="214" t="s">
        <v>657</v>
      </c>
      <c r="E47" s="214" t="s">
        <v>658</v>
      </c>
      <c r="F47" s="214" t="s">
        <v>659</v>
      </c>
      <c r="G47" s="233">
        <v>46094</v>
      </c>
      <c r="H47" s="214">
        <v>2567423729</v>
      </c>
      <c r="I47" s="214" t="s">
        <v>660</v>
      </c>
      <c r="J47" s="214" t="s">
        <v>363</v>
      </c>
      <c r="K47" s="214" t="s">
        <v>364</v>
      </c>
      <c r="L47" s="235" t="s">
        <v>85</v>
      </c>
      <c r="M47" s="215" t="str">
        <f>VLOOKUP($L47,Emp!$A:$F,2,0)</f>
        <v>REJIM GEORGE</v>
      </c>
      <c r="N47" s="215" t="str">
        <f>VLOOKUP($L47,Emp!$A:$F,3,0)</f>
        <v>FORTKOCHI</v>
      </c>
      <c r="O47" s="215" t="str">
        <f>VLOOKUP($L47,Emp!$A:$F,4,0)</f>
        <v>ARENA</v>
      </c>
      <c r="P47" s="214" t="s">
        <v>355</v>
      </c>
      <c r="Q47" s="56" t="s">
        <v>355</v>
      </c>
      <c r="R47" s="56" t="s">
        <v>355</v>
      </c>
      <c r="S47" s="56" t="s">
        <v>356</v>
      </c>
      <c r="T47" s="236" t="str">
        <f>IF(_xlfn.XLOOKUP(F47,IH!Y:Y,IH!AA:AA,"")="MAPPED","MAPPED","")</f>
        <v/>
      </c>
      <c r="U47" s="237" t="str">
        <f>IFERROR(VLOOKUP(H47,IH!C:T,18,0),"")</f>
        <v/>
      </c>
      <c r="V47" s="237" t="str">
        <f t="shared" si="2"/>
        <v/>
      </c>
      <c r="W47" s="221" t="str">
        <f>IFERROR(VLOOKUP(H47,IH!C:X,14,0),"")</f>
        <v/>
      </c>
      <c r="X47" s="215" t="str">
        <f>VLOOKUP($L47,Emp!$A:$F,5,0)</f>
        <v>SIVAPRASAD</v>
      </c>
      <c r="Y47" s="239" t="str">
        <f>VLOOKUP($H47,ERP!$H:$AP,33,0)</f>
        <v>NA</v>
      </c>
      <c r="Z47" s="239" t="str">
        <f>VLOOKUP($H47,ERP!$H:$AP,34,0)</f>
        <v>NA</v>
      </c>
    </row>
    <row r="48" hidden="1" customHeight="1" spans="1:26">
      <c r="A48" s="56">
        <v>47</v>
      </c>
      <c r="B48" s="214" t="s">
        <v>661</v>
      </c>
      <c r="C48" s="214" t="s">
        <v>662</v>
      </c>
      <c r="D48" s="214">
        <v>248442</v>
      </c>
      <c r="E48" s="214" t="s">
        <v>663</v>
      </c>
      <c r="F48" s="214" t="s">
        <v>664</v>
      </c>
      <c r="G48" s="233">
        <v>46094</v>
      </c>
      <c r="H48" s="214">
        <v>2567505758</v>
      </c>
      <c r="I48" s="214" t="s">
        <v>665</v>
      </c>
      <c r="J48" s="214" t="s">
        <v>666</v>
      </c>
      <c r="K48" s="214" t="s">
        <v>667</v>
      </c>
      <c r="L48" s="231" t="s">
        <v>176</v>
      </c>
      <c r="M48" s="215" t="str">
        <f>VLOOKUP($L48,Emp!$A:$F,2,0)</f>
        <v>PRANOOB V NAIR</v>
      </c>
      <c r="N48" s="215" t="str">
        <f>VLOOKUP($L48,Emp!$A:$F,3,0)</f>
        <v>TRIPPUNITHURA</v>
      </c>
      <c r="O48" s="215" t="str">
        <f>VLOOKUP($L48,Emp!$A:$F,4,0)</f>
        <v>ARENA</v>
      </c>
      <c r="P48" s="214" t="s">
        <v>355</v>
      </c>
      <c r="Q48" s="56" t="s">
        <v>355</v>
      </c>
      <c r="R48" s="56" t="s">
        <v>355</v>
      </c>
      <c r="S48" s="56" t="s">
        <v>356</v>
      </c>
      <c r="T48" s="236" t="str">
        <f>IF(_xlfn.XLOOKUP(F48,IH!Y:Y,IH!AA:AA,"")="MAPPED","MAPPED","")</f>
        <v/>
      </c>
      <c r="U48" s="237" t="str">
        <f>IFERROR(VLOOKUP(H48,IH!C:T,18,0),"")</f>
        <v/>
      </c>
      <c r="V48" s="237" t="str">
        <f t="shared" ref="V48:V58" si="3">IF(W48&lt;&gt;"","DISBURSED","")</f>
        <v/>
      </c>
      <c r="W48" s="221" t="str">
        <f>IFERROR(VLOOKUP(H48,IH!C:X,14,0),"")</f>
        <v/>
      </c>
      <c r="X48" s="215" t="str">
        <f>VLOOKUP($L48,Emp!$A:$F,5,0)</f>
        <v>SIVAPRASAD</v>
      </c>
      <c r="Y48" s="239" t="str">
        <f>VLOOKUP($H48,ERP!$H:$AP,33,0)</f>
        <v>JERRIN ROY (C22200),</v>
      </c>
      <c r="Z48" s="239" t="str">
        <f>VLOOKUP($H48,ERP!$H:$AP,34,0)</f>
        <v>PRANOOB V (TPRA)</v>
      </c>
    </row>
    <row r="49" hidden="1" customHeight="1" spans="1:26">
      <c r="A49" s="56">
        <v>48</v>
      </c>
      <c r="B49" s="214" t="s">
        <v>668</v>
      </c>
      <c r="C49" s="214" t="s">
        <v>669</v>
      </c>
      <c r="D49" s="214" t="s">
        <v>670</v>
      </c>
      <c r="E49" s="214" t="s">
        <v>671</v>
      </c>
      <c r="F49" s="214" t="s">
        <v>672</v>
      </c>
      <c r="G49" s="233">
        <v>46094</v>
      </c>
      <c r="H49" s="214">
        <v>2567544011</v>
      </c>
      <c r="I49" s="214" t="s">
        <v>673</v>
      </c>
      <c r="J49" s="214" t="s">
        <v>489</v>
      </c>
      <c r="K49" s="214" t="s">
        <v>520</v>
      </c>
      <c r="L49" s="231" t="s">
        <v>251</v>
      </c>
      <c r="M49" s="215" t="str">
        <f>VLOOKUP($L49,Emp!$A:$F,2,0)</f>
        <v>VIBIN I B</v>
      </c>
      <c r="N49" s="215" t="str">
        <f>VLOOKUP($L49,Emp!$A:$F,3,0)</f>
        <v>KAIPAMANGALAM</v>
      </c>
      <c r="O49" s="215" t="str">
        <f>VLOOKUP($L49,Emp!$A:$F,4,0)</f>
        <v>STUDIO</v>
      </c>
      <c r="P49" s="214" t="s">
        <v>506</v>
      </c>
      <c r="Q49" s="56" t="s">
        <v>507</v>
      </c>
      <c r="R49" s="56" t="s">
        <v>51</v>
      </c>
      <c r="S49" s="56" t="s">
        <v>367</v>
      </c>
      <c r="T49" s="236" t="str">
        <f>IF(_xlfn.XLOOKUP(F49,IH!Y:Y,IH!AA:AA,"")="MAPPED","MAPPED","")</f>
        <v/>
      </c>
      <c r="U49" s="237" t="str">
        <f>IFERROR(VLOOKUP(H49,IH!C:T,18,0),"")</f>
        <v>MSSF DISBURSED</v>
      </c>
      <c r="V49" s="237" t="str">
        <f t="shared" si="3"/>
        <v>DISBURSED</v>
      </c>
      <c r="W49" s="221">
        <f>IFERROR(VLOOKUP(H49,IH!C:X,14,0),"")</f>
        <v>46093</v>
      </c>
      <c r="X49" s="215" t="str">
        <f>VLOOKUP($L49,Emp!$A:$F,5,0)</f>
        <v>JINEESH</v>
      </c>
      <c r="Y49" s="239" t="str">
        <f>VLOOKUP($H49,ERP!$H:$AP,33,0)</f>
        <v>RAGIL N R(C26613),</v>
      </c>
      <c r="Z49" s="239" t="str">
        <f>VLOOKUP($H49,ERP!$H:$AP,34,0)</f>
        <v>VIBIN I B(KPLM)</v>
      </c>
    </row>
    <row r="50" hidden="1" customHeight="1" spans="1:26">
      <c r="A50" s="56">
        <v>49</v>
      </c>
      <c r="B50" s="214" t="s">
        <v>674</v>
      </c>
      <c r="C50" s="214" t="s">
        <v>675</v>
      </c>
      <c r="D50" s="214">
        <v>412967</v>
      </c>
      <c r="E50" s="214" t="s">
        <v>676</v>
      </c>
      <c r="F50" s="214" t="s">
        <v>677</v>
      </c>
      <c r="G50" s="233">
        <v>46094</v>
      </c>
      <c r="H50" s="214">
        <v>2567540924</v>
      </c>
      <c r="I50" s="214" t="s">
        <v>678</v>
      </c>
      <c r="J50" s="214" t="s">
        <v>443</v>
      </c>
      <c r="K50" s="214" t="s">
        <v>444</v>
      </c>
      <c r="L50" s="231" t="s">
        <v>189</v>
      </c>
      <c r="M50" s="215" t="str">
        <f>VLOOKUP($L50,Emp!$A:$F,2,0)</f>
        <v>KASI VISWANATH</v>
      </c>
      <c r="N50" s="215" t="str">
        <f>VLOOKUP($L50,Emp!$A:$F,3,0)</f>
        <v>KAIPAMANGALAM</v>
      </c>
      <c r="O50" s="215" t="str">
        <f>VLOOKUP($L50,Emp!$A:$F,4,0)</f>
        <v>ARENA</v>
      </c>
      <c r="P50" s="214" t="s">
        <v>355</v>
      </c>
      <c r="Q50" s="56" t="s">
        <v>355</v>
      </c>
      <c r="R50" s="56" t="s">
        <v>355</v>
      </c>
      <c r="S50" s="56" t="s">
        <v>356</v>
      </c>
      <c r="T50" s="236" t="str">
        <f>IF(_xlfn.XLOOKUP(F50,IH!Y:Y,IH!AA:AA,"")="MAPPED","MAPPED","")</f>
        <v/>
      </c>
      <c r="U50" s="237" t="str">
        <f>IFERROR(VLOOKUP(H50,IH!C:T,18,0),"")</f>
        <v/>
      </c>
      <c r="V50" s="237" t="str">
        <f t="shared" si="3"/>
        <v/>
      </c>
      <c r="W50" s="221" t="str">
        <f>IFERROR(VLOOKUP(H50,IH!C:X,14,0),"")</f>
        <v/>
      </c>
      <c r="X50" s="215" t="str">
        <f>VLOOKUP($L50,Emp!$A:$F,5,0)</f>
        <v>JINEESH</v>
      </c>
      <c r="Y50" s="239" t="str">
        <f>VLOOKUP($H50,ERP!$H:$AP,33,0)</f>
        <v>JITHIN K ANAND(C26246),</v>
      </c>
      <c r="Z50" s="239" t="str">
        <f>VLOOKUP($H50,ERP!$H:$AP,34,0)</f>
        <v>KASI VISWANATH K M</v>
      </c>
    </row>
    <row r="51" hidden="1" customHeight="1" spans="1:26">
      <c r="A51" s="56">
        <v>50</v>
      </c>
      <c r="B51" s="214" t="s">
        <v>679</v>
      </c>
      <c r="C51" s="214" t="s">
        <v>680</v>
      </c>
      <c r="D51" s="214">
        <v>539279</v>
      </c>
      <c r="E51" s="214">
        <v>1434030</v>
      </c>
      <c r="F51" s="214" t="s">
        <v>681</v>
      </c>
      <c r="G51" s="233">
        <v>46094</v>
      </c>
      <c r="H51" s="214">
        <v>2567570167</v>
      </c>
      <c r="I51" s="214" t="s">
        <v>682</v>
      </c>
      <c r="J51" s="214" t="s">
        <v>683</v>
      </c>
      <c r="K51" s="214" t="s">
        <v>684</v>
      </c>
      <c r="L51" s="231" t="s">
        <v>114</v>
      </c>
      <c r="M51" s="215" t="str">
        <f>VLOOKUP($L51,Emp!$A:$F,2,0)</f>
        <v>ANAND K V</v>
      </c>
      <c r="N51" s="215" t="str">
        <f>VLOOKUP($L51,Emp!$A:$F,3,0)</f>
        <v>KOLENCHERY</v>
      </c>
      <c r="O51" s="215" t="str">
        <f>VLOOKUP($L51,Emp!$A:$F,4,0)</f>
        <v>ARENA</v>
      </c>
      <c r="P51" s="214" t="s">
        <v>506</v>
      </c>
      <c r="Q51" s="56" t="s">
        <v>507</v>
      </c>
      <c r="R51" s="56" t="s">
        <v>378</v>
      </c>
      <c r="S51" s="56" t="s">
        <v>356</v>
      </c>
      <c r="T51" s="236" t="str">
        <f>IF(_xlfn.XLOOKUP(F51,IH!Y:Y,IH!AA:AA,"")="MAPPED","MAPPED","")</f>
        <v/>
      </c>
      <c r="U51" s="237" t="str">
        <f>IFERROR(VLOOKUP(H51,IH!C:T,18,0),"")</f>
        <v/>
      </c>
      <c r="V51" s="237" t="str">
        <f t="shared" si="3"/>
        <v/>
      </c>
      <c r="W51" s="221" t="str">
        <f>IFERROR(VLOOKUP(H51,IH!C:X,14,0),"")</f>
        <v/>
      </c>
      <c r="X51" s="215" t="str">
        <f>VLOOKUP($L51,Emp!$A:$F,5,0)</f>
        <v>AMAL</v>
      </c>
      <c r="Y51" s="239" t="str">
        <f>VLOOKUP($H51,ERP!$H:$AP,33,0)</f>
        <v>SOORAJ K S (C24979),</v>
      </c>
      <c r="Z51" s="239" t="str">
        <f>VLOOKUP($H51,ERP!$H:$AP,34,0)</f>
        <v>NA</v>
      </c>
    </row>
    <row r="52" hidden="1" customHeight="1" spans="1:26">
      <c r="A52" s="56">
        <v>51</v>
      </c>
      <c r="B52" s="214" t="s">
        <v>685</v>
      </c>
      <c r="C52" s="214" t="s">
        <v>686</v>
      </c>
      <c r="D52" s="214">
        <v>537738</v>
      </c>
      <c r="E52" s="214">
        <v>1432481</v>
      </c>
      <c r="F52" s="214" t="s">
        <v>687</v>
      </c>
      <c r="G52" s="233">
        <v>46094</v>
      </c>
      <c r="H52" s="214">
        <v>2567518660</v>
      </c>
      <c r="I52" s="214" t="s">
        <v>688</v>
      </c>
      <c r="J52" s="214" t="s">
        <v>683</v>
      </c>
      <c r="K52" s="214" t="s">
        <v>689</v>
      </c>
      <c r="L52" s="231" t="s">
        <v>64</v>
      </c>
      <c r="M52" s="215" t="str">
        <f>VLOOKUP($L52,Emp!$A:$F,2,0)</f>
        <v>BHAGIESH</v>
      </c>
      <c r="N52" s="215" t="str">
        <f>VLOOKUP($L52,Emp!$A:$F,3,0)</f>
        <v>CHAVAKKAD</v>
      </c>
      <c r="O52" s="215" t="str">
        <f>VLOOKUP($L52,Emp!$A:$F,4,0)</f>
        <v>ARENA</v>
      </c>
      <c r="P52" s="214" t="s">
        <v>355</v>
      </c>
      <c r="Q52" s="56" t="s">
        <v>355</v>
      </c>
      <c r="R52" s="56" t="s">
        <v>355</v>
      </c>
      <c r="S52" s="56" t="s">
        <v>356</v>
      </c>
      <c r="T52" s="236" t="str">
        <f>IF(_xlfn.XLOOKUP(F52,IH!Y:Y,IH!AA:AA,"")="MAPPED","MAPPED","")</f>
        <v/>
      </c>
      <c r="U52" s="237" t="str">
        <f>IFERROR(VLOOKUP(H52,IH!C:T,18,0),"")</f>
        <v/>
      </c>
      <c r="V52" s="237" t="str">
        <f t="shared" si="3"/>
        <v/>
      </c>
      <c r="W52" s="221" t="str">
        <f>IFERROR(VLOOKUP(H52,IH!C:X,14,0),"")</f>
        <v/>
      </c>
      <c r="X52" s="215" t="str">
        <f>VLOOKUP($L52,Emp!$A:$F,5,0)</f>
        <v>SINTO</v>
      </c>
      <c r="Y52" s="239" t="str">
        <f>VLOOKUP($H52,ERP!$H:$AP,33,0)</f>
        <v>RISHAD K.S</v>
      </c>
      <c r="Z52" s="239" t="str">
        <f>VLOOKUP($H52,ERP!$H:$AP,34,0)</f>
        <v>NA</v>
      </c>
    </row>
    <row r="53" hidden="1" customHeight="1" spans="1:26">
      <c r="A53" s="56">
        <v>52</v>
      </c>
      <c r="B53" s="214" t="s">
        <v>690</v>
      </c>
      <c r="C53" s="214" t="s">
        <v>691</v>
      </c>
      <c r="D53" s="214" t="s">
        <v>692</v>
      </c>
      <c r="E53" s="214">
        <v>1428245</v>
      </c>
      <c r="F53" s="214" t="s">
        <v>693</v>
      </c>
      <c r="G53" s="233">
        <v>46094</v>
      </c>
      <c r="H53" s="214">
        <v>2567274675</v>
      </c>
      <c r="I53" s="214" t="s">
        <v>694</v>
      </c>
      <c r="J53" s="214" t="s">
        <v>363</v>
      </c>
      <c r="K53" s="214" t="s">
        <v>364</v>
      </c>
      <c r="L53" s="231" t="s">
        <v>68</v>
      </c>
      <c r="M53" s="215" t="str">
        <f>VLOOKUP($L53,Emp!$A:$F,2,0)</f>
        <v>MANU SASI</v>
      </c>
      <c r="N53" s="215" t="str">
        <f>VLOOKUP($L53,Emp!$A:$F,3,0)</f>
        <v>EDAPPALLY</v>
      </c>
      <c r="O53" s="215" t="str">
        <f>VLOOKUP($L53,Emp!$A:$F,4,0)</f>
        <v>ARENA</v>
      </c>
      <c r="P53" s="214" t="s">
        <v>417</v>
      </c>
      <c r="Q53" s="56" t="s">
        <v>366</v>
      </c>
      <c r="R53" s="56" t="s">
        <v>51</v>
      </c>
      <c r="S53" s="56" t="s">
        <v>367</v>
      </c>
      <c r="T53" s="236" t="str">
        <f>IF(_xlfn.XLOOKUP(F53,IH!Y:Y,IH!AA:AA,"")="MAPPED","MAPPED","")</f>
        <v>MAPPED</v>
      </c>
      <c r="U53" s="237" t="str">
        <f>IFERROR(VLOOKUP(H53,IH!C:T,18,0),"")</f>
        <v>MSSF DISBURSED</v>
      </c>
      <c r="V53" s="237" t="str">
        <f t="shared" si="3"/>
        <v>DISBURSED</v>
      </c>
      <c r="W53" s="221">
        <f>IFERROR(VLOOKUP(H53,IH!C:X,14,0),"")</f>
        <v>46091</v>
      </c>
      <c r="X53" s="215" t="str">
        <f>VLOOKUP($L53,Emp!$A:$F,5,0)</f>
        <v>SIVAPRASAD</v>
      </c>
      <c r="Y53" s="239" t="str">
        <f>VLOOKUP($H53,ERP!$H:$AP,33,0)</f>
        <v>LANEESH A S(C21174), Mr.</v>
      </c>
      <c r="Z53" s="239" t="str">
        <f>VLOOKUP($H53,ERP!$H:$AP,34,0)</f>
        <v>MANU SASI</v>
      </c>
    </row>
    <row r="54" hidden="1" customHeight="1" spans="1:26">
      <c r="A54" s="56">
        <v>53</v>
      </c>
      <c r="B54" s="214" t="s">
        <v>695</v>
      </c>
      <c r="C54" s="214" t="s">
        <v>696</v>
      </c>
      <c r="D54" s="214" t="s">
        <v>697</v>
      </c>
      <c r="E54" s="214">
        <v>1430949</v>
      </c>
      <c r="F54" s="214" t="s">
        <v>698</v>
      </c>
      <c r="G54" s="233">
        <v>46094</v>
      </c>
      <c r="H54" s="214">
        <v>2567029223</v>
      </c>
      <c r="I54" s="214" t="s">
        <v>699</v>
      </c>
      <c r="J54" s="214" t="s">
        <v>363</v>
      </c>
      <c r="K54" s="214" t="s">
        <v>364</v>
      </c>
      <c r="L54" s="231" t="s">
        <v>213</v>
      </c>
      <c r="M54" s="215" t="str">
        <f>VLOOKUP($L54,Emp!$A:$F,2,0)</f>
        <v>SIVAPRAKASH K S</v>
      </c>
      <c r="N54" s="215" t="str">
        <f>VLOOKUP($L54,Emp!$A:$F,3,0)</f>
        <v>THRISSUR</v>
      </c>
      <c r="O54" s="215" t="str">
        <f>VLOOKUP($L54,Emp!$A:$F,4,0)</f>
        <v>ARENA</v>
      </c>
      <c r="P54" s="214" t="s">
        <v>355</v>
      </c>
      <c r="Q54" s="56" t="s">
        <v>355</v>
      </c>
      <c r="R54" s="56" t="s">
        <v>355</v>
      </c>
      <c r="S54" s="56" t="s">
        <v>356</v>
      </c>
      <c r="T54" s="236" t="str">
        <f>IF(_xlfn.XLOOKUP(F54,IH!Y:Y,IH!AA:AA,"")="MAPPED","MAPPED","")</f>
        <v/>
      </c>
      <c r="U54" s="237" t="str">
        <f>IFERROR(VLOOKUP(H54,IH!C:T,18,0),"")</f>
        <v/>
      </c>
      <c r="V54" s="237" t="str">
        <f t="shared" si="3"/>
        <v/>
      </c>
      <c r="W54" s="221" t="str">
        <f>IFERROR(VLOOKUP(H54,IH!C:X,14,0),"")</f>
        <v/>
      </c>
      <c r="X54" s="215" t="str">
        <f>VLOOKUP($L54,Emp!$A:$F,5,0)</f>
        <v>SINTO</v>
      </c>
      <c r="Y54" s="239" t="str">
        <f>VLOOKUP($H54,ERP!$H:$AP,33,0)</f>
        <v>SANJAY.M.G(C26392),</v>
      </c>
      <c r="Z54" s="239" t="str">
        <f>VLOOKUP($H54,ERP!$H:$AP,34,0)</f>
        <v>SIVAPRAKASH K.S.(TCR)</v>
      </c>
    </row>
    <row r="55" hidden="1" customHeight="1" spans="1:26">
      <c r="A55" s="56">
        <v>54</v>
      </c>
      <c r="B55" s="214" t="s">
        <v>700</v>
      </c>
      <c r="C55" s="214" t="s">
        <v>701</v>
      </c>
      <c r="D55" s="214" t="s">
        <v>702</v>
      </c>
      <c r="E55" s="214" t="s">
        <v>703</v>
      </c>
      <c r="F55" s="214" t="s">
        <v>704</v>
      </c>
      <c r="G55" s="233">
        <v>46094</v>
      </c>
      <c r="H55" s="214">
        <v>2567530237</v>
      </c>
      <c r="I55" s="214" t="s">
        <v>705</v>
      </c>
      <c r="J55" s="214" t="s">
        <v>489</v>
      </c>
      <c r="K55" s="214" t="s">
        <v>520</v>
      </c>
      <c r="L55" s="235" t="s">
        <v>113</v>
      </c>
      <c r="M55" s="215" t="str">
        <f>VLOOKUP($L55,Emp!$A:$F,2,0)</f>
        <v>ANAND K V</v>
      </c>
      <c r="N55" s="215" t="str">
        <f>VLOOKUP($L55,Emp!$A:$F,3,0)</f>
        <v>KOLENCHERY</v>
      </c>
      <c r="O55" s="215" t="str">
        <f>VLOOKUP($L55,Emp!$A:$F,4,0)</f>
        <v>ARENA</v>
      </c>
      <c r="P55" s="214" t="s">
        <v>706</v>
      </c>
      <c r="Q55" s="56" t="s">
        <v>648</v>
      </c>
      <c r="R55" s="56" t="s">
        <v>51</v>
      </c>
      <c r="S55" s="56" t="s">
        <v>367</v>
      </c>
      <c r="T55" s="236" t="str">
        <f>IF(_xlfn.XLOOKUP(F55,IH!Y:Y,IH!AA:AA,"")="MAPPED","MAPPED","")</f>
        <v/>
      </c>
      <c r="U55" s="237" t="str">
        <f>IFERROR(VLOOKUP(H55,IH!C:T,18,0),"")</f>
        <v>NO</v>
      </c>
      <c r="V55" s="237" t="str">
        <f t="shared" si="3"/>
        <v>DISBURSED</v>
      </c>
      <c r="W55" s="221">
        <f>IFERROR(VLOOKUP(H55,IH!C:X,14,0),"")</f>
        <v>46097</v>
      </c>
      <c r="X55" s="215" t="str">
        <f>VLOOKUP($L55,Emp!$A:$F,5,0)</f>
        <v>AMAL</v>
      </c>
      <c r="Y55" s="239" t="str">
        <f>VLOOKUP($H55,ERP!$H:$AP,33,0)</f>
        <v>NA</v>
      </c>
      <c r="Z55" s="239" t="str">
        <f>VLOOKUP($H55,ERP!$H:$AP,34,0)</f>
        <v>NA</v>
      </c>
    </row>
    <row r="56" hidden="1" customHeight="1" spans="1:26">
      <c r="A56" s="56">
        <v>55</v>
      </c>
      <c r="B56" s="214" t="s">
        <v>707</v>
      </c>
      <c r="C56" s="214" t="s">
        <v>708</v>
      </c>
      <c r="D56" s="214" t="s">
        <v>709</v>
      </c>
      <c r="E56" s="214" t="s">
        <v>710</v>
      </c>
      <c r="F56" s="214" t="s">
        <v>711</v>
      </c>
      <c r="G56" s="233">
        <v>46094</v>
      </c>
      <c r="H56" s="214">
        <v>2567319592</v>
      </c>
      <c r="I56" s="214" t="s">
        <v>712</v>
      </c>
      <c r="J56" s="214" t="s">
        <v>504</v>
      </c>
      <c r="K56" s="214" t="s">
        <v>713</v>
      </c>
      <c r="L56" s="231" t="s">
        <v>70</v>
      </c>
      <c r="M56" s="215" t="str">
        <f>VLOOKUP($L56,Emp!$A:$F,2,0)</f>
        <v>MANU SASI</v>
      </c>
      <c r="N56" s="215" t="str">
        <f>VLOOKUP($L56,Emp!$A:$F,3,0)</f>
        <v>EDAPPALLY</v>
      </c>
      <c r="O56" s="215" t="str">
        <f>VLOOKUP($L56,Emp!$A:$F,4,0)</f>
        <v>ARENA</v>
      </c>
      <c r="P56" s="214" t="s">
        <v>355</v>
      </c>
      <c r="Q56" s="56" t="s">
        <v>355</v>
      </c>
      <c r="R56" s="56" t="s">
        <v>355</v>
      </c>
      <c r="S56" s="56" t="s">
        <v>356</v>
      </c>
      <c r="T56" s="236" t="str">
        <f>IF(_xlfn.XLOOKUP(F56,IH!Y:Y,IH!AA:AA,"")="MAPPED","MAPPED","")</f>
        <v/>
      </c>
      <c r="U56" s="237" t="str">
        <f>IFERROR(VLOOKUP(H56,IH!C:T,18,0),"")</f>
        <v/>
      </c>
      <c r="V56" s="237" t="str">
        <f t="shared" si="3"/>
        <v/>
      </c>
      <c r="W56" s="221" t="str">
        <f>IFERROR(VLOOKUP(H56,IH!C:X,14,0),"")</f>
        <v/>
      </c>
      <c r="X56" s="215" t="str">
        <f>VLOOKUP($L56,Emp!$A:$F,5,0)</f>
        <v>SIVAPRASAD</v>
      </c>
      <c r="Y56" s="239" t="str">
        <f>VLOOKUP($H56,ERP!$H:$AP,33,0)</f>
        <v>MANU JOY (C22591),</v>
      </c>
      <c r="Z56" s="239" t="str">
        <f>VLOOKUP($H56,ERP!$H:$AP,34,0)</f>
        <v>MANU SASI</v>
      </c>
    </row>
    <row r="57" hidden="1" customHeight="1" spans="1:26">
      <c r="A57" s="56">
        <v>56</v>
      </c>
      <c r="B57" s="214" t="s">
        <v>714</v>
      </c>
      <c r="C57" s="214" t="s">
        <v>715</v>
      </c>
      <c r="D57" s="214" t="s">
        <v>716</v>
      </c>
      <c r="E57" s="214">
        <v>1431529</v>
      </c>
      <c r="F57" s="214" t="s">
        <v>717</v>
      </c>
      <c r="G57" s="233">
        <v>46094</v>
      </c>
      <c r="H57" s="214">
        <v>2567580598</v>
      </c>
      <c r="I57" s="214" t="s">
        <v>718</v>
      </c>
      <c r="J57" s="214" t="s">
        <v>363</v>
      </c>
      <c r="K57" s="214" t="s">
        <v>364</v>
      </c>
      <c r="L57" s="231" t="s">
        <v>70</v>
      </c>
      <c r="M57" s="215" t="str">
        <f>VLOOKUP($L57,Emp!$A:$F,2,0)</f>
        <v>MANU SASI</v>
      </c>
      <c r="N57" s="215" t="str">
        <f>VLOOKUP($L57,Emp!$A:$F,3,0)</f>
        <v>EDAPPALLY</v>
      </c>
      <c r="O57" s="215" t="str">
        <f>VLOOKUP($L57,Emp!$A:$F,4,0)</f>
        <v>ARENA</v>
      </c>
      <c r="P57" s="214" t="s">
        <v>417</v>
      </c>
      <c r="Q57" s="56" t="s">
        <v>366</v>
      </c>
      <c r="R57" s="56" t="s">
        <v>51</v>
      </c>
      <c r="S57" s="56" t="s">
        <v>367</v>
      </c>
      <c r="T57" s="236" t="str">
        <f>IF(_xlfn.XLOOKUP(F57,IH!Y:Y,IH!AA:AA,"")="MAPPED","MAPPED","")</f>
        <v/>
      </c>
      <c r="U57" s="237" t="str">
        <f>IFERROR(VLOOKUP(H57,IH!C:T,18,0),"")</f>
        <v>MSSF LOGIN</v>
      </c>
      <c r="V57" s="237" t="str">
        <f t="shared" si="3"/>
        <v>DISBURSED</v>
      </c>
      <c r="W57" s="221">
        <f>IFERROR(VLOOKUP(H57,IH!C:X,14,0),"")</f>
        <v>46094</v>
      </c>
      <c r="X57" s="215" t="str">
        <f>VLOOKUP($L57,Emp!$A:$F,5,0)</f>
        <v>SIVAPRASAD</v>
      </c>
      <c r="Y57" s="239" t="str">
        <f>VLOOKUP($H57,ERP!$H:$AP,33,0)</f>
        <v>MANU JOY (C22591),</v>
      </c>
      <c r="Z57" s="239" t="str">
        <f>VLOOKUP($H57,ERP!$H:$AP,34,0)</f>
        <v>MANU SASI</v>
      </c>
    </row>
    <row r="58" hidden="1" customHeight="1" spans="1:26">
      <c r="A58" s="56">
        <v>57</v>
      </c>
      <c r="B58" s="214" t="s">
        <v>719</v>
      </c>
      <c r="C58" s="214" t="s">
        <v>720</v>
      </c>
      <c r="D58" s="214" t="s">
        <v>721</v>
      </c>
      <c r="E58" s="214">
        <v>1430855</v>
      </c>
      <c r="F58" s="214" t="s">
        <v>722</v>
      </c>
      <c r="G58" s="233">
        <v>46094</v>
      </c>
      <c r="H58" s="214">
        <v>2567570592</v>
      </c>
      <c r="I58" s="214" t="s">
        <v>723</v>
      </c>
      <c r="J58" s="214" t="s">
        <v>363</v>
      </c>
      <c r="K58" s="214" t="s">
        <v>364</v>
      </c>
      <c r="L58" s="235" t="s">
        <v>169</v>
      </c>
      <c r="M58" s="215" t="str">
        <f>VLOOKUP($L58,Emp!$A:$F,2,0)</f>
        <v>SIVAPRAKASH K S</v>
      </c>
      <c r="N58" s="215" t="str">
        <f>VLOOKUP($L58,Emp!$A:$F,3,0)</f>
        <v>THRISSUR</v>
      </c>
      <c r="O58" s="215" t="str">
        <f>VLOOKUP($L58,Emp!$A:$F,4,0)</f>
        <v>ARENA</v>
      </c>
      <c r="P58" s="214" t="s">
        <v>365</v>
      </c>
      <c r="Q58" s="56" t="s">
        <v>366</v>
      </c>
      <c r="R58" s="56" t="s">
        <v>51</v>
      </c>
      <c r="S58" s="56" t="s">
        <v>367</v>
      </c>
      <c r="T58" s="236" t="str">
        <f>IF(_xlfn.XLOOKUP(F58,IH!Y:Y,IH!AA:AA,"")="MAPPED","MAPPED","")</f>
        <v/>
      </c>
      <c r="U58" s="237" t="str">
        <f>IFERROR(VLOOKUP(H58,IH!C:T,18,0),"")</f>
        <v>NO</v>
      </c>
      <c r="V58" s="237" t="str">
        <f t="shared" si="3"/>
        <v>DISBURSED</v>
      </c>
      <c r="W58" s="221">
        <f>IFERROR(VLOOKUP(H58,IH!C:X,14,0),"")</f>
        <v>46094</v>
      </c>
      <c r="X58" s="215" t="str">
        <f>VLOOKUP($L58,Emp!$A:$F,5,0)</f>
        <v>SINTO</v>
      </c>
      <c r="Y58" s="239" t="str">
        <f>VLOOKUP($H58,ERP!$H:$AP,33,0)</f>
        <v>NA</v>
      </c>
      <c r="Z58" s="239" t="str">
        <f>VLOOKUP($H58,ERP!$H:$AP,34,0)</f>
        <v>NA</v>
      </c>
    </row>
    <row r="59" hidden="1" customHeight="1" spans="1:26">
      <c r="A59" s="56">
        <v>58</v>
      </c>
      <c r="B59" s="214" t="s">
        <v>724</v>
      </c>
      <c r="C59" s="214" t="s">
        <v>725</v>
      </c>
      <c r="D59" s="214" t="s">
        <v>726</v>
      </c>
      <c r="E59" s="214">
        <v>7934281</v>
      </c>
      <c r="F59" s="214" t="s">
        <v>727</v>
      </c>
      <c r="G59" s="233">
        <v>46095</v>
      </c>
      <c r="H59" s="214">
        <v>2566855716</v>
      </c>
      <c r="I59" s="214" t="s">
        <v>728</v>
      </c>
      <c r="J59" s="214" t="s">
        <v>619</v>
      </c>
      <c r="K59" s="214" t="s">
        <v>729</v>
      </c>
      <c r="L59" s="231" t="s">
        <v>162</v>
      </c>
      <c r="M59" s="215" t="str">
        <f>VLOOKUP($L59,Emp!$A:$F,2,0)</f>
        <v>JESTIN UTHUP JOHN</v>
      </c>
      <c r="N59" s="215" t="str">
        <f>VLOOKUP($L59,Emp!$A:$F,3,0)</f>
        <v>PIRAVOM</v>
      </c>
      <c r="O59" s="215" t="str">
        <f>VLOOKUP($L59,Emp!$A:$F,4,0)</f>
        <v>ARENA</v>
      </c>
      <c r="P59" s="214" t="s">
        <v>596</v>
      </c>
      <c r="Q59" s="56" t="s">
        <v>377</v>
      </c>
      <c r="R59" s="56" t="s">
        <v>378</v>
      </c>
      <c r="S59" s="56" t="s">
        <v>356</v>
      </c>
      <c r="T59" s="236" t="str">
        <f>IF(_xlfn.XLOOKUP(F59,IH!Y:Y,IH!AA:AA,"")="MAPPED","MAPPED","")</f>
        <v/>
      </c>
      <c r="U59" s="237" t="str">
        <f>IFERROR(VLOOKUP(H59,IH!C:T,18,0),"")</f>
        <v/>
      </c>
      <c r="V59" s="237" t="str">
        <f t="shared" ref="V59:V67" si="4">IF(W59&lt;&gt;"","DISBURSED","")</f>
        <v/>
      </c>
      <c r="W59" s="221" t="str">
        <f>IFERROR(VLOOKUP(H59,IH!C:X,14,0),"")</f>
        <v/>
      </c>
      <c r="X59" s="215" t="str">
        <f>VLOOKUP($L59,Emp!$A:$F,5,0)</f>
        <v>AMAL</v>
      </c>
      <c r="Y59" s="239" t="str">
        <f>VLOOKUP($H59,ERP!$H:$AP,33,0)</f>
        <v>AJITH.C.M,</v>
      </c>
      <c r="Z59" s="239" t="str">
        <f>VLOOKUP($H59,ERP!$H:$AP,34,0)</f>
        <v>JUSTIN UTHUP JOHN (PRVM)</v>
      </c>
    </row>
    <row r="60" hidden="1" customHeight="1" spans="1:26">
      <c r="A60" s="56">
        <v>59</v>
      </c>
      <c r="B60" s="214" t="s">
        <v>730</v>
      </c>
      <c r="C60" s="214" t="s">
        <v>731</v>
      </c>
      <c r="D60" s="214">
        <v>372646</v>
      </c>
      <c r="E60" s="214" t="s">
        <v>732</v>
      </c>
      <c r="F60" s="214" t="s">
        <v>733</v>
      </c>
      <c r="G60" s="233">
        <v>46095</v>
      </c>
      <c r="H60" s="214">
        <v>2567247485</v>
      </c>
      <c r="I60" s="214" t="s">
        <v>734</v>
      </c>
      <c r="J60" s="214" t="s">
        <v>735</v>
      </c>
      <c r="K60" s="214" t="s">
        <v>736</v>
      </c>
      <c r="L60" s="231" t="s">
        <v>248</v>
      </c>
      <c r="M60" s="215" t="str">
        <f>VLOOKUP($L60,Emp!$A:$F,2,0)</f>
        <v>JESTIN UTHUP JOHN</v>
      </c>
      <c r="N60" s="215" t="str">
        <f>VLOOKUP($L60,Emp!$A:$F,3,0)</f>
        <v>PIRAVOM</v>
      </c>
      <c r="O60" s="215" t="str">
        <f>VLOOKUP($L60,Emp!$A:$F,4,0)</f>
        <v>ARENA</v>
      </c>
      <c r="P60" s="214" t="s">
        <v>355</v>
      </c>
      <c r="Q60" s="56" t="s">
        <v>355</v>
      </c>
      <c r="R60" s="56" t="s">
        <v>355</v>
      </c>
      <c r="S60" s="56" t="s">
        <v>356</v>
      </c>
      <c r="T60" s="236" t="str">
        <f>IF(_xlfn.XLOOKUP(F60,IH!Y:Y,IH!AA:AA,"")="MAPPED","MAPPED","")</f>
        <v/>
      </c>
      <c r="U60" s="237" t="str">
        <f>IFERROR(VLOOKUP(H60,IH!C:T,18,0),"")</f>
        <v/>
      </c>
      <c r="V60" s="237" t="str">
        <f t="shared" si="4"/>
        <v/>
      </c>
      <c r="W60" s="221" t="str">
        <f>IFERROR(VLOOKUP(H60,IH!C:X,14,0),"")</f>
        <v/>
      </c>
      <c r="X60" s="215" t="str">
        <f>VLOOKUP($L60,Emp!$A:$F,5,0)</f>
        <v>AMAL</v>
      </c>
      <c r="Y60" s="239" t="str">
        <f>VLOOKUP($H60,ERP!$H:$AP,33,0)</f>
        <v>ALFIYA ASHRAF (C26586),</v>
      </c>
      <c r="Z60" s="239" t="str">
        <f>VLOOKUP($H60,ERP!$H:$AP,34,0)</f>
        <v>JUSTIN UTHUP JOHN (PRVM)</v>
      </c>
    </row>
    <row r="61" hidden="1" customHeight="1" spans="1:26">
      <c r="A61" s="56">
        <v>60</v>
      </c>
      <c r="B61" s="214" t="s">
        <v>737</v>
      </c>
      <c r="C61" s="214" t="s">
        <v>738</v>
      </c>
      <c r="D61" s="214" t="s">
        <v>739</v>
      </c>
      <c r="E61" s="214">
        <v>9256911</v>
      </c>
      <c r="F61" s="214" t="s">
        <v>740</v>
      </c>
      <c r="G61" s="233">
        <v>46095</v>
      </c>
      <c r="H61" s="214">
        <v>2567431225</v>
      </c>
      <c r="I61" s="214" t="s">
        <v>741</v>
      </c>
      <c r="J61" s="214" t="s">
        <v>489</v>
      </c>
      <c r="K61" s="214" t="s">
        <v>742</v>
      </c>
      <c r="L61" s="231" t="s">
        <v>64</v>
      </c>
      <c r="M61" s="215" t="str">
        <f>VLOOKUP($L61,Emp!$A:$F,2,0)</f>
        <v>BHAGIESH</v>
      </c>
      <c r="N61" s="215" t="str">
        <f>VLOOKUP($L61,Emp!$A:$F,3,0)</f>
        <v>CHAVAKKAD</v>
      </c>
      <c r="O61" s="215" t="str">
        <f>VLOOKUP($L61,Emp!$A:$F,4,0)</f>
        <v>ARENA</v>
      </c>
      <c r="P61" s="214" t="s">
        <v>743</v>
      </c>
      <c r="Q61" s="56" t="s">
        <v>648</v>
      </c>
      <c r="R61" s="56" t="s">
        <v>51</v>
      </c>
      <c r="S61" s="56" t="s">
        <v>367</v>
      </c>
      <c r="T61" s="236" t="str">
        <f>IF(_xlfn.XLOOKUP(F61,IH!Y:Y,IH!AA:AA,"")="MAPPED","MAPPED","")</f>
        <v/>
      </c>
      <c r="U61" s="237" t="str">
        <f>IFERROR(VLOOKUP(H61,IH!C:T,18,0),"")</f>
        <v>NO</v>
      </c>
      <c r="V61" s="237" t="str">
        <f t="shared" si="4"/>
        <v>DISBURSED</v>
      </c>
      <c r="W61" s="221">
        <f>IFERROR(VLOOKUP(H61,IH!C:X,14,0),"")</f>
        <v>46097</v>
      </c>
      <c r="X61" s="215" t="str">
        <f>VLOOKUP($L61,Emp!$A:$F,5,0)</f>
        <v>SINTO</v>
      </c>
      <c r="Y61" s="239" t="str">
        <f>VLOOKUP($H61,ERP!$H:$AP,33,0)</f>
        <v>RISHAD K.S</v>
      </c>
      <c r="Z61" s="239" t="str">
        <f>VLOOKUP($H61,ERP!$H:$AP,34,0)</f>
        <v>NA</v>
      </c>
    </row>
    <row r="62" hidden="1" customHeight="1" spans="1:26">
      <c r="A62" s="56">
        <v>61</v>
      </c>
      <c r="B62" s="214" t="s">
        <v>744</v>
      </c>
      <c r="C62" s="214" t="s">
        <v>745</v>
      </c>
      <c r="D62" s="214">
        <v>411649</v>
      </c>
      <c r="E62" s="214" t="s">
        <v>746</v>
      </c>
      <c r="F62" s="214" t="s">
        <v>747</v>
      </c>
      <c r="G62" s="233">
        <v>46095</v>
      </c>
      <c r="H62" s="214">
        <v>2567569469</v>
      </c>
      <c r="I62" s="214" t="s">
        <v>748</v>
      </c>
      <c r="J62" s="214" t="s">
        <v>443</v>
      </c>
      <c r="K62" s="214" t="s">
        <v>444</v>
      </c>
      <c r="L62" s="235" t="s">
        <v>240</v>
      </c>
      <c r="M62" s="215" t="str">
        <f>VLOOKUP($L62,Emp!$A:$F,2,0)</f>
        <v>SACHIN</v>
      </c>
      <c r="N62" s="215" t="str">
        <f>VLOOKUP($L62,Emp!$A:$F,3,0)</f>
        <v>KODUNGALLUR</v>
      </c>
      <c r="O62" s="215" t="str">
        <f>VLOOKUP($L62,Emp!$A:$F,4,0)</f>
        <v>ARENA</v>
      </c>
      <c r="P62" s="214" t="s">
        <v>749</v>
      </c>
      <c r="Q62" s="56" t="s">
        <v>750</v>
      </c>
      <c r="R62" s="56" t="s">
        <v>378</v>
      </c>
      <c r="S62" s="56" t="s">
        <v>356</v>
      </c>
      <c r="T62" s="236" t="str">
        <f>IF(_xlfn.XLOOKUP(F62,IH!Y:Y,IH!AA:AA,"")="MAPPED","MAPPED","")</f>
        <v/>
      </c>
      <c r="U62" s="237" t="str">
        <f>IFERROR(VLOOKUP(H62,IH!C:T,18,0),"")</f>
        <v/>
      </c>
      <c r="V62" s="237" t="str">
        <f t="shared" si="4"/>
        <v/>
      </c>
      <c r="W62" s="221" t="str">
        <f>IFERROR(VLOOKUP(H62,IH!C:X,14,0),"")</f>
        <v/>
      </c>
      <c r="X62" s="215" t="str">
        <f>VLOOKUP($L62,Emp!$A:$F,5,0)</f>
        <v>JINEESH</v>
      </c>
      <c r="Y62" s="239" t="str">
        <f>VLOOKUP($H62,ERP!$H:$AP,33,0)</f>
        <v>NA</v>
      </c>
      <c r="Z62" s="239" t="str">
        <f>VLOOKUP($H62,ERP!$H:$AP,34,0)</f>
        <v>NA</v>
      </c>
    </row>
    <row r="63" hidden="1" customHeight="1" spans="1:26">
      <c r="A63" s="56">
        <v>62</v>
      </c>
      <c r="B63" s="214" t="s">
        <v>751</v>
      </c>
      <c r="C63" s="214" t="s">
        <v>752</v>
      </c>
      <c r="D63" s="214" t="s">
        <v>753</v>
      </c>
      <c r="E63" s="214">
        <v>9260672</v>
      </c>
      <c r="F63" s="214" t="s">
        <v>754</v>
      </c>
      <c r="G63" s="233">
        <v>46095</v>
      </c>
      <c r="H63" s="214">
        <v>2567447050</v>
      </c>
      <c r="I63" s="214" t="s">
        <v>755</v>
      </c>
      <c r="J63" s="214" t="s">
        <v>489</v>
      </c>
      <c r="K63" s="214" t="s">
        <v>654</v>
      </c>
      <c r="L63" s="231" t="s">
        <v>80</v>
      </c>
      <c r="M63" s="215" t="str">
        <f>VLOOKUP($L63,Emp!$A:$F,2,0)</f>
        <v>SHEMEER A K</v>
      </c>
      <c r="N63" s="215" t="str">
        <f>VLOOKUP($L63,Emp!$A:$F,3,0)</f>
        <v>EDAPPALLY</v>
      </c>
      <c r="O63" s="215" t="str">
        <f>VLOOKUP($L63,Emp!$A:$F,4,0)</f>
        <v>ARENA</v>
      </c>
      <c r="P63" s="214" t="s">
        <v>436</v>
      </c>
      <c r="Q63" s="56" t="s">
        <v>437</v>
      </c>
      <c r="R63" s="56" t="s">
        <v>51</v>
      </c>
      <c r="S63" s="56" t="s">
        <v>367</v>
      </c>
      <c r="T63" s="236" t="str">
        <f>IF(_xlfn.XLOOKUP(F63,IH!Y:Y,IH!AA:AA,"")="MAPPED","MAPPED","")</f>
        <v>MAPPED</v>
      </c>
      <c r="U63" s="237" t="str">
        <f>IFERROR(VLOOKUP(H63,IH!C:T,18,0),"")</f>
        <v>MSSF DISBURSED</v>
      </c>
      <c r="V63" s="237" t="str">
        <f t="shared" si="4"/>
        <v>DISBURSED</v>
      </c>
      <c r="W63" s="221">
        <f>IFERROR(VLOOKUP(H63,IH!C:X,14,0),"")</f>
        <v>46095</v>
      </c>
      <c r="X63" s="215" t="str">
        <f>VLOOKUP($L63,Emp!$A:$F,5,0)</f>
        <v>SIVAPRASAD</v>
      </c>
      <c r="Y63" s="239" t="str">
        <f>VLOOKUP($H63,ERP!$H:$AP,33,0)</f>
        <v>MOHAMMED RIYAS (C25510),</v>
      </c>
      <c r="Z63" s="239" t="str">
        <f>VLOOKUP($H63,ERP!$H:$AP,34,0)</f>
        <v>SHEMEER.AK</v>
      </c>
    </row>
    <row r="64" hidden="1" customHeight="1" spans="1:26">
      <c r="A64" s="56">
        <v>63</v>
      </c>
      <c r="B64" s="214" t="s">
        <v>756</v>
      </c>
      <c r="C64" s="214" t="s">
        <v>757</v>
      </c>
      <c r="D64" s="214">
        <v>757971</v>
      </c>
      <c r="E64" s="214">
        <v>7916153</v>
      </c>
      <c r="F64" s="214" t="s">
        <v>758</v>
      </c>
      <c r="G64" s="233">
        <v>46095</v>
      </c>
      <c r="H64" s="214">
        <v>2567608985</v>
      </c>
      <c r="I64" s="214" t="s">
        <v>759</v>
      </c>
      <c r="J64" s="214" t="s">
        <v>463</v>
      </c>
      <c r="K64" s="214" t="s">
        <v>760</v>
      </c>
      <c r="L64" s="235" t="s">
        <v>65</v>
      </c>
      <c r="M64" s="215" t="str">
        <f>VLOOKUP($L64,Emp!$A:$F,2,0)</f>
        <v>ABHILASH K P</v>
      </c>
      <c r="N64" s="215" t="str">
        <f>VLOOKUP($L64,Emp!$A:$F,3,0)</f>
        <v>EDAPPALLY</v>
      </c>
      <c r="O64" s="215" t="str">
        <f>VLOOKUP($L64,Emp!$A:$F,4,0)</f>
        <v>ARENA</v>
      </c>
      <c r="P64" s="214" t="s">
        <v>385</v>
      </c>
      <c r="Q64" s="56" t="s">
        <v>386</v>
      </c>
      <c r="R64" s="56" t="s">
        <v>51</v>
      </c>
      <c r="S64" s="56" t="s">
        <v>367</v>
      </c>
      <c r="T64" s="236" t="str">
        <f>IF(_xlfn.XLOOKUP(F64,IH!Y:Y,IH!AA:AA,"")="MAPPED","MAPPED","")</f>
        <v/>
      </c>
      <c r="U64" s="237" t="str">
        <f>IFERROR(VLOOKUP(H64,IH!C:T,18,0),"")</f>
        <v>MSSF LOGIN</v>
      </c>
      <c r="V64" s="237" t="str">
        <f t="shared" si="4"/>
        <v>DISBURSED</v>
      </c>
      <c r="W64" s="221">
        <f>IFERROR(VLOOKUP(H64,IH!C:X,14,0),"")</f>
        <v>46093</v>
      </c>
      <c r="X64" s="215" t="str">
        <f>VLOOKUP($L64,Emp!$A:$F,5,0)</f>
        <v>SIVAPRASAD</v>
      </c>
      <c r="Y64" s="239" t="str">
        <f>VLOOKUP($H64,ERP!$H:$AP,33,0)</f>
        <v>NA</v>
      </c>
      <c r="Z64" s="239" t="str">
        <f>VLOOKUP($H64,ERP!$H:$AP,34,0)</f>
        <v>NA</v>
      </c>
    </row>
    <row r="65" hidden="1" customHeight="1" spans="1:26">
      <c r="A65" s="56">
        <v>64</v>
      </c>
      <c r="B65" s="214" t="s">
        <v>761</v>
      </c>
      <c r="C65" s="214" t="s">
        <v>762</v>
      </c>
      <c r="D65" s="214">
        <v>396569</v>
      </c>
      <c r="E65" s="214" t="s">
        <v>763</v>
      </c>
      <c r="F65" s="214" t="s">
        <v>764</v>
      </c>
      <c r="G65" s="233">
        <v>46095</v>
      </c>
      <c r="H65" s="214">
        <v>2567602958</v>
      </c>
      <c r="I65" s="214" t="s">
        <v>765</v>
      </c>
      <c r="J65" s="214" t="s">
        <v>443</v>
      </c>
      <c r="K65" s="214" t="s">
        <v>444</v>
      </c>
      <c r="L65" s="235" t="s">
        <v>95</v>
      </c>
      <c r="M65" s="215" t="str">
        <f>VLOOKUP($L65,Emp!$A:$F,2,0)</f>
        <v>KASI VISWANATH</v>
      </c>
      <c r="N65" s="215" t="str">
        <f>VLOOKUP($L65,Emp!$A:$F,3,0)</f>
        <v>KAIPAMANGALAM</v>
      </c>
      <c r="O65" s="215" t="str">
        <f>VLOOKUP($L65,Emp!$A:$F,4,0)</f>
        <v>ARENA</v>
      </c>
      <c r="P65" s="214" t="s">
        <v>456</v>
      </c>
      <c r="Q65" s="56" t="s">
        <v>457</v>
      </c>
      <c r="R65" s="56" t="s">
        <v>51</v>
      </c>
      <c r="S65" s="56" t="s">
        <v>367</v>
      </c>
      <c r="T65" s="236" t="str">
        <f>IF(_xlfn.XLOOKUP(F65,IH!Y:Y,IH!AA:AA,"")="MAPPED","MAPPED","")</f>
        <v>MAPPED</v>
      </c>
      <c r="U65" s="237" t="str">
        <f>IFERROR(VLOOKUP(H65,IH!C:T,18,0),"")</f>
        <v>MSSF DISBURSED</v>
      </c>
      <c r="V65" s="237" t="str">
        <f t="shared" si="4"/>
        <v>DISBURSED</v>
      </c>
      <c r="W65" s="221">
        <f>IFERROR(VLOOKUP(H65,IH!C:X,14,0),"")</f>
        <v>46094</v>
      </c>
      <c r="X65" s="215" t="str">
        <f>VLOOKUP($L65,Emp!$A:$F,5,0)</f>
        <v>JINEESH</v>
      </c>
      <c r="Y65" s="239" t="str">
        <f>VLOOKUP($H65,ERP!$H:$AP,33,0)</f>
        <v>NA</v>
      </c>
      <c r="Z65" s="239" t="str">
        <f>VLOOKUP($H65,ERP!$H:$AP,34,0)</f>
        <v>NA</v>
      </c>
    </row>
    <row r="66" hidden="1" customHeight="1" spans="1:26">
      <c r="A66" s="56">
        <v>65</v>
      </c>
      <c r="B66" s="214" t="s">
        <v>766</v>
      </c>
      <c r="C66" s="214" t="s">
        <v>767</v>
      </c>
      <c r="D66" s="214">
        <v>167199</v>
      </c>
      <c r="E66" s="214" t="s">
        <v>768</v>
      </c>
      <c r="F66" s="214" t="s">
        <v>769</v>
      </c>
      <c r="G66" s="233">
        <v>46095</v>
      </c>
      <c r="H66" s="214">
        <v>2567412643</v>
      </c>
      <c r="I66" s="214" t="s">
        <v>770</v>
      </c>
      <c r="J66" s="214" t="s">
        <v>353</v>
      </c>
      <c r="K66" s="214" t="s">
        <v>631</v>
      </c>
      <c r="L66" s="231" t="s">
        <v>119</v>
      </c>
      <c r="M66" s="215" t="str">
        <f>VLOOKUP($L66,Emp!$A:$F,2,0)</f>
        <v>ARUN BABU</v>
      </c>
      <c r="N66" s="215" t="str">
        <f>VLOOKUP($L66,Emp!$A:$F,3,0)</f>
        <v>KOOTHATTUKULAM</v>
      </c>
      <c r="O66" s="215" t="str">
        <f>VLOOKUP($L66,Emp!$A:$F,4,0)</f>
        <v>ARENA</v>
      </c>
      <c r="P66" s="214" t="s">
        <v>355</v>
      </c>
      <c r="Q66" s="56" t="s">
        <v>355</v>
      </c>
      <c r="R66" s="56" t="s">
        <v>355</v>
      </c>
      <c r="S66" s="56" t="s">
        <v>356</v>
      </c>
      <c r="T66" s="236" t="str">
        <f>IF(_xlfn.XLOOKUP(F66,IH!Y:Y,IH!AA:AA,"")="MAPPED","MAPPED","")</f>
        <v/>
      </c>
      <c r="U66" s="237" t="str">
        <f>IFERROR(VLOOKUP(H66,IH!C:T,18,0),"")</f>
        <v/>
      </c>
      <c r="V66" s="237" t="str">
        <f t="shared" si="4"/>
        <v/>
      </c>
      <c r="W66" s="221" t="str">
        <f>IFERROR(VLOOKUP(H66,IH!C:X,14,0),"")</f>
        <v/>
      </c>
      <c r="X66" s="215" t="str">
        <f>VLOOKUP($L66,Emp!$A:$F,5,0)</f>
        <v>AMAL</v>
      </c>
      <c r="Y66" s="239" t="str">
        <f>VLOOKUP($H66,ERP!$H:$AP,33,0)</f>
        <v>SATHEESH A.V. (C20658),</v>
      </c>
      <c r="Z66" s="239" t="str">
        <f>VLOOKUP($H66,ERP!$H:$AP,34,0)</f>
        <v>ARUN BABU(KTLM)</v>
      </c>
    </row>
    <row r="67" hidden="1" customHeight="1" spans="1:26">
      <c r="A67" s="56">
        <v>66</v>
      </c>
      <c r="B67" s="214" t="s">
        <v>771</v>
      </c>
      <c r="C67" s="214" t="s">
        <v>772</v>
      </c>
      <c r="D67" s="214" t="s">
        <v>773</v>
      </c>
      <c r="E67" s="214">
        <v>9258855</v>
      </c>
      <c r="F67" s="214" t="s">
        <v>774</v>
      </c>
      <c r="G67" s="233">
        <v>46095</v>
      </c>
      <c r="H67" s="214">
        <v>2567474135</v>
      </c>
      <c r="I67" s="214" t="s">
        <v>775</v>
      </c>
      <c r="J67" s="214" t="s">
        <v>489</v>
      </c>
      <c r="K67" s="214" t="s">
        <v>742</v>
      </c>
      <c r="L67" s="231" t="s">
        <v>119</v>
      </c>
      <c r="M67" s="215" t="str">
        <f>VLOOKUP($L67,Emp!$A:$F,2,0)</f>
        <v>ARUN BABU</v>
      </c>
      <c r="N67" s="215" t="str">
        <f>VLOOKUP($L67,Emp!$A:$F,3,0)</f>
        <v>KOOTHATTUKULAM</v>
      </c>
      <c r="O67" s="215" t="str">
        <f>VLOOKUP($L67,Emp!$A:$F,4,0)</f>
        <v>ARENA</v>
      </c>
      <c r="P67" s="214" t="s">
        <v>776</v>
      </c>
      <c r="Q67" s="56" t="s">
        <v>777</v>
      </c>
      <c r="R67" s="56" t="s">
        <v>51</v>
      </c>
      <c r="S67" s="56" t="s">
        <v>367</v>
      </c>
      <c r="T67" s="236" t="str">
        <f>IF(_xlfn.XLOOKUP(F67,IH!Y:Y,IH!AA:AA,"")="MAPPED","MAPPED","")</f>
        <v/>
      </c>
      <c r="U67" s="237" t="str">
        <f>IFERROR(VLOOKUP(H67,IH!C:T,18,0),"")</f>
        <v>MSSF LOGIN</v>
      </c>
      <c r="V67" s="237" t="str">
        <f t="shared" si="4"/>
        <v>DISBURSED</v>
      </c>
      <c r="W67" s="221">
        <f>IFERROR(VLOOKUP(H67,IH!C:X,14,0),"")</f>
        <v>46097</v>
      </c>
      <c r="X67" s="215" t="str">
        <f>VLOOKUP($L67,Emp!$A:$F,5,0)</f>
        <v>AMAL</v>
      </c>
      <c r="Y67" s="239" t="str">
        <f>VLOOKUP($H67,ERP!$H:$AP,33,0)</f>
        <v>SATHEESH A.V. (C20658),</v>
      </c>
      <c r="Z67" s="239" t="str">
        <f>VLOOKUP($H67,ERP!$H:$AP,34,0)</f>
        <v>ARUN BABU(KTLM)</v>
      </c>
    </row>
    <row r="68" hidden="1" customHeight="1" spans="1:26">
      <c r="A68" s="56">
        <v>67</v>
      </c>
      <c r="B68" s="214" t="s">
        <v>778</v>
      </c>
      <c r="C68" s="214" t="s">
        <v>779</v>
      </c>
      <c r="D68" s="214" t="s">
        <v>780</v>
      </c>
      <c r="E68" s="214" t="s">
        <v>781</v>
      </c>
      <c r="F68" s="214" t="s">
        <v>782</v>
      </c>
      <c r="G68" s="233">
        <v>46097</v>
      </c>
      <c r="H68" s="214">
        <v>2566867952</v>
      </c>
      <c r="I68" s="214" t="s">
        <v>783</v>
      </c>
      <c r="J68" s="214" t="s">
        <v>489</v>
      </c>
      <c r="K68" s="214" t="s">
        <v>784</v>
      </c>
      <c r="L68" s="231" t="s">
        <v>157</v>
      </c>
      <c r="M68" s="215" t="str">
        <f>VLOOKUP($L68,Emp!$A:$F,2,0)</f>
        <v>SIJO VARGHESE GEORGE</v>
      </c>
      <c r="N68" s="215" t="str">
        <f>VLOOKUP($L68,Emp!$A:$F,3,0)</f>
        <v>PERUMBAVOOR</v>
      </c>
      <c r="O68" s="215" t="str">
        <f>VLOOKUP($L68,Emp!$A:$F,4,0)</f>
        <v>ARENA</v>
      </c>
      <c r="P68" s="214" t="s">
        <v>611</v>
      </c>
      <c r="Q68" s="56" t="s">
        <v>612</v>
      </c>
      <c r="R68" s="56" t="s">
        <v>51</v>
      </c>
      <c r="S68" s="56" t="s">
        <v>367</v>
      </c>
      <c r="T68" s="236" t="str">
        <f>IF(_xlfn.XLOOKUP(F68,IH!Y:Y,IH!AA:AA,"")="MAPPED","MAPPED","")</f>
        <v/>
      </c>
      <c r="U68" s="237" t="str">
        <f>IFERROR(VLOOKUP(H68,IH!C:T,18,0),"")</f>
        <v>MSSF DISBURSED</v>
      </c>
      <c r="V68" s="237" t="str">
        <f t="shared" ref="V68:V75" si="5">IF(W68&lt;&gt;"","DISBURSED","")</f>
        <v>DISBURSED</v>
      </c>
      <c r="W68" s="221">
        <f>IFERROR(VLOOKUP(H68,IH!C:X,14,0),"")</f>
        <v>46098</v>
      </c>
      <c r="X68" s="215" t="str">
        <f>VLOOKUP($L68,Emp!$A:$F,5,0)</f>
        <v>SALMAN</v>
      </c>
      <c r="Y68" s="239" t="str">
        <f>VLOOKUP($H68,ERP!$H:$AP,33,0)</f>
        <v>NIGIL GEORGE(C23881),</v>
      </c>
      <c r="Z68" s="239" t="str">
        <f>VLOOKUP($H68,ERP!$H:$AP,34,0)</f>
        <v>SIJO VARGHESE GEORGE (PBVR)</v>
      </c>
    </row>
    <row r="69" hidden="1" customHeight="1" spans="1:26">
      <c r="A69" s="56">
        <v>68</v>
      </c>
      <c r="B69" s="214" t="s">
        <v>785</v>
      </c>
      <c r="C69" s="214" t="s">
        <v>786</v>
      </c>
      <c r="D69" s="214">
        <v>412411</v>
      </c>
      <c r="E69" s="214" t="s">
        <v>787</v>
      </c>
      <c r="F69" s="214" t="s">
        <v>788</v>
      </c>
      <c r="G69" s="233">
        <v>46097</v>
      </c>
      <c r="H69" s="214">
        <v>2567569135</v>
      </c>
      <c r="I69" s="214" t="s">
        <v>789</v>
      </c>
      <c r="J69" s="214" t="s">
        <v>666</v>
      </c>
      <c r="K69" s="214" t="s">
        <v>790</v>
      </c>
      <c r="L69" s="231" t="s">
        <v>160</v>
      </c>
      <c r="M69" s="215" t="str">
        <f>VLOOKUP($L69,Emp!$A:$F,2,0)</f>
        <v>SIJO VARGHESE GEORGE</v>
      </c>
      <c r="N69" s="215" t="str">
        <f>VLOOKUP($L69,Emp!$A:$F,3,0)</f>
        <v>PERUMBAVOOR</v>
      </c>
      <c r="O69" s="215" t="str">
        <f>VLOOKUP($L69,Emp!$A:$F,4,0)</f>
        <v>ARENA</v>
      </c>
      <c r="P69" s="214" t="s">
        <v>706</v>
      </c>
      <c r="Q69" s="56" t="s">
        <v>648</v>
      </c>
      <c r="R69" s="56" t="s">
        <v>51</v>
      </c>
      <c r="S69" s="56" t="s">
        <v>367</v>
      </c>
      <c r="T69" s="236" t="str">
        <f>IF(_xlfn.XLOOKUP(F69,IH!Y:Y,IH!AA:AA,"")="MAPPED","MAPPED","")</f>
        <v/>
      </c>
      <c r="U69" s="237" t="str">
        <f>IFERROR(VLOOKUP(H69,IH!C:T,18,0),"")</f>
        <v>MSSF LOGIN</v>
      </c>
      <c r="V69" s="237" t="str">
        <f t="shared" si="5"/>
        <v>DISBURSED</v>
      </c>
      <c r="W69" s="221">
        <f>IFERROR(VLOOKUP(H69,IH!C:X,14,0),"")</f>
        <v>46094</v>
      </c>
      <c r="X69" s="215" t="str">
        <f>VLOOKUP($L69,Emp!$A:$F,5,0)</f>
        <v>SALMAN</v>
      </c>
      <c r="Y69" s="239" t="str">
        <f>VLOOKUP($H69,ERP!$H:$AP,33,0)</f>
        <v>VISHNU RAJU (C25990),</v>
      </c>
      <c r="Z69" s="239" t="str">
        <f>VLOOKUP($H69,ERP!$H:$AP,34,0)</f>
        <v>SIJO VARGHESE GEORGE (PBVR)</v>
      </c>
    </row>
    <row r="70" hidden="1" customHeight="1" spans="1:26">
      <c r="A70" s="56">
        <v>69</v>
      </c>
      <c r="B70" s="214" t="s">
        <v>785</v>
      </c>
      <c r="C70" s="214" t="s">
        <v>791</v>
      </c>
      <c r="D70" s="214">
        <v>537926</v>
      </c>
      <c r="E70" s="214">
        <v>1433993</v>
      </c>
      <c r="F70" s="214" t="s">
        <v>792</v>
      </c>
      <c r="G70" s="233">
        <v>46097</v>
      </c>
      <c r="H70" s="214">
        <v>2567458364</v>
      </c>
      <c r="I70" s="214" t="s">
        <v>793</v>
      </c>
      <c r="J70" s="214" t="s">
        <v>683</v>
      </c>
      <c r="K70" s="214" t="s">
        <v>794</v>
      </c>
      <c r="L70" s="231" t="s">
        <v>221</v>
      </c>
      <c r="M70" s="215" t="str">
        <f>VLOOKUP($L70,Emp!$A:$F,2,0)</f>
        <v>BHAGIESH</v>
      </c>
      <c r="N70" s="215" t="str">
        <f>VLOOKUP($L70,Emp!$A:$F,3,0)</f>
        <v>CHAVAKKAD</v>
      </c>
      <c r="O70" s="215" t="str">
        <f>VLOOKUP($L70,Emp!$A:$F,4,0)</f>
        <v>ARENA</v>
      </c>
      <c r="P70" s="214" t="s">
        <v>795</v>
      </c>
      <c r="Q70" s="56" t="s">
        <v>796</v>
      </c>
      <c r="R70" s="56" t="s">
        <v>378</v>
      </c>
      <c r="S70" s="56" t="s">
        <v>356</v>
      </c>
      <c r="T70" s="236" t="str">
        <f>IF(_xlfn.XLOOKUP(F70,IH!Y:Y,IH!AA:AA,"")="MAPPED","MAPPED","")</f>
        <v/>
      </c>
      <c r="U70" s="237" t="str">
        <f>IFERROR(VLOOKUP(H70,IH!C:T,18,0),"")</f>
        <v/>
      </c>
      <c r="V70" s="237" t="str">
        <f t="shared" si="5"/>
        <v/>
      </c>
      <c r="W70" s="221" t="str">
        <f>IFERROR(VLOOKUP(H70,IH!C:X,14,0),"")</f>
        <v/>
      </c>
      <c r="X70" s="215" t="str">
        <f>VLOOKUP($L70,Emp!$A:$F,5,0)</f>
        <v>SINTO</v>
      </c>
      <c r="Y70" s="239" t="str">
        <f>VLOOKUP($H70,ERP!$H:$AP,33,0)</f>
        <v>NABEEL P A (C26239),</v>
      </c>
      <c r="Z70" s="239" t="str">
        <f>VLOOKUP($H70,ERP!$H:$AP,34,0)</f>
        <v>BHAGIESH P (CHKD)</v>
      </c>
    </row>
    <row r="71" hidden="1" customHeight="1" spans="1:26">
      <c r="A71" s="56">
        <v>70</v>
      </c>
      <c r="B71" s="214" t="s">
        <v>797</v>
      </c>
      <c r="C71" s="214" t="s">
        <v>798</v>
      </c>
      <c r="D71" s="214" t="s">
        <v>799</v>
      </c>
      <c r="E71" s="214">
        <v>1426712</v>
      </c>
      <c r="F71" s="214" t="s">
        <v>800</v>
      </c>
      <c r="G71" s="233">
        <v>46097</v>
      </c>
      <c r="H71" s="214">
        <v>2566580634</v>
      </c>
      <c r="I71" s="214" t="s">
        <v>801</v>
      </c>
      <c r="J71" s="214" t="s">
        <v>489</v>
      </c>
      <c r="K71" s="214" t="s">
        <v>520</v>
      </c>
      <c r="L71" s="231" t="s">
        <v>68</v>
      </c>
      <c r="M71" s="215" t="str">
        <f>VLOOKUP($L71,Emp!$A:$F,2,0)</f>
        <v>MANU SASI</v>
      </c>
      <c r="N71" s="215" t="str">
        <f>VLOOKUP($L71,Emp!$A:$F,3,0)</f>
        <v>EDAPPALLY</v>
      </c>
      <c r="O71" s="215" t="str">
        <f>VLOOKUP($L71,Emp!$A:$F,4,0)</f>
        <v>ARENA</v>
      </c>
      <c r="P71" s="214" t="s">
        <v>355</v>
      </c>
      <c r="Q71" s="56" t="s">
        <v>355</v>
      </c>
      <c r="R71" s="56" t="s">
        <v>355</v>
      </c>
      <c r="S71" s="56" t="s">
        <v>356</v>
      </c>
      <c r="T71" s="236" t="str">
        <f>IF(_xlfn.XLOOKUP(F71,IH!Y:Y,IH!AA:AA,"")="MAPPED","MAPPED","")</f>
        <v/>
      </c>
      <c r="U71" s="237" t="str">
        <f>IFERROR(VLOOKUP(H71,IH!C:T,18,0),"")</f>
        <v/>
      </c>
      <c r="V71" s="237" t="str">
        <f t="shared" si="5"/>
        <v/>
      </c>
      <c r="W71" s="221" t="str">
        <f>IFERROR(VLOOKUP(H71,IH!C:X,14,0),"")</f>
        <v/>
      </c>
      <c r="X71" s="215" t="str">
        <f>VLOOKUP($L71,Emp!$A:$F,5,0)</f>
        <v>SIVAPRASAD</v>
      </c>
      <c r="Y71" s="239" t="str">
        <f>VLOOKUP($H71,ERP!$H:$AP,33,0)</f>
        <v>LANEESH A S(C21174), Mr.</v>
      </c>
      <c r="Z71" s="239" t="str">
        <f>VLOOKUP($H71,ERP!$H:$AP,34,0)</f>
        <v>MANU SASI</v>
      </c>
    </row>
    <row r="72" hidden="1" customHeight="1" spans="1:26">
      <c r="A72" s="56">
        <v>71</v>
      </c>
      <c r="B72" s="214" t="s">
        <v>802</v>
      </c>
      <c r="C72" s="214" t="s">
        <v>803</v>
      </c>
      <c r="D72" s="214">
        <v>158777</v>
      </c>
      <c r="E72" s="214" t="s">
        <v>804</v>
      </c>
      <c r="F72" s="214" t="s">
        <v>805</v>
      </c>
      <c r="G72" s="233">
        <v>46097</v>
      </c>
      <c r="H72" s="214">
        <v>2567578977</v>
      </c>
      <c r="I72" s="214" t="s">
        <v>806</v>
      </c>
      <c r="J72" s="214" t="s">
        <v>353</v>
      </c>
      <c r="K72" s="214" t="s">
        <v>807</v>
      </c>
      <c r="L72" s="231" t="s">
        <v>173</v>
      </c>
      <c r="M72" s="215" t="str">
        <f>VLOOKUP($L72,Emp!$A:$F,2,0)</f>
        <v>PRANOOB V NAIR</v>
      </c>
      <c r="N72" s="215" t="str">
        <f>VLOOKUP($L72,Emp!$A:$F,3,0)</f>
        <v>TRIPPUNITHURA</v>
      </c>
      <c r="O72" s="215" t="str">
        <f>VLOOKUP($L72,Emp!$A:$F,4,0)</f>
        <v>ARENA</v>
      </c>
      <c r="P72" s="214" t="s">
        <v>355</v>
      </c>
      <c r="Q72" s="56" t="s">
        <v>355</v>
      </c>
      <c r="R72" s="56" t="s">
        <v>355</v>
      </c>
      <c r="S72" s="56" t="s">
        <v>356</v>
      </c>
      <c r="T72" s="236" t="str">
        <f>IF(_xlfn.XLOOKUP(F72,IH!Y:Y,IH!AA:AA,"")="MAPPED","MAPPED","")</f>
        <v/>
      </c>
      <c r="U72" s="237" t="str">
        <f>IFERROR(VLOOKUP(H72,IH!C:T,18,0),"")</f>
        <v/>
      </c>
      <c r="V72" s="237" t="str">
        <f t="shared" si="5"/>
        <v/>
      </c>
      <c r="W72" s="221" t="str">
        <f>IFERROR(VLOOKUP(H72,IH!C:X,14,0),"")</f>
        <v/>
      </c>
      <c r="X72" s="215" t="str">
        <f>VLOOKUP($L72,Emp!$A:$F,5,0)</f>
        <v>SIVAPRASAD</v>
      </c>
      <c r="Y72" s="239" t="str">
        <f>VLOOKUP($H72,ERP!$H:$AP,33,0)</f>
        <v>CHANCHAL JOS ANTONY (C25630),</v>
      </c>
      <c r="Z72" s="239" t="str">
        <f>VLOOKUP($H72,ERP!$H:$AP,34,0)</f>
        <v>PRANOOB V (TPRA)</v>
      </c>
    </row>
    <row r="73" hidden="1" customHeight="1" spans="1:26">
      <c r="A73" s="56">
        <v>72</v>
      </c>
      <c r="B73" s="214" t="s">
        <v>808</v>
      </c>
      <c r="C73" s="214" t="s">
        <v>809</v>
      </c>
      <c r="D73" s="214" t="s">
        <v>810</v>
      </c>
      <c r="E73" s="214">
        <v>4585999</v>
      </c>
      <c r="F73" s="214" t="s">
        <v>811</v>
      </c>
      <c r="G73" s="233">
        <v>46097</v>
      </c>
      <c r="H73" s="214">
        <v>2567441049</v>
      </c>
      <c r="I73" s="214" t="s">
        <v>812</v>
      </c>
      <c r="J73" s="214" t="s">
        <v>532</v>
      </c>
      <c r="K73" s="214" t="s">
        <v>813</v>
      </c>
      <c r="L73" s="231" t="s">
        <v>75</v>
      </c>
      <c r="M73" s="215" t="str">
        <f>VLOOKUP($L73,Emp!$A:$F,2,0)</f>
        <v>NOUFAL T A</v>
      </c>
      <c r="N73" s="215" t="str">
        <f>VLOOKUP($L73,Emp!$A:$F,3,0)</f>
        <v>EDAPPALLY</v>
      </c>
      <c r="O73" s="215" t="str">
        <f>VLOOKUP($L73,Emp!$A:$F,4,0)</f>
        <v>ARENA</v>
      </c>
      <c r="P73" s="214" t="s">
        <v>410</v>
      </c>
      <c r="Q73" s="56" t="s">
        <v>411</v>
      </c>
      <c r="R73" s="56" t="s">
        <v>51</v>
      </c>
      <c r="S73" s="56" t="s">
        <v>367</v>
      </c>
      <c r="T73" s="236" t="str">
        <f>IF(_xlfn.XLOOKUP(F73,IH!Y:Y,IH!AA:AA,"")="MAPPED","MAPPED","")</f>
        <v/>
      </c>
      <c r="U73" s="237" t="str">
        <f>IFERROR(VLOOKUP(H73,IH!C:T,18,0),"")</f>
        <v>MSSF DISBURSED</v>
      </c>
      <c r="V73" s="237" t="str">
        <f t="shared" si="5"/>
        <v>DISBURSED</v>
      </c>
      <c r="W73" s="221">
        <f>IFERROR(VLOOKUP(H73,IH!C:X,14,0),"")</f>
        <v>46098</v>
      </c>
      <c r="X73" s="215" t="str">
        <f>VLOOKUP($L73,Emp!$A:$F,5,0)</f>
        <v>SIVAPRASAD</v>
      </c>
      <c r="Y73" s="239" t="str">
        <f>VLOOKUP($H73,ERP!$H:$AP,33,0)</f>
        <v>SREENATH R PRABHU (C23391),</v>
      </c>
      <c r="Z73" s="239" t="str">
        <f>VLOOKUP($H73,ERP!$H:$AP,34,0)</f>
        <v>MANU SASI</v>
      </c>
    </row>
    <row r="74" hidden="1" customHeight="1" spans="1:26">
      <c r="A74" s="56">
        <v>73</v>
      </c>
      <c r="B74" s="214" t="s">
        <v>814</v>
      </c>
      <c r="C74" s="214" t="s">
        <v>815</v>
      </c>
      <c r="D74" s="214">
        <v>646337</v>
      </c>
      <c r="E74" s="214" t="s">
        <v>816</v>
      </c>
      <c r="F74" s="214" t="s">
        <v>817</v>
      </c>
      <c r="G74" s="233">
        <v>46097</v>
      </c>
      <c r="H74" s="214">
        <v>2567639079</v>
      </c>
      <c r="I74" s="214" t="s">
        <v>818</v>
      </c>
      <c r="J74" s="214" t="s">
        <v>463</v>
      </c>
      <c r="K74" s="214" t="s">
        <v>819</v>
      </c>
      <c r="L74" s="231" t="s">
        <v>65</v>
      </c>
      <c r="M74" s="215" t="str">
        <f>VLOOKUP($L74,Emp!$A:$F,2,0)</f>
        <v>ABHILASH K P</v>
      </c>
      <c r="N74" s="215" t="str">
        <f>VLOOKUP($L74,Emp!$A:$F,3,0)</f>
        <v>EDAPPALLY</v>
      </c>
      <c r="O74" s="215" t="str">
        <f>VLOOKUP($L74,Emp!$A:$F,4,0)</f>
        <v>ARENA</v>
      </c>
      <c r="P74" s="214" t="s">
        <v>611</v>
      </c>
      <c r="Q74" s="56" t="s">
        <v>612</v>
      </c>
      <c r="R74" s="56" t="s">
        <v>51</v>
      </c>
      <c r="S74" s="56" t="s">
        <v>367</v>
      </c>
      <c r="T74" s="236" t="str">
        <f>IF(_xlfn.XLOOKUP(F74,IH!Y:Y,IH!AA:AA,"")="MAPPED","MAPPED","")</f>
        <v/>
      </c>
      <c r="U74" s="237" t="str">
        <f>IFERROR(VLOOKUP(H74,IH!C:T,18,0),"")</f>
        <v>MSSF LOGIN</v>
      </c>
      <c r="V74" s="237" t="str">
        <f t="shared" si="5"/>
        <v>DISBURSED</v>
      </c>
      <c r="W74" s="221">
        <f>IFERROR(VLOOKUP(H74,IH!C:X,14,0),"")</f>
        <v>46094</v>
      </c>
      <c r="X74" s="215" t="str">
        <f>VLOOKUP($L74,Emp!$A:$F,5,0)</f>
        <v>SIVAPRASAD</v>
      </c>
      <c r="Y74" s="239" t="str">
        <f>VLOOKUP($H74,ERP!$H:$AP,33,0)</f>
        <v>ABHILASH P.C (C21931),</v>
      </c>
      <c r="Z74" s="239" t="str">
        <f>VLOOKUP($H74,ERP!$H:$AP,34,0)</f>
        <v>ABHILASH K P (C21618)</v>
      </c>
    </row>
    <row r="75" hidden="1" customHeight="1" spans="1:26">
      <c r="A75" s="56">
        <v>74</v>
      </c>
      <c r="B75" s="214" t="s">
        <v>820</v>
      </c>
      <c r="C75" s="214" t="s">
        <v>821</v>
      </c>
      <c r="D75" s="214" t="s">
        <v>822</v>
      </c>
      <c r="E75" s="214">
        <v>4593670</v>
      </c>
      <c r="F75" s="214" t="s">
        <v>823</v>
      </c>
      <c r="G75" s="233">
        <v>46097</v>
      </c>
      <c r="H75" s="214">
        <v>2566736333</v>
      </c>
      <c r="I75" s="214" t="s">
        <v>824</v>
      </c>
      <c r="J75" s="214" t="s">
        <v>639</v>
      </c>
      <c r="K75" s="214" t="s">
        <v>640</v>
      </c>
      <c r="L75" s="231" t="s">
        <v>108</v>
      </c>
      <c r="M75" s="215" t="str">
        <f>VLOOKUP($L75,Emp!$A:$F,2,0)</f>
        <v>RIJITH</v>
      </c>
      <c r="N75" s="215" t="str">
        <f>VLOOKUP($L75,Emp!$A:$F,3,0)</f>
        <v>STUDIO KDLR</v>
      </c>
      <c r="O75" s="215" t="str">
        <f>VLOOKUP($L75,Emp!$A:$F,4,0)</f>
        <v>STUDIO</v>
      </c>
      <c r="P75" s="214" t="s">
        <v>776</v>
      </c>
      <c r="Q75" s="56" t="s">
        <v>777</v>
      </c>
      <c r="R75" s="56" t="s">
        <v>51</v>
      </c>
      <c r="S75" s="56" t="s">
        <v>367</v>
      </c>
      <c r="T75" s="236" t="str">
        <f>IF(_xlfn.XLOOKUP(F75,IH!Y:Y,IH!AA:AA,"")="MAPPED","MAPPED","")</f>
        <v>MAPPED</v>
      </c>
      <c r="U75" s="237" t="str">
        <f>IFERROR(VLOOKUP(H75,IH!C:T,18,0),"")</f>
        <v>MSSF DISBURSED</v>
      </c>
      <c r="V75" s="237" t="str">
        <f t="shared" si="5"/>
        <v>DISBURSED</v>
      </c>
      <c r="W75" s="221">
        <f>IFERROR(VLOOKUP(H75,IH!C:X,14,0),"")</f>
        <v>46098</v>
      </c>
      <c r="X75" s="215" t="str">
        <f>VLOOKUP($L75,Emp!$A:$F,5,0)</f>
        <v>JINEESH</v>
      </c>
      <c r="Y75" s="239" t="str">
        <f>VLOOKUP($H75,ERP!$H:$AP,33,0)</f>
        <v>ANVAR SADATH A A (C25984),</v>
      </c>
      <c r="Z75" s="239" t="str">
        <f>VLOOKUP($H75,ERP!$H:$AP,34,0)</f>
        <v>BINOY MOHANDAS (NEXA STUDIO)</v>
      </c>
    </row>
    <row r="76" hidden="1" customHeight="1" spans="1:26">
      <c r="A76" s="56">
        <v>75</v>
      </c>
      <c r="B76" s="214" t="s">
        <v>825</v>
      </c>
      <c r="C76" s="214" t="s">
        <v>826</v>
      </c>
      <c r="D76" s="214">
        <v>162530</v>
      </c>
      <c r="E76" s="214" t="s">
        <v>827</v>
      </c>
      <c r="F76" s="214" t="s">
        <v>828</v>
      </c>
      <c r="G76" s="233">
        <v>46098</v>
      </c>
      <c r="H76" s="214">
        <v>2567538439</v>
      </c>
      <c r="I76" s="214" t="s">
        <v>829</v>
      </c>
      <c r="J76" s="214" t="s">
        <v>353</v>
      </c>
      <c r="K76" s="214" t="s">
        <v>631</v>
      </c>
      <c r="L76" s="231" t="s">
        <v>165</v>
      </c>
      <c r="M76" s="215" t="str">
        <f>VLOOKUP($L76,Emp!$A:$F,2,0)</f>
        <v>JESTIN UTHUP JOHN</v>
      </c>
      <c r="N76" s="215" t="str">
        <f>VLOOKUP($L76,Emp!$A:$F,3,0)</f>
        <v>PIRAVOM</v>
      </c>
      <c r="O76" s="215" t="str">
        <f>VLOOKUP($L76,Emp!$A:$F,4,0)</f>
        <v>ARENA</v>
      </c>
      <c r="P76" s="214" t="s">
        <v>830</v>
      </c>
      <c r="Q76" s="56" t="s">
        <v>831</v>
      </c>
      <c r="R76" s="56" t="s">
        <v>378</v>
      </c>
      <c r="S76" s="56" t="s">
        <v>356</v>
      </c>
      <c r="T76" s="236" t="str">
        <f>IF(_xlfn.XLOOKUP(F76,IH!Y:Y,IH!AA:AA,"")="MAPPED","MAPPED","")</f>
        <v/>
      </c>
      <c r="U76" s="237" t="str">
        <f>IFERROR(VLOOKUP(H76,IH!C:T,18,0),"")</f>
        <v/>
      </c>
      <c r="V76" s="237" t="str">
        <f t="shared" ref="V76:V82" si="6">IF(W76&lt;&gt;"","DISBURSED","")</f>
        <v/>
      </c>
      <c r="W76" s="221" t="str">
        <f>IFERROR(VLOOKUP(H76,IH!C:X,14,0),"")</f>
        <v/>
      </c>
      <c r="X76" s="215" t="str">
        <f>VLOOKUP($L76,Emp!$A:$F,5,0)</f>
        <v>AMAL</v>
      </c>
      <c r="Y76" s="239" t="str">
        <f>VLOOKUP($H76,ERP!$H:$AP,33,0)</f>
        <v>LIPIN P PAUL (C22876),</v>
      </c>
      <c r="Z76" s="239" t="str">
        <f>VLOOKUP($H76,ERP!$H:$AP,34,0)</f>
        <v>JUSTIN UTHUP JOHN (PRVM)</v>
      </c>
    </row>
    <row r="77" hidden="1" customHeight="1" spans="1:26">
      <c r="A77" s="56">
        <v>76</v>
      </c>
      <c r="B77" s="214" t="s">
        <v>832</v>
      </c>
      <c r="C77" s="214" t="s">
        <v>833</v>
      </c>
      <c r="D77" s="214" t="s">
        <v>834</v>
      </c>
      <c r="E77" s="214" t="s">
        <v>835</v>
      </c>
      <c r="F77" s="214" t="s">
        <v>836</v>
      </c>
      <c r="G77" s="233">
        <v>46098</v>
      </c>
      <c r="H77" s="214">
        <v>2566966863</v>
      </c>
      <c r="I77" s="214" t="s">
        <v>837</v>
      </c>
      <c r="J77" s="214" t="s">
        <v>363</v>
      </c>
      <c r="K77" s="214" t="s">
        <v>364</v>
      </c>
      <c r="L77" s="231" t="s">
        <v>166</v>
      </c>
      <c r="M77" s="215" t="str">
        <f>VLOOKUP($L77,Emp!$A:$F,2,0)</f>
        <v>JESTIN UTHUP JOHN</v>
      </c>
      <c r="N77" s="215" t="str">
        <f>VLOOKUP($L77,Emp!$A:$F,3,0)</f>
        <v>PIRAVOM</v>
      </c>
      <c r="O77" s="215" t="str">
        <f>VLOOKUP($L77,Emp!$A:$F,4,0)</f>
        <v>ARENA</v>
      </c>
      <c r="P77" s="214" t="s">
        <v>355</v>
      </c>
      <c r="Q77" s="56" t="s">
        <v>355</v>
      </c>
      <c r="R77" s="56" t="s">
        <v>355</v>
      </c>
      <c r="S77" s="56" t="s">
        <v>356</v>
      </c>
      <c r="T77" s="236" t="str">
        <f>IF(_xlfn.XLOOKUP(F77,IH!Y:Y,IH!AA:AA,"")="MAPPED","MAPPED","")</f>
        <v/>
      </c>
      <c r="U77" s="237" t="str">
        <f>IFERROR(VLOOKUP(H77,IH!C:T,18,0),"")</f>
        <v/>
      </c>
      <c r="V77" s="237" t="str">
        <f t="shared" si="6"/>
        <v/>
      </c>
      <c r="W77" s="221" t="str">
        <f>IFERROR(VLOOKUP(H77,IH!C:X,14,0),"")</f>
        <v/>
      </c>
      <c r="X77" s="215" t="str">
        <f>VLOOKUP($L77,Emp!$A:$F,5,0)</f>
        <v>AMAL</v>
      </c>
      <c r="Y77" s="239" t="str">
        <f>VLOOKUP($H77,ERP!$H:$AP,33,0)</f>
        <v>MIRAJ K KAREEM (C26100),</v>
      </c>
      <c r="Z77" s="239" t="str">
        <f>VLOOKUP($H77,ERP!$H:$AP,34,0)</f>
        <v>JUSTIN UTHUP JOHN (PRVM)</v>
      </c>
    </row>
    <row r="78" hidden="1" customHeight="1" spans="1:26">
      <c r="A78" s="56">
        <v>77</v>
      </c>
      <c r="B78" s="214" t="s">
        <v>838</v>
      </c>
      <c r="C78" s="214" t="s">
        <v>839</v>
      </c>
      <c r="D78" s="214" t="s">
        <v>840</v>
      </c>
      <c r="E78" s="214" t="s">
        <v>841</v>
      </c>
      <c r="F78" s="214" t="s">
        <v>842</v>
      </c>
      <c r="G78" s="233">
        <v>46098</v>
      </c>
      <c r="H78" s="214">
        <v>2567412371</v>
      </c>
      <c r="I78" s="214" t="s">
        <v>843</v>
      </c>
      <c r="J78" s="214" t="s">
        <v>619</v>
      </c>
      <c r="K78" s="214" t="s">
        <v>620</v>
      </c>
      <c r="L78" s="231" t="s">
        <v>162</v>
      </c>
      <c r="M78" s="215" t="str">
        <f>VLOOKUP($L78,Emp!$A:$F,2,0)</f>
        <v>JESTIN UTHUP JOHN</v>
      </c>
      <c r="N78" s="215" t="str">
        <f>VLOOKUP($L78,Emp!$A:$F,3,0)</f>
        <v>PIRAVOM</v>
      </c>
      <c r="O78" s="215" t="str">
        <f>VLOOKUP($L78,Emp!$A:$F,4,0)</f>
        <v>ARENA</v>
      </c>
      <c r="P78" s="214" t="s">
        <v>596</v>
      </c>
      <c r="Q78" s="56" t="s">
        <v>377</v>
      </c>
      <c r="R78" s="56" t="s">
        <v>378</v>
      </c>
      <c r="S78" s="56" t="s">
        <v>356</v>
      </c>
      <c r="T78" s="236" t="str">
        <f>IF(_xlfn.XLOOKUP(F78,IH!Y:Y,IH!AA:AA,"")="MAPPED","MAPPED","")</f>
        <v/>
      </c>
      <c r="U78" s="237" t="str">
        <f>IFERROR(VLOOKUP(H78,IH!C:T,18,0),"")</f>
        <v/>
      </c>
      <c r="V78" s="237" t="str">
        <f t="shared" si="6"/>
        <v/>
      </c>
      <c r="W78" s="221" t="str">
        <f>IFERROR(VLOOKUP(H78,IH!C:X,14,0),"")</f>
        <v/>
      </c>
      <c r="X78" s="215" t="str">
        <f>VLOOKUP($L78,Emp!$A:$F,5,0)</f>
        <v>AMAL</v>
      </c>
      <c r="Y78" s="239" t="str">
        <f>VLOOKUP($H78,ERP!$H:$AP,33,0)</f>
        <v>AJITH.C.M,</v>
      </c>
      <c r="Z78" s="239" t="str">
        <f>VLOOKUP($H78,ERP!$H:$AP,34,0)</f>
        <v>JUSTIN UTHUP JOHN (PRVM)</v>
      </c>
    </row>
    <row r="79" hidden="1" customHeight="1" spans="1:26">
      <c r="A79" s="56">
        <v>78</v>
      </c>
      <c r="B79" s="214" t="s">
        <v>844</v>
      </c>
      <c r="C79" s="214" t="s">
        <v>845</v>
      </c>
      <c r="D79" s="214">
        <v>538886</v>
      </c>
      <c r="E79" s="214">
        <v>1433572</v>
      </c>
      <c r="F79" s="214" t="s">
        <v>846</v>
      </c>
      <c r="G79" s="233">
        <v>46098</v>
      </c>
      <c r="H79" s="214">
        <v>2566843334</v>
      </c>
      <c r="I79" s="214" t="s">
        <v>847</v>
      </c>
      <c r="J79" s="214" t="s">
        <v>683</v>
      </c>
      <c r="K79" s="214" t="s">
        <v>684</v>
      </c>
      <c r="L79" s="231" t="s">
        <v>190</v>
      </c>
      <c r="M79" s="215" t="str">
        <f>VLOOKUP($L79,Emp!$A:$F,2,0)</f>
        <v>ANAND K V</v>
      </c>
      <c r="N79" s="215" t="str">
        <f>VLOOKUP($L79,Emp!$A:$F,3,0)</f>
        <v>KOLENCHERY</v>
      </c>
      <c r="O79" s="215" t="str">
        <f>VLOOKUP($L79,Emp!$A:$F,4,0)</f>
        <v>ARENA</v>
      </c>
      <c r="P79" s="214" t="s">
        <v>506</v>
      </c>
      <c r="Q79" s="56" t="s">
        <v>507</v>
      </c>
      <c r="R79" s="56" t="s">
        <v>378</v>
      </c>
      <c r="S79" s="56" t="s">
        <v>356</v>
      </c>
      <c r="T79" s="236" t="str">
        <f>IF(_xlfn.XLOOKUP(F79,IH!Y:Y,IH!AA:AA,"")="MAPPED","MAPPED","")</f>
        <v/>
      </c>
      <c r="U79" s="237" t="str">
        <f>IFERROR(VLOOKUP(H79,IH!C:T,18,0),"")</f>
        <v/>
      </c>
      <c r="V79" s="237" t="str">
        <f t="shared" si="6"/>
        <v/>
      </c>
      <c r="W79" s="221" t="str">
        <f>IFERROR(VLOOKUP(H79,IH!C:X,14,0),"")</f>
        <v/>
      </c>
      <c r="X79" s="215" t="str">
        <f>VLOOKUP($L79,Emp!$A:$F,5,0)</f>
        <v>AMAL</v>
      </c>
      <c r="Y79" s="239" t="str">
        <f>VLOOKUP($H79,ERP!$H:$AP,33,0)</f>
        <v>AMAL K SAJU (C26180),</v>
      </c>
      <c r="Z79" s="239" t="str">
        <f>VLOOKUP($H79,ERP!$H:$AP,34,0)</f>
        <v>ANAND (KLY)</v>
      </c>
    </row>
    <row r="80" hidden="1" customHeight="1" spans="1:26">
      <c r="A80" s="56">
        <v>79</v>
      </c>
      <c r="B80" s="214" t="s">
        <v>848</v>
      </c>
      <c r="C80" s="214" t="s">
        <v>849</v>
      </c>
      <c r="D80" s="214">
        <v>175019</v>
      </c>
      <c r="E80" s="214" t="s">
        <v>850</v>
      </c>
      <c r="F80" s="214" t="s">
        <v>851</v>
      </c>
      <c r="G80" s="233">
        <v>46098</v>
      </c>
      <c r="H80" s="214">
        <v>2567368230</v>
      </c>
      <c r="I80" s="214" t="s">
        <v>852</v>
      </c>
      <c r="J80" s="214" t="s">
        <v>353</v>
      </c>
      <c r="K80" s="214" t="s">
        <v>853</v>
      </c>
      <c r="L80" s="231" t="s">
        <v>226</v>
      </c>
      <c r="M80" s="215" t="str">
        <f>VLOOKUP($L80,Emp!$A:$F,2,0)</f>
        <v>RATISH K R</v>
      </c>
      <c r="N80" s="215" t="str">
        <f>VLOOKUP($L80,Emp!$A:$F,3,0)</f>
        <v>KADAVANTHRA</v>
      </c>
      <c r="O80" s="215" t="str">
        <f>VLOOKUP($L80,Emp!$A:$F,4,0)</f>
        <v>ARENA</v>
      </c>
      <c r="P80" s="214" t="s">
        <v>611</v>
      </c>
      <c r="Q80" s="56" t="s">
        <v>612</v>
      </c>
      <c r="R80" s="56" t="s">
        <v>51</v>
      </c>
      <c r="S80" s="56" t="s">
        <v>367</v>
      </c>
      <c r="T80" s="236" t="str">
        <f>IF(_xlfn.XLOOKUP(F80,IH!Y:Y,IH!AA:AA,"")="MAPPED","MAPPED","")</f>
        <v>MAPPED</v>
      </c>
      <c r="U80" s="237" t="str">
        <f>IFERROR(VLOOKUP(H80,IH!C:T,18,0),"")</f>
        <v>MSSF DISBURSED</v>
      </c>
      <c r="V80" s="237" t="str">
        <f t="shared" si="6"/>
        <v>DISBURSED</v>
      </c>
      <c r="W80" s="221">
        <f>IFERROR(VLOOKUP(H80,IH!C:X,14,0),"")</f>
        <v>46099</v>
      </c>
      <c r="X80" s="215" t="str">
        <f>VLOOKUP($L80,Emp!$A:$F,5,0)</f>
        <v>SALMAN</v>
      </c>
      <c r="Y80" s="239" t="str">
        <f>VLOOKUP($H80,ERP!$H:$AP,33,0)</f>
        <v>ALBIN MARTIN (C26561),</v>
      </c>
      <c r="Z80" s="239" t="str">
        <f>VLOOKUP($H80,ERP!$H:$AP,34,0)</f>
        <v>RATHEESH.K.R</v>
      </c>
    </row>
    <row r="81" hidden="1" customHeight="1" spans="1:26">
      <c r="A81" s="56">
        <v>80</v>
      </c>
      <c r="B81" s="214" t="s">
        <v>854</v>
      </c>
      <c r="C81" s="214" t="s">
        <v>855</v>
      </c>
      <c r="D81" s="214" t="s">
        <v>856</v>
      </c>
      <c r="E81" s="214" t="s">
        <v>857</v>
      </c>
      <c r="F81" s="214" t="s">
        <v>858</v>
      </c>
      <c r="G81" s="233">
        <v>46098</v>
      </c>
      <c r="H81" s="214">
        <v>2567485885</v>
      </c>
      <c r="I81" s="214" t="s">
        <v>859</v>
      </c>
      <c r="J81" s="214" t="s">
        <v>619</v>
      </c>
      <c r="K81" s="214" t="s">
        <v>620</v>
      </c>
      <c r="L81" s="231" t="s">
        <v>67</v>
      </c>
      <c r="M81" s="215" t="str">
        <f>VLOOKUP($L81,Emp!$A:$F,2,0)</f>
        <v>ABHILASH K P</v>
      </c>
      <c r="N81" s="215" t="str">
        <f>VLOOKUP($L81,Emp!$A:$F,3,0)</f>
        <v>EDAPPALLY</v>
      </c>
      <c r="O81" s="215" t="str">
        <f>VLOOKUP($L81,Emp!$A:$F,4,0)</f>
        <v>ARENA</v>
      </c>
      <c r="P81" s="214" t="s">
        <v>860</v>
      </c>
      <c r="Q81" s="56" t="s">
        <v>861</v>
      </c>
      <c r="R81" s="56" t="s">
        <v>51</v>
      </c>
      <c r="S81" s="56" t="s">
        <v>367</v>
      </c>
      <c r="T81" s="236" t="str">
        <f>IF(_xlfn.XLOOKUP(F81,IH!Y:Y,IH!AA:AA,"")="MAPPED","MAPPED","")</f>
        <v>MAPPED</v>
      </c>
      <c r="U81" s="237" t="str">
        <f>IFERROR(VLOOKUP(H81,IH!C:T,18,0),"")</f>
        <v>MSSF DISBURSED</v>
      </c>
      <c r="V81" s="237" t="str">
        <f t="shared" si="6"/>
        <v>DISBURSED</v>
      </c>
      <c r="W81" s="221">
        <f>IFERROR(VLOOKUP(H81,IH!C:X,14,0),"")</f>
        <v>46098</v>
      </c>
      <c r="X81" s="215" t="str">
        <f>VLOOKUP($L81,Emp!$A:$F,5,0)</f>
        <v>SIVAPRASAD</v>
      </c>
      <c r="Y81" s="239" t="str">
        <f>VLOOKUP($H81,ERP!$H:$AP,33,0)</f>
        <v>MANOJ C S (C20619), Mr.</v>
      </c>
      <c r="Z81" s="239" t="str">
        <f>VLOOKUP($H81,ERP!$H:$AP,34,0)</f>
        <v>ABHILASH K P (C21618)</v>
      </c>
    </row>
    <row r="82" hidden="1" customHeight="1" spans="1:26">
      <c r="A82" s="56">
        <v>81</v>
      </c>
      <c r="B82" s="214" t="s">
        <v>862</v>
      </c>
      <c r="C82" s="214" t="s">
        <v>863</v>
      </c>
      <c r="D82" s="214" t="s">
        <v>864</v>
      </c>
      <c r="E82" s="214">
        <v>1431340</v>
      </c>
      <c r="F82" s="214" t="s">
        <v>865</v>
      </c>
      <c r="G82" s="233">
        <v>46098</v>
      </c>
      <c r="H82" s="214">
        <v>2567136986</v>
      </c>
      <c r="I82" s="214" t="s">
        <v>866</v>
      </c>
      <c r="J82" s="214" t="s">
        <v>363</v>
      </c>
      <c r="K82" s="214" t="s">
        <v>364</v>
      </c>
      <c r="L82" s="231" t="s">
        <v>68</v>
      </c>
      <c r="M82" s="215" t="str">
        <f>VLOOKUP($L82,Emp!$A:$F,2,0)</f>
        <v>MANU SASI</v>
      </c>
      <c r="N82" s="215" t="str">
        <f>VLOOKUP($L82,Emp!$A:$F,3,0)</f>
        <v>EDAPPALLY</v>
      </c>
      <c r="O82" s="215" t="str">
        <f>VLOOKUP($L82,Emp!$A:$F,4,0)</f>
        <v>ARENA</v>
      </c>
      <c r="P82" s="214" t="s">
        <v>365</v>
      </c>
      <c r="Q82" s="56" t="s">
        <v>366</v>
      </c>
      <c r="R82" s="56" t="s">
        <v>51</v>
      </c>
      <c r="S82" s="56" t="s">
        <v>367</v>
      </c>
      <c r="T82" s="236" t="str">
        <f>IF(_xlfn.XLOOKUP(F82,IH!Y:Y,IH!AA:AA,"")="MAPPED","MAPPED","")</f>
        <v/>
      </c>
      <c r="U82" s="237" t="str">
        <f>IFERROR(VLOOKUP(H82,IH!C:T,18,0),"")</f>
        <v>MSSF LOGIN</v>
      </c>
      <c r="V82" s="237" t="str">
        <f t="shared" si="6"/>
        <v>DISBURSED</v>
      </c>
      <c r="W82" s="221">
        <f>IFERROR(VLOOKUP(H82,IH!C:X,14,0),"")</f>
        <v>46098</v>
      </c>
      <c r="X82" s="215" t="str">
        <f>VLOOKUP($L82,Emp!$A:$F,5,0)</f>
        <v>SIVAPRASAD</v>
      </c>
      <c r="Y82" s="239" t="str">
        <f>VLOOKUP($H82,ERP!$H:$AP,33,0)</f>
        <v>LANEESH A S(C21174), Mr.</v>
      </c>
      <c r="Z82" s="239" t="str">
        <f>VLOOKUP($H82,ERP!$H:$AP,34,0)</f>
        <v>MANU SASI</v>
      </c>
    </row>
    <row r="83" hidden="1" customHeight="1" spans="1:26">
      <c r="A83" s="56">
        <v>82</v>
      </c>
      <c r="B83" s="214" t="s">
        <v>867</v>
      </c>
      <c r="C83" s="214" t="s">
        <v>868</v>
      </c>
      <c r="D83" s="214">
        <v>384061</v>
      </c>
      <c r="E83" s="214" t="s">
        <v>869</v>
      </c>
      <c r="F83" s="214" t="s">
        <v>870</v>
      </c>
      <c r="G83" s="233">
        <v>46099</v>
      </c>
      <c r="H83" s="214">
        <v>2567522339</v>
      </c>
      <c r="I83" s="214" t="s">
        <v>871</v>
      </c>
      <c r="J83" s="214" t="s">
        <v>666</v>
      </c>
      <c r="K83" s="214" t="s">
        <v>667</v>
      </c>
      <c r="L83" s="231" t="s">
        <v>161</v>
      </c>
      <c r="M83" s="215" t="str">
        <f>VLOOKUP($L83,Emp!$A:$F,2,0)</f>
        <v>SIJO VARGHESE GEORGE</v>
      </c>
      <c r="N83" s="215" t="str">
        <f>VLOOKUP($L83,Emp!$A:$F,3,0)</f>
        <v>PERUMBAVOOR</v>
      </c>
      <c r="O83" s="215" t="str">
        <f>VLOOKUP($L83,Emp!$A:$F,4,0)</f>
        <v>ARENA</v>
      </c>
      <c r="P83" s="214" t="s">
        <v>436</v>
      </c>
      <c r="Q83" s="56" t="s">
        <v>437</v>
      </c>
      <c r="R83" s="56" t="s">
        <v>51</v>
      </c>
      <c r="S83" s="56" t="s">
        <v>367</v>
      </c>
      <c r="T83" s="236" t="str">
        <f>IF(_xlfn.XLOOKUP(F83,IH!Y:Y,IH!AA:AA,"")="MAPPED","MAPPED","")</f>
        <v>MAPPED</v>
      </c>
      <c r="U83" s="237" t="str">
        <f>IFERROR(VLOOKUP(H83,IH!C:T,18,0),"")</f>
        <v>MSSF DISBURSED</v>
      </c>
      <c r="V83" s="237" t="str">
        <f t="shared" ref="V83:V93" si="7">IF(W83&lt;&gt;"","DISBURSED","")</f>
        <v>DISBURSED</v>
      </c>
      <c r="W83" s="221">
        <f>IFERROR(VLOOKUP(H83,IH!C:X,14,0),"")</f>
        <v>46099</v>
      </c>
      <c r="X83" s="215" t="str">
        <f>VLOOKUP($L83,Emp!$A:$F,5,0)</f>
        <v>SALMAN</v>
      </c>
      <c r="Y83" s="239" t="str">
        <f>VLOOKUP($H83,ERP!$H:$AP,33,0)</f>
        <v>BIJO JOY (C23459),</v>
      </c>
      <c r="Z83" s="239" t="str">
        <f>VLOOKUP($H83,ERP!$H:$AP,34,0)</f>
        <v>SIJO VARGHESE GEORGE (PBVR)</v>
      </c>
    </row>
    <row r="84" hidden="1" customHeight="1" spans="1:26">
      <c r="A84" s="56">
        <v>83</v>
      </c>
      <c r="B84" s="214" t="s">
        <v>872</v>
      </c>
      <c r="C84" s="214" t="s">
        <v>873</v>
      </c>
      <c r="D84" s="214" t="s">
        <v>874</v>
      </c>
      <c r="E84" s="214">
        <v>1430696</v>
      </c>
      <c r="F84" s="214" t="s">
        <v>875</v>
      </c>
      <c r="G84" s="233">
        <v>46099</v>
      </c>
      <c r="H84" s="214">
        <v>2567027980</v>
      </c>
      <c r="I84" s="214" t="s">
        <v>876</v>
      </c>
      <c r="J84" s="214" t="s">
        <v>363</v>
      </c>
      <c r="K84" s="214" t="s">
        <v>364</v>
      </c>
      <c r="L84" s="231" t="s">
        <v>177</v>
      </c>
      <c r="M84" s="215" t="str">
        <f>VLOOKUP($L84,Emp!$A:$F,2,0)</f>
        <v>PRANOOB V NAIR</v>
      </c>
      <c r="N84" s="215" t="str">
        <f>VLOOKUP($L84,Emp!$A:$F,3,0)</f>
        <v>TRIPPUNITHURA</v>
      </c>
      <c r="O84" s="215" t="str">
        <f>VLOOKUP($L84,Emp!$A:$F,4,0)</f>
        <v>ARENA</v>
      </c>
      <c r="P84" s="214" t="s">
        <v>365</v>
      </c>
      <c r="Q84" s="56" t="s">
        <v>366</v>
      </c>
      <c r="R84" s="56" t="s">
        <v>51</v>
      </c>
      <c r="S84" s="56" t="s">
        <v>367</v>
      </c>
      <c r="T84" s="236" t="str">
        <f>IF(_xlfn.XLOOKUP(F84,IH!Y:Y,IH!AA:AA,"")="MAPPED","MAPPED","")</f>
        <v/>
      </c>
      <c r="U84" s="237" t="str">
        <f>IFERROR(VLOOKUP(H84,IH!C:T,18,0),"")</f>
        <v>MSSF LOGIN</v>
      </c>
      <c r="V84" s="237" t="str">
        <f t="shared" si="7"/>
        <v>DISBURSED</v>
      </c>
      <c r="W84" s="221">
        <f>IFERROR(VLOOKUP(H84,IH!C:X,14,0),"")</f>
        <v>46099</v>
      </c>
      <c r="X84" s="215" t="str">
        <f>VLOOKUP($L84,Emp!$A:$F,5,0)</f>
        <v>SIVAPRASAD</v>
      </c>
      <c r="Y84" s="239" t="str">
        <f>VLOOKUP($H84,ERP!$H:$AP,33,0)</f>
        <v>RATHEESH K B,</v>
      </c>
      <c r="Z84" s="239" t="str">
        <f>VLOOKUP($H84,ERP!$H:$AP,34,0)</f>
        <v>PRANOOB V (TPRA)</v>
      </c>
    </row>
    <row r="85" hidden="1" customHeight="1" spans="1:26">
      <c r="A85" s="56">
        <v>84</v>
      </c>
      <c r="B85" s="214" t="s">
        <v>877</v>
      </c>
      <c r="C85" s="214" t="s">
        <v>878</v>
      </c>
      <c r="D85" s="214" t="s">
        <v>879</v>
      </c>
      <c r="E85" s="214" t="s">
        <v>880</v>
      </c>
      <c r="F85" s="214" t="s">
        <v>881</v>
      </c>
      <c r="G85" s="233">
        <v>46099</v>
      </c>
      <c r="H85" s="214">
        <v>2567583828</v>
      </c>
      <c r="I85" s="214" t="s">
        <v>882</v>
      </c>
      <c r="J85" s="214" t="s">
        <v>363</v>
      </c>
      <c r="K85" s="214" t="s">
        <v>364</v>
      </c>
      <c r="L85" s="231" t="s">
        <v>90</v>
      </c>
      <c r="M85" s="215" t="str">
        <f>VLOOKUP($L85,Emp!$A:$F,2,0)</f>
        <v>RATISH K R</v>
      </c>
      <c r="N85" s="215" t="str">
        <f>VLOOKUP($L85,Emp!$A:$F,3,0)</f>
        <v>KADAVANTHRA</v>
      </c>
      <c r="O85" s="215" t="str">
        <f>VLOOKUP($L85,Emp!$A:$F,4,0)</f>
        <v>ARENA</v>
      </c>
      <c r="P85" s="214" t="s">
        <v>410</v>
      </c>
      <c r="Q85" s="56" t="s">
        <v>411</v>
      </c>
      <c r="R85" s="56" t="s">
        <v>51</v>
      </c>
      <c r="S85" s="56" t="s">
        <v>367</v>
      </c>
      <c r="T85" s="236" t="str">
        <f>IF(_xlfn.XLOOKUP(F85,IH!Y:Y,IH!AA:AA,"")="MAPPED","MAPPED","")</f>
        <v>MAPPED</v>
      </c>
      <c r="U85" s="237" t="str">
        <f>IFERROR(VLOOKUP(H85,IH!C:T,18,0),"")</f>
        <v>MSSF DISBURSED</v>
      </c>
      <c r="V85" s="237" t="str">
        <f t="shared" si="7"/>
        <v>DISBURSED</v>
      </c>
      <c r="W85" s="221">
        <f>IFERROR(VLOOKUP(H85,IH!C:X,14,0),"")</f>
        <v>46100</v>
      </c>
      <c r="X85" s="215" t="str">
        <f>VLOOKUP($L85,Emp!$A:$F,5,0)</f>
        <v>SALMAN</v>
      </c>
      <c r="Y85" s="239" t="str">
        <f>VLOOKUP($H85,ERP!$H:$AP,33,0)</f>
        <v>VINAY T V (C20769),</v>
      </c>
      <c r="Z85" s="239" t="str">
        <f>VLOOKUP($H85,ERP!$H:$AP,34,0)</f>
        <v>RATHEESH.K.R</v>
      </c>
    </row>
    <row r="86" hidden="1" customHeight="1" spans="1:26">
      <c r="A86" s="56">
        <v>85</v>
      </c>
      <c r="B86" s="214" t="s">
        <v>883</v>
      </c>
      <c r="C86" s="214" t="s">
        <v>884</v>
      </c>
      <c r="D86" s="214" t="s">
        <v>885</v>
      </c>
      <c r="E86" s="214">
        <v>9262002</v>
      </c>
      <c r="F86" s="214" t="s">
        <v>886</v>
      </c>
      <c r="G86" s="233">
        <v>46099</v>
      </c>
      <c r="H86" s="214">
        <v>2567397863</v>
      </c>
      <c r="I86" s="214" t="s">
        <v>887</v>
      </c>
      <c r="J86" s="214" t="s">
        <v>489</v>
      </c>
      <c r="K86" s="214" t="s">
        <v>490</v>
      </c>
      <c r="L86" s="231" t="s">
        <v>167</v>
      </c>
      <c r="M86" s="215" t="str">
        <f>VLOOKUP($L86,Emp!$A:$F,2,0)</f>
        <v>SIVAPRAKASH K S</v>
      </c>
      <c r="N86" s="215" t="str">
        <f>VLOOKUP($L86,Emp!$A:$F,3,0)</f>
        <v>THRISSUR</v>
      </c>
      <c r="O86" s="215" t="str">
        <f>VLOOKUP($L86,Emp!$A:$F,4,0)</f>
        <v>ARENA</v>
      </c>
      <c r="P86" s="214" t="s">
        <v>355</v>
      </c>
      <c r="Q86" s="56" t="s">
        <v>355</v>
      </c>
      <c r="R86" s="56" t="s">
        <v>355</v>
      </c>
      <c r="S86" s="56" t="s">
        <v>356</v>
      </c>
      <c r="T86" s="236" t="str">
        <f>IF(_xlfn.XLOOKUP(F86,IH!Y:Y,IH!AA:AA,"")="MAPPED","MAPPED","")</f>
        <v/>
      </c>
      <c r="U86" s="237" t="str">
        <f>IFERROR(VLOOKUP(H86,IH!C:T,18,0),"")</f>
        <v/>
      </c>
      <c r="V86" s="237" t="str">
        <f t="shared" si="7"/>
        <v/>
      </c>
      <c r="W86" s="221" t="str">
        <f>IFERROR(VLOOKUP(H86,IH!C:X,14,0),"")</f>
        <v/>
      </c>
      <c r="X86" s="215" t="str">
        <f>VLOOKUP($L86,Emp!$A:$F,5,0)</f>
        <v>SINTO</v>
      </c>
      <c r="Y86" s="239" t="str">
        <f>VLOOKUP($H86,ERP!$H:$AP,33,0)</f>
        <v>PRAMOD K ( C21230),</v>
      </c>
      <c r="Z86" s="239" t="str">
        <f>VLOOKUP($H86,ERP!$H:$AP,34,0)</f>
        <v>RAJEEV (THCR)</v>
      </c>
    </row>
    <row r="87" hidden="1" customHeight="1" spans="1:26">
      <c r="A87" s="56">
        <v>86</v>
      </c>
      <c r="B87" s="214" t="s">
        <v>888</v>
      </c>
      <c r="C87" s="214" t="s">
        <v>889</v>
      </c>
      <c r="D87" s="214">
        <v>476037</v>
      </c>
      <c r="E87" s="214" t="s">
        <v>890</v>
      </c>
      <c r="F87" s="214" t="s">
        <v>891</v>
      </c>
      <c r="G87" s="233">
        <v>46099</v>
      </c>
      <c r="H87" s="214">
        <v>2567314828</v>
      </c>
      <c r="I87" s="214" t="s">
        <v>892</v>
      </c>
      <c r="J87" s="214" t="s">
        <v>434</v>
      </c>
      <c r="K87" s="214" t="s">
        <v>893</v>
      </c>
      <c r="L87" s="231" t="s">
        <v>167</v>
      </c>
      <c r="M87" s="215" t="str">
        <f>VLOOKUP($L87,Emp!$A:$F,2,0)</f>
        <v>SIVAPRAKASH K S</v>
      </c>
      <c r="N87" s="215" t="str">
        <f>VLOOKUP($L87,Emp!$A:$F,3,0)</f>
        <v>THRISSUR</v>
      </c>
      <c r="O87" s="215" t="str">
        <f>VLOOKUP($L87,Emp!$A:$F,4,0)</f>
        <v>ARENA</v>
      </c>
      <c r="P87" s="214" t="s">
        <v>589</v>
      </c>
      <c r="Q87" s="56" t="s">
        <v>590</v>
      </c>
      <c r="R87" s="56" t="s">
        <v>51</v>
      </c>
      <c r="S87" s="56" t="s">
        <v>367</v>
      </c>
      <c r="T87" s="236" t="str">
        <f>IF(_xlfn.XLOOKUP(F87,IH!Y:Y,IH!AA:AA,"")="MAPPED","MAPPED","")</f>
        <v/>
      </c>
      <c r="U87" s="237" t="str">
        <f>IFERROR(VLOOKUP(H87,IH!C:T,18,0),"")</f>
        <v>MSSF DISBURSED</v>
      </c>
      <c r="V87" s="237" t="str">
        <f t="shared" si="7"/>
        <v>DISBURSED</v>
      </c>
      <c r="W87" s="221">
        <f>IFERROR(VLOOKUP(H87,IH!C:X,14,0),"")</f>
        <v>46100</v>
      </c>
      <c r="X87" s="215" t="str">
        <f>VLOOKUP($L87,Emp!$A:$F,5,0)</f>
        <v>SINTO</v>
      </c>
      <c r="Y87" s="239" t="str">
        <f>VLOOKUP($H87,ERP!$H:$AP,33,0)</f>
        <v>PRAMOD K ( C21230),</v>
      </c>
      <c r="Z87" s="239" t="str">
        <f>VLOOKUP($H87,ERP!$H:$AP,34,0)</f>
        <v>RAJEEV (THCR)</v>
      </c>
    </row>
    <row r="88" hidden="1" customHeight="1" spans="1:26">
      <c r="A88" s="56">
        <v>87</v>
      </c>
      <c r="B88" s="214" t="s">
        <v>894</v>
      </c>
      <c r="C88" s="214" t="s">
        <v>895</v>
      </c>
      <c r="D88" s="214">
        <v>411950</v>
      </c>
      <c r="E88" s="214" t="s">
        <v>896</v>
      </c>
      <c r="F88" s="214" t="s">
        <v>897</v>
      </c>
      <c r="G88" s="233">
        <v>46099</v>
      </c>
      <c r="H88" s="214">
        <v>2567547876</v>
      </c>
      <c r="I88" s="214" t="s">
        <v>898</v>
      </c>
      <c r="J88" s="214" t="s">
        <v>443</v>
      </c>
      <c r="K88" s="214" t="s">
        <v>444</v>
      </c>
      <c r="L88" s="231" t="s">
        <v>97</v>
      </c>
      <c r="M88" s="215" t="str">
        <f>VLOOKUP($L88,Emp!$A:$F,2,0)</f>
        <v>VIBIN I B</v>
      </c>
      <c r="N88" s="215" t="str">
        <f>VLOOKUP($L88,Emp!$A:$F,3,0)</f>
        <v>KAIPAMANGALAM</v>
      </c>
      <c r="O88" s="215" t="str">
        <f>VLOOKUP($L88,Emp!$A:$F,4,0)</f>
        <v>ARENA</v>
      </c>
      <c r="P88" s="214" t="s">
        <v>456</v>
      </c>
      <c r="Q88" s="56" t="s">
        <v>457</v>
      </c>
      <c r="R88" s="56" t="s">
        <v>51</v>
      </c>
      <c r="S88" s="56" t="s">
        <v>367</v>
      </c>
      <c r="T88" s="236" t="str">
        <f>IF(_xlfn.XLOOKUP(F88,IH!Y:Y,IH!AA:AA,"")="MAPPED","MAPPED","")</f>
        <v>MAPPED</v>
      </c>
      <c r="U88" s="237" t="str">
        <f>IFERROR(VLOOKUP(H88,IH!C:T,18,0),"")</f>
        <v>MSSF DISBURSED</v>
      </c>
      <c r="V88" s="237" t="str">
        <f t="shared" si="7"/>
        <v>DISBURSED</v>
      </c>
      <c r="W88" s="221">
        <f>IFERROR(VLOOKUP(H88,IH!C:X,14,0),"")</f>
        <v>46092</v>
      </c>
      <c r="X88" s="215" t="str">
        <f>VLOOKUP($L88,Emp!$A:$F,5,0)</f>
        <v>JINEESH</v>
      </c>
      <c r="Y88" s="239" t="str">
        <f>VLOOKUP($H88,ERP!$H:$AP,33,0)</f>
        <v>SAJITH V S (C25610),</v>
      </c>
      <c r="Z88" s="239" t="str">
        <f>VLOOKUP($H88,ERP!$H:$AP,34,0)</f>
        <v>NA</v>
      </c>
    </row>
    <row r="89" hidden="1" customHeight="1" spans="1:26">
      <c r="A89" s="56">
        <v>88</v>
      </c>
      <c r="B89" s="214" t="s">
        <v>899</v>
      </c>
      <c r="C89" s="214" t="s">
        <v>900</v>
      </c>
      <c r="D89" s="214" t="s">
        <v>901</v>
      </c>
      <c r="E89" s="214" t="s">
        <v>902</v>
      </c>
      <c r="F89" s="214" t="s">
        <v>903</v>
      </c>
      <c r="G89" s="233">
        <v>46099</v>
      </c>
      <c r="H89" s="214">
        <v>2567669378</v>
      </c>
      <c r="I89" s="214" t="s">
        <v>904</v>
      </c>
      <c r="J89" s="214" t="s">
        <v>504</v>
      </c>
      <c r="K89" s="214" t="s">
        <v>905</v>
      </c>
      <c r="L89" s="231" t="s">
        <v>113</v>
      </c>
      <c r="M89" s="215" t="str">
        <f>VLOOKUP($L89,Emp!$A:$F,2,0)</f>
        <v>ANAND K V</v>
      </c>
      <c r="N89" s="215" t="str">
        <f>VLOOKUP($L89,Emp!$A:$F,3,0)</f>
        <v>KOLENCHERY</v>
      </c>
      <c r="O89" s="215" t="str">
        <f>VLOOKUP($L89,Emp!$A:$F,4,0)</f>
        <v>ARENA</v>
      </c>
      <c r="P89" s="214" t="s">
        <v>506</v>
      </c>
      <c r="Q89" s="56" t="s">
        <v>507</v>
      </c>
      <c r="R89" s="56" t="s">
        <v>51</v>
      </c>
      <c r="S89" s="56" t="s">
        <v>367</v>
      </c>
      <c r="T89" s="236" t="str">
        <f>IF(_xlfn.XLOOKUP(F89,IH!Y:Y,IH!AA:AA,"")="MAPPED","MAPPED","")</f>
        <v/>
      </c>
      <c r="U89" s="237" t="str">
        <f>IFERROR(VLOOKUP(H89,IH!C:T,18,0),"")</f>
        <v>MSSF DISBURSED</v>
      </c>
      <c r="V89" s="237" t="str">
        <f t="shared" si="7"/>
        <v>DISBURSED</v>
      </c>
      <c r="W89" s="221">
        <f>IFERROR(VLOOKUP(H89,IH!C:X,14,0),"")</f>
        <v>46099</v>
      </c>
      <c r="X89" s="215" t="str">
        <f>VLOOKUP($L89,Emp!$A:$F,5,0)</f>
        <v>AMAL</v>
      </c>
      <c r="Y89" s="239" t="str">
        <f>VLOOKUP($H89,ERP!$H:$AP,33,0)</f>
        <v>ELSON JACOB(C23950),</v>
      </c>
      <c r="Z89" s="239" t="str">
        <f>VLOOKUP($H89,ERP!$H:$AP,34,0)</f>
        <v>ANAND (KLY)</v>
      </c>
    </row>
    <row r="90" hidden="1" customHeight="1" spans="1:26">
      <c r="A90" s="56">
        <v>89</v>
      </c>
      <c r="B90" s="214" t="s">
        <v>906</v>
      </c>
      <c r="C90" s="214" t="s">
        <v>907</v>
      </c>
      <c r="D90" s="214" t="s">
        <v>908</v>
      </c>
      <c r="E90" s="214" t="s">
        <v>909</v>
      </c>
      <c r="F90" s="214" t="s">
        <v>910</v>
      </c>
      <c r="G90" s="233">
        <v>46099</v>
      </c>
      <c r="H90" s="214">
        <v>2567412820</v>
      </c>
      <c r="I90" s="214" t="s">
        <v>911</v>
      </c>
      <c r="J90" s="214" t="s">
        <v>489</v>
      </c>
      <c r="K90" s="214" t="s">
        <v>520</v>
      </c>
      <c r="L90" s="231" t="s">
        <v>117</v>
      </c>
      <c r="M90" s="215" t="str">
        <f>VLOOKUP($L90,Emp!$A:$F,2,0)</f>
        <v>ARUN BABU</v>
      </c>
      <c r="N90" s="215" t="str">
        <f>VLOOKUP($L90,Emp!$A:$F,3,0)</f>
        <v>KOOTHATTUKULAM</v>
      </c>
      <c r="O90" s="215" t="str">
        <f>VLOOKUP($L90,Emp!$A:$F,4,0)</f>
        <v>ARENA</v>
      </c>
      <c r="P90" s="214" t="s">
        <v>506</v>
      </c>
      <c r="Q90" s="56" t="s">
        <v>507</v>
      </c>
      <c r="R90" s="56" t="s">
        <v>51</v>
      </c>
      <c r="S90" s="56" t="s">
        <v>367</v>
      </c>
      <c r="T90" s="236" t="str">
        <f>IF(_xlfn.XLOOKUP(F90,IH!Y:Y,IH!AA:AA,"")="MAPPED","MAPPED","")</f>
        <v/>
      </c>
      <c r="U90" s="237" t="str">
        <f>IFERROR(VLOOKUP(H90,IH!C:T,18,0),"")</f>
        <v>NO</v>
      </c>
      <c r="V90" s="237" t="str">
        <f t="shared" si="7"/>
        <v>DISBURSED</v>
      </c>
      <c r="W90" s="221">
        <f>IFERROR(VLOOKUP(H90,IH!C:X,14,0),"")</f>
        <v>46100</v>
      </c>
      <c r="X90" s="215" t="str">
        <f>VLOOKUP($L90,Emp!$A:$F,5,0)</f>
        <v>AMAL</v>
      </c>
      <c r="Y90" s="239" t="str">
        <f>VLOOKUP($H90,ERP!$H:$AP,33,0)</f>
        <v>IBIN JOSE, Mr.</v>
      </c>
      <c r="Z90" s="239" t="str">
        <f>VLOOKUP($H90,ERP!$H:$AP,34,0)</f>
        <v>NA</v>
      </c>
    </row>
    <row r="91" hidden="1" customHeight="1" spans="1:26">
      <c r="A91" s="56">
        <v>90</v>
      </c>
      <c r="B91" s="214" t="s">
        <v>912</v>
      </c>
      <c r="C91" s="214" t="s">
        <v>913</v>
      </c>
      <c r="D91" s="214" t="s">
        <v>914</v>
      </c>
      <c r="E91" s="214">
        <v>4592708</v>
      </c>
      <c r="F91" s="214" t="s">
        <v>915</v>
      </c>
      <c r="G91" s="233">
        <v>46100</v>
      </c>
      <c r="H91" s="214">
        <v>2567550041</v>
      </c>
      <c r="I91" s="214" t="s">
        <v>916</v>
      </c>
      <c r="J91" s="214" t="s">
        <v>532</v>
      </c>
      <c r="K91" s="214" t="s">
        <v>539</v>
      </c>
      <c r="L91" s="231" t="s">
        <v>161</v>
      </c>
      <c r="M91" s="215" t="str">
        <f>VLOOKUP($L91,Emp!$A:$F,2,0)</f>
        <v>SIJO VARGHESE GEORGE</v>
      </c>
      <c r="N91" s="215" t="str">
        <f>VLOOKUP($L91,Emp!$A:$F,3,0)</f>
        <v>PERUMBAVOOR</v>
      </c>
      <c r="O91" s="215" t="str">
        <f>VLOOKUP($L91,Emp!$A:$F,4,0)</f>
        <v>ARENA</v>
      </c>
      <c r="P91" s="214" t="s">
        <v>589</v>
      </c>
      <c r="Q91" s="56" t="s">
        <v>590</v>
      </c>
      <c r="R91" s="56" t="s">
        <v>51</v>
      </c>
      <c r="S91" s="56" t="s">
        <v>356</v>
      </c>
      <c r="T91" s="236" t="str">
        <f>IF(_xlfn.XLOOKUP(F91,IH!Y:Y,IH!AA:AA,"")="MAPPED","MAPPED","")</f>
        <v/>
      </c>
      <c r="U91" s="237" t="str">
        <f>IFERROR(VLOOKUP(H91,IH!C:T,18,0),"")</f>
        <v>NO</v>
      </c>
      <c r="V91" s="237" t="str">
        <f t="shared" si="7"/>
        <v>DISBURSED</v>
      </c>
      <c r="W91" s="221">
        <f>IFERROR(VLOOKUP(H91,IH!C:X,14,0),"")</f>
        <v>46098</v>
      </c>
      <c r="X91" s="215" t="str">
        <f>VLOOKUP($L91,Emp!$A:$F,5,0)</f>
        <v>SALMAN</v>
      </c>
      <c r="Y91" s="239" t="str">
        <f>VLOOKUP($H91,ERP!$H:$AP,33,0)</f>
        <v>JINTO THOMAS (C26210),</v>
      </c>
      <c r="Z91" s="239" t="str">
        <f>VLOOKUP($H91,ERP!$H:$AP,34,0)</f>
        <v>SIJO VARGHESE GEORGE (PBVR)</v>
      </c>
    </row>
    <row r="92" hidden="1" customHeight="1" spans="1:26">
      <c r="A92" s="56">
        <v>91</v>
      </c>
      <c r="B92" s="214" t="s">
        <v>917</v>
      </c>
      <c r="C92" s="214" t="s">
        <v>918</v>
      </c>
      <c r="D92" s="214" t="s">
        <v>919</v>
      </c>
      <c r="E92" s="214">
        <v>9999363</v>
      </c>
      <c r="F92" s="214" t="s">
        <v>920</v>
      </c>
      <c r="G92" s="233">
        <v>46100</v>
      </c>
      <c r="H92" s="214">
        <v>2567586386</v>
      </c>
      <c r="I92" s="214" t="s">
        <v>921</v>
      </c>
      <c r="J92" s="214" t="s">
        <v>504</v>
      </c>
      <c r="K92" s="214" t="s">
        <v>922</v>
      </c>
      <c r="L92" s="231" t="s">
        <v>64</v>
      </c>
      <c r="M92" s="215" t="str">
        <f>VLOOKUP($L92,Emp!$A:$F,2,0)</f>
        <v>BHAGIESH</v>
      </c>
      <c r="N92" s="215" t="str">
        <f>VLOOKUP($L92,Emp!$A:$F,3,0)</f>
        <v>CHAVAKKAD</v>
      </c>
      <c r="O92" s="215" t="str">
        <f>VLOOKUP($L92,Emp!$A:$F,4,0)</f>
        <v>ARENA</v>
      </c>
      <c r="P92" s="214" t="s">
        <v>506</v>
      </c>
      <c r="Q92" s="56" t="s">
        <v>507</v>
      </c>
      <c r="R92" s="56" t="s">
        <v>51</v>
      </c>
      <c r="S92" s="56" t="s">
        <v>367</v>
      </c>
      <c r="T92" s="236" t="str">
        <f>IF(_xlfn.XLOOKUP(F92,IH!Y:Y,IH!AA:AA,"")="MAPPED","MAPPED","")</f>
        <v>MAPPED</v>
      </c>
      <c r="U92" s="237" t="str">
        <f>IFERROR(VLOOKUP(H92,IH!C:T,18,0),"")</f>
        <v>MSSF DISBURSED</v>
      </c>
      <c r="V92" s="237" t="str">
        <f t="shared" si="7"/>
        <v>DISBURSED</v>
      </c>
      <c r="W92" s="221">
        <f>IFERROR(VLOOKUP(H92,IH!C:X,14,0),"")</f>
        <v>46100</v>
      </c>
      <c r="X92" s="215" t="str">
        <f>VLOOKUP($L92,Emp!$A:$F,5,0)</f>
        <v>SINTO</v>
      </c>
      <c r="Y92" s="239" t="str">
        <f>VLOOKUP($H92,ERP!$H:$AP,33,0)</f>
        <v>RISHAD K.S</v>
      </c>
      <c r="Z92" s="239" t="str">
        <f>VLOOKUP($H92,ERP!$H:$AP,34,0)</f>
        <v>NA</v>
      </c>
    </row>
    <row r="93" hidden="1" customHeight="1" spans="1:26">
      <c r="A93" s="56">
        <v>92</v>
      </c>
      <c r="B93" s="214" t="s">
        <v>923</v>
      </c>
      <c r="C93" s="214" t="s">
        <v>924</v>
      </c>
      <c r="D93" s="214" t="s">
        <v>925</v>
      </c>
      <c r="E93" s="214">
        <v>4591470</v>
      </c>
      <c r="F93" s="214" t="s">
        <v>926</v>
      </c>
      <c r="G93" s="233">
        <v>46100</v>
      </c>
      <c r="H93" s="214">
        <v>2566911359</v>
      </c>
      <c r="I93" s="214" t="s">
        <v>927</v>
      </c>
      <c r="J93" s="214" t="s">
        <v>639</v>
      </c>
      <c r="K93" s="214" t="s">
        <v>640</v>
      </c>
      <c r="L93" s="231" t="s">
        <v>237</v>
      </c>
      <c r="M93" s="215" t="str">
        <f>VLOOKUP($L93,Emp!$A:$F,2,0)</f>
        <v>BHAGIESH</v>
      </c>
      <c r="N93" s="215" t="str">
        <f>VLOOKUP($L93,Emp!$A:$F,3,0)</f>
        <v>CHAVAKKAD</v>
      </c>
      <c r="O93" s="215" t="str">
        <f>VLOOKUP($L93,Emp!$A:$F,4,0)</f>
        <v>ARENA</v>
      </c>
      <c r="P93" s="214" t="s">
        <v>417</v>
      </c>
      <c r="Q93" s="56" t="s">
        <v>366</v>
      </c>
      <c r="R93" s="56" t="s">
        <v>51</v>
      </c>
      <c r="S93" s="56" t="s">
        <v>367</v>
      </c>
      <c r="T93" s="236" t="str">
        <f>IF(_xlfn.XLOOKUP(F93,IH!Y:Y,IH!AA:AA,"")="MAPPED","MAPPED","")</f>
        <v/>
      </c>
      <c r="U93" s="237" t="str">
        <f>IFERROR(VLOOKUP(H93,IH!C:T,18,0),"")</f>
        <v>NO</v>
      </c>
      <c r="V93" s="237" t="str">
        <f t="shared" si="7"/>
        <v>DISBURSED</v>
      </c>
      <c r="W93" s="221">
        <f>IFERROR(VLOOKUP(H93,IH!C:X,14,0),"")</f>
        <v>46105</v>
      </c>
      <c r="X93" s="215" t="str">
        <f>VLOOKUP($L93,Emp!$A:$F,5,0)</f>
        <v>SINTO</v>
      </c>
      <c r="Y93" s="239" t="str">
        <f>VLOOKUP($H93,ERP!$H:$AP,33,0)</f>
        <v>ABHIJITH K P (C26532),</v>
      </c>
      <c r="Z93" s="239" t="str">
        <f>VLOOKUP($H93,ERP!$H:$AP,34,0)</f>
        <v>BHAGIESH P (CHKD)</v>
      </c>
    </row>
    <row r="94" hidden="1" customHeight="1" spans="1:26">
      <c r="A94" s="56">
        <v>93</v>
      </c>
      <c r="B94" s="214" t="s">
        <v>928</v>
      </c>
      <c r="C94" s="214" t="s">
        <v>929</v>
      </c>
      <c r="D94" s="214" t="s">
        <v>930</v>
      </c>
      <c r="E94" s="214" t="s">
        <v>931</v>
      </c>
      <c r="F94" s="214" t="s">
        <v>932</v>
      </c>
      <c r="G94" s="233">
        <v>46100</v>
      </c>
      <c r="H94" s="214">
        <v>2567692920</v>
      </c>
      <c r="I94" s="214" t="s">
        <v>933</v>
      </c>
      <c r="J94" s="214" t="s">
        <v>489</v>
      </c>
      <c r="K94" s="214" t="s">
        <v>934</v>
      </c>
      <c r="L94" s="231" t="s">
        <v>112</v>
      </c>
      <c r="M94" s="215" t="str">
        <f>VLOOKUP($L94,Emp!$A:$F,2,0)</f>
        <v>ANAND K V</v>
      </c>
      <c r="N94" s="215" t="str">
        <f>VLOOKUP($L94,Emp!$A:$F,3,0)</f>
        <v>KOLENCHERY</v>
      </c>
      <c r="O94" s="215" t="str">
        <f>VLOOKUP($L94,Emp!$A:$F,4,0)</f>
        <v>ARENA</v>
      </c>
      <c r="P94" s="214" t="s">
        <v>632</v>
      </c>
      <c r="Q94" s="56" t="s">
        <v>633</v>
      </c>
      <c r="R94" s="56" t="s">
        <v>51</v>
      </c>
      <c r="S94" s="56" t="s">
        <v>367</v>
      </c>
      <c r="T94" s="236" t="str">
        <f>IF(_xlfn.XLOOKUP(F94,IH!Y:Y,IH!AA:AA,"")="MAPPED","MAPPED","")</f>
        <v/>
      </c>
      <c r="U94" s="237" t="str">
        <f>IFERROR(VLOOKUP(H94,IH!C:T,18,0),"")</f>
        <v>NO</v>
      </c>
      <c r="V94" s="237" t="str">
        <f t="shared" ref="V94:V102" si="8">IF(W94&lt;&gt;"","DISBURSED","")</f>
        <v>DISBURSED</v>
      </c>
      <c r="W94" s="221">
        <f>IFERROR(VLOOKUP(H94,IH!C:X,14,0),"")</f>
        <v>46102</v>
      </c>
      <c r="X94" s="215" t="str">
        <f>VLOOKUP($L94,Emp!$A:$F,5,0)</f>
        <v>AMAL</v>
      </c>
      <c r="Y94" s="239" t="str">
        <f>VLOOKUP($H94,ERP!$H:$AP,33,0)</f>
        <v>AMITH YACOB(C24679),</v>
      </c>
      <c r="Z94" s="239" t="str">
        <f>VLOOKUP($H94,ERP!$H:$AP,34,0)</f>
        <v>ANAND (KLY)</v>
      </c>
    </row>
    <row r="95" hidden="1" customHeight="1" spans="1:26">
      <c r="A95" s="56">
        <v>94</v>
      </c>
      <c r="B95" s="214" t="s">
        <v>935</v>
      </c>
      <c r="C95" s="214" t="s">
        <v>936</v>
      </c>
      <c r="D95" s="214" t="s">
        <v>937</v>
      </c>
      <c r="E95" s="214" t="s">
        <v>938</v>
      </c>
      <c r="F95" s="214" t="s">
        <v>939</v>
      </c>
      <c r="G95" s="233">
        <v>46100</v>
      </c>
      <c r="H95" s="214">
        <v>2567637892</v>
      </c>
      <c r="I95" s="214" t="s">
        <v>940</v>
      </c>
      <c r="J95" s="214" t="s">
        <v>363</v>
      </c>
      <c r="K95" s="214" t="s">
        <v>364</v>
      </c>
      <c r="L95" s="231" t="s">
        <v>87</v>
      </c>
      <c r="M95" s="215" t="str">
        <f>VLOOKUP($L95,Emp!$A:$F,2,0)</f>
        <v>RATISH K R</v>
      </c>
      <c r="N95" s="215" t="str">
        <f>VLOOKUP($L95,Emp!$A:$F,3,0)</f>
        <v>KADAVANTHRA</v>
      </c>
      <c r="O95" s="215" t="str">
        <f>VLOOKUP($L95,Emp!$A:$F,4,0)</f>
        <v>ARENA</v>
      </c>
      <c r="P95" s="214" t="s">
        <v>860</v>
      </c>
      <c r="Q95" s="56" t="s">
        <v>861</v>
      </c>
      <c r="R95" s="56" t="s">
        <v>378</v>
      </c>
      <c r="S95" s="56" t="s">
        <v>356</v>
      </c>
      <c r="T95" s="236" t="str">
        <f>IF(_xlfn.XLOOKUP(F95,IH!Y:Y,IH!AA:AA,"")="MAPPED","MAPPED","")</f>
        <v/>
      </c>
      <c r="U95" s="237" t="str">
        <f>IFERROR(VLOOKUP(H95,IH!C:T,18,0),"")</f>
        <v/>
      </c>
      <c r="V95" s="237" t="str">
        <f t="shared" si="8"/>
        <v/>
      </c>
      <c r="W95" s="221" t="str">
        <f>IFERROR(VLOOKUP(H95,IH!C:X,14,0),"")</f>
        <v/>
      </c>
      <c r="X95" s="215" t="str">
        <f>VLOOKUP($L95,Emp!$A:$F,5,0)</f>
        <v>SALMAN</v>
      </c>
      <c r="Y95" s="239" t="str">
        <f>VLOOKUP($H95,ERP!$H:$AP,33,0)</f>
        <v>AMAL RAJ ANTHONY (C22567),</v>
      </c>
      <c r="Z95" s="239" t="str">
        <f>VLOOKUP($H95,ERP!$H:$AP,34,0)</f>
        <v>RATHEESH.K.R</v>
      </c>
    </row>
    <row r="96" hidden="1" customHeight="1" spans="1:26">
      <c r="A96" s="56">
        <v>95</v>
      </c>
      <c r="B96" s="214" t="s">
        <v>941</v>
      </c>
      <c r="C96" s="214" t="s">
        <v>942</v>
      </c>
      <c r="D96" s="214" t="s">
        <v>943</v>
      </c>
      <c r="E96" s="214" t="s">
        <v>944</v>
      </c>
      <c r="F96" s="214" t="s">
        <v>945</v>
      </c>
      <c r="G96" s="233">
        <v>46100</v>
      </c>
      <c r="H96" s="214">
        <v>2567692716</v>
      </c>
      <c r="I96" s="214" t="s">
        <v>946</v>
      </c>
      <c r="J96" s="214" t="s">
        <v>489</v>
      </c>
      <c r="K96" s="214" t="s">
        <v>520</v>
      </c>
      <c r="L96" s="240" t="s">
        <v>192</v>
      </c>
      <c r="M96" s="215" t="str">
        <f>VLOOKUP($L96,Emp!$A:$F,2,0)</f>
        <v>KASI VISWANATH</v>
      </c>
      <c r="N96" s="215" t="str">
        <f>VLOOKUP($L96,Emp!$A:$F,3,0)</f>
        <v>KAIPAMANGALAM</v>
      </c>
      <c r="O96" s="215" t="str">
        <f>VLOOKUP($L96,Emp!$A:$F,4,0)</f>
        <v>ARENA</v>
      </c>
      <c r="P96" s="214" t="s">
        <v>456</v>
      </c>
      <c r="Q96" s="56" t="s">
        <v>457</v>
      </c>
      <c r="R96" s="56" t="s">
        <v>51</v>
      </c>
      <c r="S96" s="56" t="s">
        <v>367</v>
      </c>
      <c r="T96" s="236" t="str">
        <f>IF(_xlfn.XLOOKUP(F96,IH!Y:Y,IH!AA:AA,"")="MAPPED","MAPPED","")</f>
        <v/>
      </c>
      <c r="U96" s="237" t="str">
        <f>IFERROR(VLOOKUP(H96,IH!C:T,18,0),"")</f>
        <v>MSSF DISBURSED</v>
      </c>
      <c r="V96" s="237" t="str">
        <f t="shared" si="8"/>
        <v>DISBURSED</v>
      </c>
      <c r="W96" s="221">
        <f>IFERROR(VLOOKUP(H96,IH!C:X,14,0),"")</f>
        <v>46095</v>
      </c>
      <c r="X96" s="215" t="str">
        <f>VLOOKUP($L96,Emp!$A:$F,5,0)</f>
        <v>JINEESH</v>
      </c>
      <c r="Y96" s="239" t="str">
        <f>VLOOKUP($H96,ERP!$H:$AP,33,0)</f>
        <v>ARUN DAS K A (C26238),</v>
      </c>
      <c r="Z96" s="239" t="str">
        <f>VLOOKUP($H96,ERP!$H:$AP,34,0)</f>
        <v>KASI VISWANATH K M</v>
      </c>
    </row>
    <row r="97" hidden="1" customHeight="1" spans="1:26">
      <c r="A97" s="56">
        <v>96</v>
      </c>
      <c r="B97" s="214" t="s">
        <v>947</v>
      </c>
      <c r="C97" s="214" t="s">
        <v>948</v>
      </c>
      <c r="D97" s="214" t="s">
        <v>949</v>
      </c>
      <c r="E97" s="214" t="s">
        <v>950</v>
      </c>
      <c r="F97" s="214" t="s">
        <v>951</v>
      </c>
      <c r="G97" s="233">
        <v>46100</v>
      </c>
      <c r="H97" s="214">
        <v>2567546544</v>
      </c>
      <c r="I97" s="214" t="s">
        <v>952</v>
      </c>
      <c r="J97" s="214" t="s">
        <v>363</v>
      </c>
      <c r="K97" s="214" t="s">
        <v>364</v>
      </c>
      <c r="L97" s="231" t="s">
        <v>81</v>
      </c>
      <c r="M97" s="215" t="str">
        <f>VLOOKUP($L97,Emp!$A:$F,2,0)</f>
        <v>REJIM GEORGE</v>
      </c>
      <c r="N97" s="215" t="str">
        <f>VLOOKUP($L97,Emp!$A:$F,3,0)</f>
        <v>FORTKOCHI</v>
      </c>
      <c r="O97" s="215" t="str">
        <f>VLOOKUP($L97,Emp!$A:$F,4,0)</f>
        <v>ARENA</v>
      </c>
      <c r="P97" s="214" t="s">
        <v>456</v>
      </c>
      <c r="Q97" s="56" t="s">
        <v>457</v>
      </c>
      <c r="R97" s="56" t="s">
        <v>51</v>
      </c>
      <c r="S97" s="56" t="s">
        <v>367</v>
      </c>
      <c r="T97" s="236" t="str">
        <f>IF(_xlfn.XLOOKUP(F97,IH!Y:Y,IH!AA:AA,"")="MAPPED","MAPPED","")</f>
        <v>MAPPED</v>
      </c>
      <c r="U97" s="237" t="str">
        <f>IFERROR(VLOOKUP(H97,IH!C:T,18,0),"")</f>
        <v>MSSF DISBURSED</v>
      </c>
      <c r="V97" s="237" t="str">
        <f t="shared" si="8"/>
        <v>DISBURSED</v>
      </c>
      <c r="W97" s="221">
        <f>IFERROR(VLOOKUP(H97,IH!C:X,14,0),"")</f>
        <v>46093</v>
      </c>
      <c r="X97" s="215" t="str">
        <f>VLOOKUP($L97,Emp!$A:$F,5,0)</f>
        <v>SIVAPRASAD</v>
      </c>
      <c r="Y97" s="239" t="str">
        <f>VLOOKUP($H97,ERP!$H:$AP,33,0)</f>
        <v>DINU S (C24913),</v>
      </c>
      <c r="Z97" s="239" t="str">
        <f>VLOOKUP($H97,ERP!$H:$AP,34,0)</f>
        <v>REGIM GEORGE</v>
      </c>
    </row>
    <row r="98" hidden="1" customHeight="1" spans="1:26">
      <c r="A98" s="56">
        <v>97</v>
      </c>
      <c r="B98" s="214" t="s">
        <v>953</v>
      </c>
      <c r="C98" s="214" t="s">
        <v>954</v>
      </c>
      <c r="D98" s="214">
        <v>160011</v>
      </c>
      <c r="E98" s="214" t="s">
        <v>955</v>
      </c>
      <c r="F98" s="214" t="s">
        <v>956</v>
      </c>
      <c r="G98" s="233">
        <v>46100</v>
      </c>
      <c r="H98" s="214">
        <v>2567700889</v>
      </c>
      <c r="I98" s="214" t="s">
        <v>957</v>
      </c>
      <c r="J98" s="214" t="s">
        <v>353</v>
      </c>
      <c r="K98" s="214" t="s">
        <v>958</v>
      </c>
      <c r="L98" s="231" t="s">
        <v>73</v>
      </c>
      <c r="M98" s="215" t="str">
        <f>VLOOKUP($L98,Emp!$A:$F,2,0)</f>
        <v>NOUFAL T A</v>
      </c>
      <c r="N98" s="215" t="str">
        <f>VLOOKUP($L98,Emp!$A:$F,3,0)</f>
        <v>EDAPPALLY</v>
      </c>
      <c r="O98" s="215" t="str">
        <f>VLOOKUP($L98,Emp!$A:$F,4,0)</f>
        <v>ARENA</v>
      </c>
      <c r="P98" s="214" t="s">
        <v>355</v>
      </c>
      <c r="Q98" s="56" t="s">
        <v>633</v>
      </c>
      <c r="R98" s="56" t="s">
        <v>51</v>
      </c>
      <c r="S98" s="56" t="s">
        <v>367</v>
      </c>
      <c r="T98" s="236" t="str">
        <f>IF(_xlfn.XLOOKUP(F98,IH!Y:Y,IH!AA:AA,"")="MAPPED","MAPPED","")</f>
        <v>MAPPED</v>
      </c>
      <c r="U98" s="237" t="str">
        <f>IFERROR(VLOOKUP(H98,IH!C:T,18,0),"")</f>
        <v>MSSF DISBURSED</v>
      </c>
      <c r="V98" s="237" t="str">
        <f t="shared" si="8"/>
        <v>DISBURSED</v>
      </c>
      <c r="W98" s="221">
        <f>IFERROR(VLOOKUP(H98,IH!C:X,14,0),"")</f>
        <v>46100</v>
      </c>
      <c r="X98" s="215" t="str">
        <f>VLOOKUP($L98,Emp!$A:$F,5,0)</f>
        <v>SIVAPRASAD</v>
      </c>
      <c r="Y98" s="239" t="str">
        <f>VLOOKUP($H98,ERP!$H:$AP,33,0)</f>
        <v>NA</v>
      </c>
      <c r="Z98" s="239" t="str">
        <f>VLOOKUP($H98,ERP!$H:$AP,34,0)</f>
        <v>NA</v>
      </c>
    </row>
    <row r="99" hidden="1" customHeight="1" spans="1:26">
      <c r="A99" s="56">
        <v>98</v>
      </c>
      <c r="B99" s="214" t="s">
        <v>959</v>
      </c>
      <c r="C99" s="214" t="s">
        <v>960</v>
      </c>
      <c r="D99" s="214" t="s">
        <v>961</v>
      </c>
      <c r="E99" s="214">
        <v>1435121</v>
      </c>
      <c r="F99" s="214" t="s">
        <v>962</v>
      </c>
      <c r="G99" s="233">
        <v>46100</v>
      </c>
      <c r="H99" s="214">
        <v>2567286964</v>
      </c>
      <c r="I99" s="214" t="s">
        <v>963</v>
      </c>
      <c r="J99" s="214" t="s">
        <v>363</v>
      </c>
      <c r="K99" s="214" t="s">
        <v>364</v>
      </c>
      <c r="L99" s="231" t="s">
        <v>76</v>
      </c>
      <c r="M99" s="215" t="str">
        <f>VLOOKUP($L99,Emp!$A:$F,2,0)</f>
        <v>NOUFAL T A</v>
      </c>
      <c r="N99" s="215" t="str">
        <f>VLOOKUP($L99,Emp!$A:$F,3,0)</f>
        <v>EDAPPALLY</v>
      </c>
      <c r="O99" s="215" t="str">
        <f>VLOOKUP($L99,Emp!$A:$F,4,0)</f>
        <v>ARENA</v>
      </c>
      <c r="P99" s="214" t="s">
        <v>860</v>
      </c>
      <c r="Q99" s="56" t="s">
        <v>861</v>
      </c>
      <c r="R99" s="56" t="s">
        <v>51</v>
      </c>
      <c r="S99" s="56" t="s">
        <v>367</v>
      </c>
      <c r="T99" s="236" t="str">
        <f>IF(_xlfn.XLOOKUP(F99,IH!Y:Y,IH!AA:AA,"")="MAPPED","MAPPED","")</f>
        <v>MAPPED</v>
      </c>
      <c r="U99" s="237" t="str">
        <f>IFERROR(VLOOKUP(H99,IH!C:T,18,0),"")</f>
        <v>MSSF DISBURSED</v>
      </c>
      <c r="V99" s="237" t="str">
        <f t="shared" si="8"/>
        <v>DISBURSED</v>
      </c>
      <c r="W99" s="221">
        <f>IFERROR(VLOOKUP(H99,IH!C:X,14,0),"")</f>
        <v>46100</v>
      </c>
      <c r="X99" s="215" t="str">
        <f>VLOOKUP($L99,Emp!$A:$F,5,0)</f>
        <v>SIVAPRASAD</v>
      </c>
      <c r="Y99" s="239" t="str">
        <f>VLOOKUP($H99,ERP!$H:$AP,33,0)</f>
        <v>NA</v>
      </c>
      <c r="Z99" s="239" t="str">
        <f>VLOOKUP($H99,ERP!$H:$AP,34,0)</f>
        <v>NA</v>
      </c>
    </row>
    <row r="100" hidden="1" customHeight="1" spans="1:26">
      <c r="A100" s="56">
        <v>99</v>
      </c>
      <c r="B100" s="214" t="s">
        <v>964</v>
      </c>
      <c r="C100" s="214" t="s">
        <v>965</v>
      </c>
      <c r="D100" s="214" t="s">
        <v>966</v>
      </c>
      <c r="E100" s="214">
        <v>1428443</v>
      </c>
      <c r="F100" s="214" t="s">
        <v>967</v>
      </c>
      <c r="G100" s="233">
        <v>46100</v>
      </c>
      <c r="H100" s="214">
        <v>2567545752</v>
      </c>
      <c r="I100" s="214" t="s">
        <v>968</v>
      </c>
      <c r="J100" s="214" t="s">
        <v>363</v>
      </c>
      <c r="K100" s="214" t="s">
        <v>364</v>
      </c>
      <c r="L100" s="231" t="s">
        <v>98</v>
      </c>
      <c r="M100" s="215" t="str">
        <f>VLOOKUP($L100,Emp!$A:$F,2,0)</f>
        <v>BINOY RAJ</v>
      </c>
      <c r="N100" s="215" t="str">
        <f>VLOOKUP($L100,Emp!$A:$F,3,0)</f>
        <v>KODUNGALLUR</v>
      </c>
      <c r="O100" s="215" t="str">
        <f>VLOOKUP($L100,Emp!$A:$F,4,0)</f>
        <v>ARENA</v>
      </c>
      <c r="P100" s="214" t="s">
        <v>969</v>
      </c>
      <c r="Q100" s="56" t="s">
        <v>553</v>
      </c>
      <c r="R100" s="56" t="s">
        <v>51</v>
      </c>
      <c r="S100" s="56" t="s">
        <v>367</v>
      </c>
      <c r="T100" s="236" t="str">
        <f>IF(_xlfn.XLOOKUP(F100,IH!Y:Y,IH!AA:AA,"")="MAPPED","MAPPED","")</f>
        <v/>
      </c>
      <c r="U100" s="237" t="str">
        <f>IFERROR(VLOOKUP(H100,IH!C:T,18,0),"")</f>
        <v>MSSF LOGIN</v>
      </c>
      <c r="V100" s="237" t="str">
        <f t="shared" si="8"/>
        <v>DISBURSED</v>
      </c>
      <c r="W100" s="221">
        <f>IFERROR(VLOOKUP(H100,IH!C:X,14,0),"")</f>
        <v>46102</v>
      </c>
      <c r="X100" s="215" t="str">
        <f>VLOOKUP($L100,Emp!$A:$F,5,0)</f>
        <v>JINEESH</v>
      </c>
      <c r="Y100" s="239" t="str">
        <f>VLOOKUP($H100,ERP!$H:$AP,33,0)</f>
        <v>NA</v>
      </c>
      <c r="Z100" s="239" t="str">
        <f>VLOOKUP($H100,ERP!$H:$AP,34,0)</f>
        <v>NA</v>
      </c>
    </row>
    <row r="101" hidden="1" customHeight="1" spans="1:26">
      <c r="A101" s="56">
        <v>100</v>
      </c>
      <c r="B101" s="214" t="s">
        <v>970</v>
      </c>
      <c r="C101" s="214" t="s">
        <v>971</v>
      </c>
      <c r="D101" s="214" t="s">
        <v>972</v>
      </c>
      <c r="E101" s="214" t="s">
        <v>973</v>
      </c>
      <c r="F101" s="214" t="s">
        <v>974</v>
      </c>
      <c r="G101" s="233">
        <v>46100</v>
      </c>
      <c r="H101" s="214">
        <v>2567446156</v>
      </c>
      <c r="I101" s="214" t="s">
        <v>975</v>
      </c>
      <c r="J101" s="214" t="s">
        <v>363</v>
      </c>
      <c r="K101" s="214" t="s">
        <v>364</v>
      </c>
      <c r="L101" s="231" t="s">
        <v>55</v>
      </c>
      <c r="M101" s="215" t="str">
        <f>VLOOKUP($L101,Emp!$A:$F,2,0)</f>
        <v>ELDHO A JACOB</v>
      </c>
      <c r="N101" s="215" t="str">
        <f>VLOOKUP($L101,Emp!$A:$F,3,0)</f>
        <v>ANGAMALY</v>
      </c>
      <c r="O101" s="215" t="str">
        <f>VLOOKUP($L101,Emp!$A:$F,4,0)</f>
        <v>ARENA</v>
      </c>
      <c r="P101" s="214" t="s">
        <v>355</v>
      </c>
      <c r="Q101" s="56" t="s">
        <v>355</v>
      </c>
      <c r="R101" s="56" t="s">
        <v>355</v>
      </c>
      <c r="S101" s="56" t="s">
        <v>356</v>
      </c>
      <c r="T101" s="236" t="str">
        <f>IF(_xlfn.XLOOKUP(F101,IH!Y:Y,IH!AA:AA,"")="MAPPED","MAPPED","")</f>
        <v/>
      </c>
      <c r="U101" s="237" t="str">
        <f>IFERROR(VLOOKUP(H101,IH!C:T,18,0),"")</f>
        <v/>
      </c>
      <c r="V101" s="237" t="str">
        <f t="shared" si="8"/>
        <v/>
      </c>
      <c r="W101" s="221" t="str">
        <f>IFERROR(VLOOKUP(H101,IH!C:X,14,0),"")</f>
        <v/>
      </c>
      <c r="X101" s="215" t="str">
        <f>VLOOKUP($L101,Emp!$A:$F,5,0)</f>
        <v>SALMAN</v>
      </c>
      <c r="Y101" s="239" t="str">
        <f>VLOOKUP($H101,ERP!$H:$AP,33,0)</f>
        <v>NA</v>
      </c>
      <c r="Z101" s="239" t="str">
        <f>VLOOKUP($H101,ERP!$H:$AP,34,0)</f>
        <v>NA</v>
      </c>
    </row>
    <row r="102" hidden="1" customHeight="1" spans="1:26">
      <c r="A102" s="56">
        <v>101</v>
      </c>
      <c r="B102" s="214" t="s">
        <v>976</v>
      </c>
      <c r="C102" s="214" t="s">
        <v>977</v>
      </c>
      <c r="D102" s="214">
        <v>474501</v>
      </c>
      <c r="E102" s="214">
        <v>1427335</v>
      </c>
      <c r="F102" s="214" t="s">
        <v>978</v>
      </c>
      <c r="G102" s="233">
        <v>46100</v>
      </c>
      <c r="H102" s="214">
        <v>2567417374</v>
      </c>
      <c r="I102" s="214" t="s">
        <v>979</v>
      </c>
      <c r="J102" s="214" t="s">
        <v>434</v>
      </c>
      <c r="K102" s="214" t="s">
        <v>471</v>
      </c>
      <c r="L102" s="231" t="s">
        <v>119</v>
      </c>
      <c r="M102" s="215" t="str">
        <f>VLOOKUP($L102,Emp!$A:$F,2,0)</f>
        <v>ARUN BABU</v>
      </c>
      <c r="N102" s="215" t="str">
        <f>VLOOKUP($L102,Emp!$A:$F,3,0)</f>
        <v>KOOTHATTUKULAM</v>
      </c>
      <c r="O102" s="215" t="str">
        <f>VLOOKUP($L102,Emp!$A:$F,4,0)</f>
        <v>ARENA</v>
      </c>
      <c r="P102" s="214" t="s">
        <v>980</v>
      </c>
      <c r="Q102" s="56" t="s">
        <v>648</v>
      </c>
      <c r="R102" s="56" t="s">
        <v>51</v>
      </c>
      <c r="S102" s="56" t="s">
        <v>367</v>
      </c>
      <c r="T102" s="236" t="str">
        <f>IF(_xlfn.XLOOKUP(F102,IH!Y:Y,IH!AA:AA,"")="MAPPED","MAPPED","")</f>
        <v/>
      </c>
      <c r="U102" s="237" t="str">
        <f>IFERROR(VLOOKUP(H102,IH!C:T,18,0),"")</f>
        <v>NO</v>
      </c>
      <c r="V102" s="237" t="str">
        <f t="shared" si="8"/>
        <v>DISBURSED</v>
      </c>
      <c r="W102" s="221">
        <f>IFERROR(VLOOKUP(H102,IH!C:X,14,0),"")</f>
        <v>46102</v>
      </c>
      <c r="X102" s="215" t="str">
        <f>VLOOKUP($L102,Emp!$A:$F,5,0)</f>
        <v>AMAL</v>
      </c>
      <c r="Y102" s="239" t="str">
        <f>VLOOKUP($H102,ERP!$H:$AP,33,0)</f>
        <v>SATHEESH A.V. (C20658),</v>
      </c>
      <c r="Z102" s="239" t="str">
        <f>VLOOKUP($H102,ERP!$H:$AP,34,0)</f>
        <v>ARUN BABU(KTLM)</v>
      </c>
    </row>
    <row r="103" hidden="1" customHeight="1" spans="1:26">
      <c r="A103" s="56">
        <v>102</v>
      </c>
      <c r="B103" s="214" t="s">
        <v>785</v>
      </c>
      <c r="C103" s="214" t="s">
        <v>981</v>
      </c>
      <c r="D103" s="214">
        <v>475627</v>
      </c>
      <c r="E103" s="214" t="s">
        <v>982</v>
      </c>
      <c r="F103" s="214" t="s">
        <v>983</v>
      </c>
      <c r="G103" s="233">
        <v>46102</v>
      </c>
      <c r="H103" s="214">
        <v>2567235354</v>
      </c>
      <c r="I103" s="214" t="s">
        <v>984</v>
      </c>
      <c r="J103" s="214" t="s">
        <v>434</v>
      </c>
      <c r="K103" s="214" t="s">
        <v>893</v>
      </c>
      <c r="L103" s="231" t="s">
        <v>113</v>
      </c>
      <c r="M103" s="215" t="str">
        <f>VLOOKUP($L103,Emp!$A:$F,2,0)</f>
        <v>ANAND K V</v>
      </c>
      <c r="N103" s="215" t="str">
        <f>VLOOKUP($L103,Emp!$A:$F,3,0)</f>
        <v>KOLENCHERY</v>
      </c>
      <c r="O103" s="215" t="str">
        <f>VLOOKUP($L103,Emp!$A:$F,4,0)</f>
        <v>ARENA</v>
      </c>
      <c r="P103" s="214" t="s">
        <v>491</v>
      </c>
      <c r="Q103" s="56" t="s">
        <v>492</v>
      </c>
      <c r="R103" s="56" t="s">
        <v>51</v>
      </c>
      <c r="S103" s="56" t="s">
        <v>367</v>
      </c>
      <c r="T103" s="236" t="str">
        <f>IF(_xlfn.XLOOKUP(F103,IH!Y:Y,IH!AA:AA,"")="MAPPED","MAPPED","")</f>
        <v/>
      </c>
      <c r="U103" s="237" t="str">
        <f>IFERROR(VLOOKUP(H103,IH!C:T,18,0),"")</f>
        <v>MSSF DISBURSED</v>
      </c>
      <c r="V103" s="237" t="str">
        <f t="shared" ref="V103:V111" si="9">IF(W103&lt;&gt;"","DISBURSED","")</f>
        <v>DISBURSED</v>
      </c>
      <c r="W103" s="221">
        <f>IFERROR(VLOOKUP(H103,IH!C:X,14,0),"")</f>
        <v>46104</v>
      </c>
      <c r="X103" s="215" t="str">
        <f>VLOOKUP($L103,Emp!$A:$F,5,0)</f>
        <v>AMAL</v>
      </c>
      <c r="Y103" s="239" t="str">
        <f>VLOOKUP($H103,ERP!$H:$AP,33,0)</f>
        <v>ELSON JACOB(C23950),</v>
      </c>
      <c r="Z103" s="239" t="str">
        <f>VLOOKUP($H103,ERP!$H:$AP,34,0)</f>
        <v>ANAND (KLY)</v>
      </c>
    </row>
    <row r="104" hidden="1" customHeight="1" spans="1:26">
      <c r="A104" s="56">
        <v>103</v>
      </c>
      <c r="B104" s="214" t="s">
        <v>985</v>
      </c>
      <c r="C104" s="214" t="s">
        <v>986</v>
      </c>
      <c r="D104" s="214" t="s">
        <v>987</v>
      </c>
      <c r="E104" s="214" t="s">
        <v>988</v>
      </c>
      <c r="F104" s="214" t="s">
        <v>989</v>
      </c>
      <c r="G104" s="233">
        <v>46102</v>
      </c>
      <c r="H104" s="214">
        <v>2567691174</v>
      </c>
      <c r="I104" s="214" t="s">
        <v>990</v>
      </c>
      <c r="J104" s="214" t="s">
        <v>619</v>
      </c>
      <c r="K104" s="214" t="s">
        <v>620</v>
      </c>
      <c r="L104" s="231" t="s">
        <v>86</v>
      </c>
      <c r="M104" s="215" t="str">
        <f>VLOOKUP($L104,Emp!$A:$F,2,0)</f>
        <v>REJIM GEORGE</v>
      </c>
      <c r="N104" s="215" t="str">
        <f>VLOOKUP($L104,Emp!$A:$F,3,0)</f>
        <v>FORTKOCHI</v>
      </c>
      <c r="O104" s="215" t="str">
        <f>VLOOKUP($L104,Emp!$A:$F,4,0)</f>
        <v>ARENA</v>
      </c>
      <c r="P104" s="214" t="s">
        <v>552</v>
      </c>
      <c r="Q104" s="56" t="s">
        <v>553</v>
      </c>
      <c r="R104" s="56" t="s">
        <v>51</v>
      </c>
      <c r="S104" s="56" t="s">
        <v>367</v>
      </c>
      <c r="T104" s="236" t="str">
        <f>IF(_xlfn.XLOOKUP(F104,IH!Y:Y,IH!AA:AA,"")="MAPPED","MAPPED","")</f>
        <v/>
      </c>
      <c r="U104" s="237" t="str">
        <f>IFERROR(VLOOKUP(H104,IH!C:T,18,0),"")</f>
        <v>MSSF LOGIN</v>
      </c>
      <c r="V104" s="237" t="str">
        <f t="shared" si="9"/>
        <v>DISBURSED</v>
      </c>
      <c r="W104" s="221">
        <f>IFERROR(VLOOKUP(H104,IH!C:X,14,0),"")</f>
        <v>46100</v>
      </c>
      <c r="X104" s="215" t="str">
        <f>VLOOKUP($L104,Emp!$A:$F,5,0)</f>
        <v>SIVAPRASAD</v>
      </c>
      <c r="Y104" s="239" t="str">
        <f>VLOOKUP($H104,ERP!$H:$AP,33,0)</f>
        <v>FAIZAL K N (C22886),</v>
      </c>
      <c r="Z104" s="239" t="str">
        <f>VLOOKUP($H104,ERP!$H:$AP,34,0)</f>
        <v>REGIM GEORGE</v>
      </c>
    </row>
    <row r="105" hidden="1" customHeight="1" spans="1:26">
      <c r="A105" s="56">
        <v>104</v>
      </c>
      <c r="B105" s="214" t="s">
        <v>991</v>
      </c>
      <c r="C105" s="214" t="s">
        <v>992</v>
      </c>
      <c r="D105" s="214">
        <v>714754</v>
      </c>
      <c r="E105" s="214">
        <v>9943484</v>
      </c>
      <c r="F105" s="214" t="s">
        <v>993</v>
      </c>
      <c r="G105" s="233">
        <v>46102</v>
      </c>
      <c r="H105" s="214">
        <v>2567518546</v>
      </c>
      <c r="I105" s="214" t="s">
        <v>994</v>
      </c>
      <c r="J105" s="214" t="s">
        <v>463</v>
      </c>
      <c r="K105" s="214" t="s">
        <v>760</v>
      </c>
      <c r="L105" s="231" t="s">
        <v>213</v>
      </c>
      <c r="M105" s="215" t="str">
        <f>VLOOKUP($L105,Emp!$A:$F,2,0)</f>
        <v>SIVAPRAKASH K S</v>
      </c>
      <c r="N105" s="215" t="str">
        <f>VLOOKUP($L105,Emp!$A:$F,3,0)</f>
        <v>THRISSUR</v>
      </c>
      <c r="O105" s="215" t="str">
        <f>VLOOKUP($L105,Emp!$A:$F,4,0)</f>
        <v>ARENA</v>
      </c>
      <c r="P105" s="214" t="s">
        <v>355</v>
      </c>
      <c r="Q105" s="56" t="s">
        <v>355</v>
      </c>
      <c r="R105" s="56" t="s">
        <v>355</v>
      </c>
      <c r="S105" s="56" t="s">
        <v>356</v>
      </c>
      <c r="T105" s="236" t="str">
        <f>IF(_xlfn.XLOOKUP(F105,IH!Y:Y,IH!AA:AA,"")="MAPPED","MAPPED","")</f>
        <v/>
      </c>
      <c r="U105" s="237" t="str">
        <f>IFERROR(VLOOKUP(H105,IH!C:T,18,0),"")</f>
        <v/>
      </c>
      <c r="V105" s="237" t="str">
        <f t="shared" si="9"/>
        <v/>
      </c>
      <c r="W105" s="221" t="str">
        <f>IFERROR(VLOOKUP(H105,IH!C:X,14,0),"")</f>
        <v/>
      </c>
      <c r="X105" s="215" t="str">
        <f>VLOOKUP($L105,Emp!$A:$F,5,0)</f>
        <v>SINTO</v>
      </c>
      <c r="Y105" s="239" t="str">
        <f>VLOOKUP($H105,ERP!$H:$AP,33,0)</f>
        <v>SANJAY.M.G(C26392),</v>
      </c>
      <c r="Z105" s="239" t="str">
        <f>VLOOKUP($H105,ERP!$H:$AP,34,0)</f>
        <v>SIVAPRAKASH K.S.(TCR)</v>
      </c>
    </row>
    <row r="106" hidden="1" customHeight="1" spans="1:26">
      <c r="A106" s="56">
        <v>105</v>
      </c>
      <c r="B106" s="214" t="s">
        <v>995</v>
      </c>
      <c r="C106" s="214" t="s">
        <v>996</v>
      </c>
      <c r="D106" s="214">
        <v>373435</v>
      </c>
      <c r="E106" s="214" t="s">
        <v>997</v>
      </c>
      <c r="F106" s="214" t="s">
        <v>998</v>
      </c>
      <c r="G106" s="233">
        <v>46102</v>
      </c>
      <c r="H106" s="214">
        <v>2566663160</v>
      </c>
      <c r="I106" s="214" t="s">
        <v>999</v>
      </c>
      <c r="J106" s="214" t="s">
        <v>735</v>
      </c>
      <c r="K106" s="214" t="s">
        <v>1000</v>
      </c>
      <c r="L106" s="231" t="s">
        <v>170</v>
      </c>
      <c r="M106" s="215" t="str">
        <f>VLOOKUP($L106,Emp!$A:$F,2,0)</f>
        <v>SIVAPRAKASH K S</v>
      </c>
      <c r="N106" s="215" t="str">
        <f>VLOOKUP($L106,Emp!$A:$F,3,0)</f>
        <v>THRISSUR</v>
      </c>
      <c r="O106" s="215" t="str">
        <f>VLOOKUP($L106,Emp!$A:$F,4,0)</f>
        <v>ARENA</v>
      </c>
      <c r="P106" s="214" t="s">
        <v>355</v>
      </c>
      <c r="Q106" s="56" t="s">
        <v>355</v>
      </c>
      <c r="R106" s="56" t="s">
        <v>355</v>
      </c>
      <c r="S106" s="56" t="s">
        <v>356</v>
      </c>
      <c r="T106" s="236" t="str">
        <f>IF(_xlfn.XLOOKUP(F106,IH!Y:Y,IH!AA:AA,"")="MAPPED","MAPPED","")</f>
        <v/>
      </c>
      <c r="U106" s="237" t="str">
        <f>IFERROR(VLOOKUP(H106,IH!C:T,18,0),"")</f>
        <v/>
      </c>
      <c r="V106" s="237" t="str">
        <f t="shared" si="9"/>
        <v/>
      </c>
      <c r="W106" s="221" t="str">
        <f>IFERROR(VLOOKUP(H106,IH!C:X,14,0),"")</f>
        <v/>
      </c>
      <c r="X106" s="215" t="str">
        <f>VLOOKUP($L106,Emp!$A:$F,5,0)</f>
        <v>SINTO</v>
      </c>
      <c r="Y106" s="239" t="str">
        <f>VLOOKUP($H106,ERP!$H:$AP,33,0)</f>
        <v>SUJEESH P G (C24887),</v>
      </c>
      <c r="Z106" s="239" t="str">
        <f>VLOOKUP($H106,ERP!$H:$AP,34,0)</f>
        <v>RAJEEV (THCR)</v>
      </c>
    </row>
    <row r="107" hidden="1" customHeight="1" spans="1:26">
      <c r="A107" s="56">
        <v>106</v>
      </c>
      <c r="B107" s="214" t="s">
        <v>1001</v>
      </c>
      <c r="C107" s="214" t="s">
        <v>1002</v>
      </c>
      <c r="D107" s="214" t="s">
        <v>1003</v>
      </c>
      <c r="E107" s="214">
        <v>1431444</v>
      </c>
      <c r="F107" s="214" t="s">
        <v>1004</v>
      </c>
      <c r="G107" s="233">
        <v>46102</v>
      </c>
      <c r="H107" s="214">
        <v>2567444935</v>
      </c>
      <c r="I107" s="214" t="s">
        <v>1005</v>
      </c>
      <c r="J107" s="214" t="s">
        <v>363</v>
      </c>
      <c r="K107" s="214" t="s">
        <v>364</v>
      </c>
      <c r="L107" s="231" t="s">
        <v>201</v>
      </c>
      <c r="M107" s="215" t="str">
        <f>VLOOKUP($L107,Emp!$A:$F,2,0)</f>
        <v>SIVAPRAKASH K S</v>
      </c>
      <c r="N107" s="215" t="str">
        <f>VLOOKUP($L107,Emp!$A:$F,3,0)</f>
        <v>THRISSUR</v>
      </c>
      <c r="O107" s="215" t="str">
        <f>VLOOKUP($L107,Emp!$A:$F,4,0)</f>
        <v>ARENA</v>
      </c>
      <c r="P107" s="214" t="s">
        <v>410</v>
      </c>
      <c r="Q107" s="56" t="s">
        <v>411</v>
      </c>
      <c r="R107" s="56" t="s">
        <v>51</v>
      </c>
      <c r="S107" s="56" t="s">
        <v>367</v>
      </c>
      <c r="T107" s="236" t="str">
        <f>IF(_xlfn.XLOOKUP(F107,IH!Y:Y,IH!AA:AA,"")="MAPPED","MAPPED","")</f>
        <v/>
      </c>
      <c r="U107" s="237" t="str">
        <f>IFERROR(VLOOKUP(H107,IH!C:T,18,0),"")</f>
        <v>MSSF LOGIN</v>
      </c>
      <c r="V107" s="237" t="str">
        <f t="shared" si="9"/>
        <v>DISBURSED</v>
      </c>
      <c r="W107" s="221">
        <f>IFERROR(VLOOKUP(H107,IH!C:X,14,0),"")</f>
        <v>46106</v>
      </c>
      <c r="X107" s="215" t="str">
        <f>VLOOKUP($L107,Emp!$A:$F,5,0)</f>
        <v>SINTO</v>
      </c>
      <c r="Y107" s="239" t="str">
        <f>VLOOKUP($H107,ERP!$H:$AP,33,0)</f>
        <v>SUDHEESH.K.S(C26156),</v>
      </c>
      <c r="Z107" s="239" t="str">
        <f>VLOOKUP($H107,ERP!$H:$AP,34,0)</f>
        <v>SIVAPRAKASH K.S.(TCR)</v>
      </c>
    </row>
    <row r="108" hidden="1" customHeight="1" spans="1:26">
      <c r="A108" s="56">
        <v>107</v>
      </c>
      <c r="B108" s="214" t="s">
        <v>1006</v>
      </c>
      <c r="C108" s="214" t="s">
        <v>1007</v>
      </c>
      <c r="D108" s="214" t="s">
        <v>1008</v>
      </c>
      <c r="E108" s="214">
        <v>1435919</v>
      </c>
      <c r="F108" s="214" t="s">
        <v>1009</v>
      </c>
      <c r="G108" s="233">
        <v>46102</v>
      </c>
      <c r="H108" s="214">
        <v>2567550025</v>
      </c>
      <c r="I108" s="214" t="s">
        <v>1010</v>
      </c>
      <c r="J108" s="214" t="s">
        <v>363</v>
      </c>
      <c r="K108" s="214" t="s">
        <v>364</v>
      </c>
      <c r="L108" s="231" t="s">
        <v>68</v>
      </c>
      <c r="M108" s="215" t="str">
        <f>VLOOKUP($L108,Emp!$A:$F,2,0)</f>
        <v>MANU SASI</v>
      </c>
      <c r="N108" s="215" t="str">
        <f>VLOOKUP($L108,Emp!$A:$F,3,0)</f>
        <v>EDAPPALLY</v>
      </c>
      <c r="O108" s="215" t="str">
        <f>VLOOKUP($L108,Emp!$A:$F,4,0)</f>
        <v>ARENA</v>
      </c>
      <c r="P108" s="214" t="s">
        <v>365</v>
      </c>
      <c r="Q108" s="56" t="s">
        <v>366</v>
      </c>
      <c r="R108" s="56" t="s">
        <v>51</v>
      </c>
      <c r="S108" s="56" t="s">
        <v>367</v>
      </c>
      <c r="T108" s="236" t="str">
        <f>IF(_xlfn.XLOOKUP(F108,IH!Y:Y,IH!AA:AA,"")="MAPPED","MAPPED","")</f>
        <v/>
      </c>
      <c r="U108" s="237" t="str">
        <f>IFERROR(VLOOKUP(H108,IH!C:T,18,0),"")</f>
        <v>MSSF LOGIN</v>
      </c>
      <c r="V108" s="237" t="str">
        <f t="shared" si="9"/>
        <v>DISBURSED</v>
      </c>
      <c r="W108" s="221">
        <f>IFERROR(VLOOKUP(H108,IH!C:X,14,0),"")</f>
        <v>46102</v>
      </c>
      <c r="X108" s="215" t="str">
        <f>VLOOKUP($L108,Emp!$A:$F,5,0)</f>
        <v>SIVAPRASAD</v>
      </c>
      <c r="Y108" s="239" t="str">
        <f>VLOOKUP($H108,ERP!$H:$AP,33,0)</f>
        <v>LANEESH A S(C21174), Mr.</v>
      </c>
      <c r="Z108" s="239" t="str">
        <f>VLOOKUP($H108,ERP!$H:$AP,34,0)</f>
        <v>MANU SASI</v>
      </c>
    </row>
    <row r="109" hidden="1" customHeight="1" spans="1:26">
      <c r="A109" s="56">
        <v>108</v>
      </c>
      <c r="B109" s="214" t="s">
        <v>1011</v>
      </c>
      <c r="C109" s="214" t="s">
        <v>1012</v>
      </c>
      <c r="D109" s="214" t="s">
        <v>1013</v>
      </c>
      <c r="E109" s="214">
        <v>9259291</v>
      </c>
      <c r="F109" s="214" t="s">
        <v>1014</v>
      </c>
      <c r="G109" s="233">
        <v>46102</v>
      </c>
      <c r="H109" s="214">
        <v>2566806016</v>
      </c>
      <c r="I109" s="214" t="s">
        <v>1015</v>
      </c>
      <c r="J109" s="214" t="s">
        <v>1016</v>
      </c>
      <c r="K109" s="214" t="s">
        <v>490</v>
      </c>
      <c r="L109" s="231" t="s">
        <v>68</v>
      </c>
      <c r="M109" s="215" t="str">
        <f>VLOOKUP($L109,Emp!$A:$F,2,0)</f>
        <v>MANU SASI</v>
      </c>
      <c r="N109" s="215" t="str">
        <f>VLOOKUP($L109,Emp!$A:$F,3,0)</f>
        <v>EDAPPALLY</v>
      </c>
      <c r="O109" s="215" t="str">
        <f>VLOOKUP($L109,Emp!$A:$F,4,0)</f>
        <v>ARENA</v>
      </c>
      <c r="P109" s="214" t="s">
        <v>1017</v>
      </c>
      <c r="Q109" s="56" t="s">
        <v>1018</v>
      </c>
      <c r="R109" s="56" t="s">
        <v>51</v>
      </c>
      <c r="S109" s="56" t="s">
        <v>367</v>
      </c>
      <c r="T109" s="236" t="str">
        <f>IF(_xlfn.XLOOKUP(F109,IH!Y:Y,IH!AA:AA,"")="MAPPED","MAPPED","")</f>
        <v>MAPPED</v>
      </c>
      <c r="U109" s="237" t="str">
        <f>IFERROR(VLOOKUP(H109,IH!C:T,18,0),"")</f>
        <v>MSSF DISBURSED</v>
      </c>
      <c r="V109" s="237" t="str">
        <f t="shared" si="9"/>
        <v>DISBURSED</v>
      </c>
      <c r="W109" s="221">
        <f>IFERROR(VLOOKUP(H109,IH!C:X,14,0),"")</f>
        <v>46100</v>
      </c>
      <c r="X109" s="215" t="str">
        <f>VLOOKUP($L109,Emp!$A:$F,5,0)</f>
        <v>SIVAPRASAD</v>
      </c>
      <c r="Y109" s="239" t="str">
        <f>VLOOKUP($H109,ERP!$H:$AP,33,0)</f>
        <v>LANEESH A S(C21174), Mr.</v>
      </c>
      <c r="Z109" s="239" t="str">
        <f>VLOOKUP($H109,ERP!$H:$AP,34,0)</f>
        <v>MANU SASI</v>
      </c>
    </row>
    <row r="110" customHeight="1" spans="1:26">
      <c r="A110" s="56">
        <v>109</v>
      </c>
      <c r="B110" s="214" t="s">
        <v>1019</v>
      </c>
      <c r="C110" s="214" t="s">
        <v>1020</v>
      </c>
      <c r="D110" s="214" t="s">
        <v>1021</v>
      </c>
      <c r="E110" s="214">
        <v>1431068</v>
      </c>
      <c r="F110" s="214" t="s">
        <v>1022</v>
      </c>
      <c r="G110" s="233">
        <v>46102</v>
      </c>
      <c r="H110" s="214">
        <v>2567165097</v>
      </c>
      <c r="I110" s="214" t="s">
        <v>1023</v>
      </c>
      <c r="J110" s="214" t="s">
        <v>363</v>
      </c>
      <c r="K110" s="214" t="s">
        <v>364</v>
      </c>
      <c r="L110" s="231" t="s">
        <v>126</v>
      </c>
      <c r="M110" s="215" t="str">
        <f>VLOOKUP($L110,Emp!$A:$F,2,0)</f>
        <v>RAHUL P R</v>
      </c>
      <c r="N110" s="215" t="str">
        <f>VLOOKUP($L110,Emp!$A:$F,3,0)</f>
        <v>NEXA COCHIN</v>
      </c>
      <c r="O110" s="215" t="str">
        <f>VLOOKUP($L110,Emp!$A:$F,4,0)</f>
        <v>NEXA COCHIN</v>
      </c>
      <c r="P110" s="214" t="s">
        <v>355</v>
      </c>
      <c r="Q110" s="56" t="s">
        <v>355</v>
      </c>
      <c r="R110" s="56" t="s">
        <v>355</v>
      </c>
      <c r="S110" s="56" t="s">
        <v>356</v>
      </c>
      <c r="T110" s="236" t="str">
        <f>IF(_xlfn.XLOOKUP(F110,IH!Y:Y,IH!AA:AA,"")="MAPPED","MAPPED","")</f>
        <v/>
      </c>
      <c r="U110" s="237" t="str">
        <f>IFERROR(VLOOKUP(H110,IH!C:T,18,0),"")</f>
        <v/>
      </c>
      <c r="V110" s="237" t="str">
        <f t="shared" si="9"/>
        <v/>
      </c>
      <c r="W110" s="221" t="str">
        <f>IFERROR(VLOOKUP(H110,IH!C:X,14,0),"")</f>
        <v/>
      </c>
      <c r="X110" s="215" t="str">
        <f>VLOOKUP($L110,Emp!$A:$F,5,0)</f>
        <v>WILSON</v>
      </c>
      <c r="Y110" s="239" t="str">
        <f>VLOOKUP($H110,ERP!$H:$AP,33,0)</f>
        <v>AJAY MOHAN (C23272),</v>
      </c>
      <c r="Z110" s="239" t="str">
        <f>VLOOKUP($H110,ERP!$H:$AP,34,0)</f>
        <v>JOEMON GEORGE A S (NEXA)</v>
      </c>
    </row>
    <row r="111" hidden="1" customHeight="1" spans="1:26">
      <c r="A111" s="56">
        <v>110</v>
      </c>
      <c r="B111" s="214" t="s">
        <v>1024</v>
      </c>
      <c r="C111" s="214" t="s">
        <v>1025</v>
      </c>
      <c r="D111" s="214">
        <v>538448</v>
      </c>
      <c r="E111" s="214">
        <v>1433230</v>
      </c>
      <c r="F111" s="214" t="s">
        <v>1026</v>
      </c>
      <c r="G111" s="233">
        <v>46102</v>
      </c>
      <c r="H111" s="214">
        <v>2567248837</v>
      </c>
      <c r="I111" s="214" t="s">
        <v>1027</v>
      </c>
      <c r="J111" s="214" t="s">
        <v>1028</v>
      </c>
      <c r="K111" s="214" t="s">
        <v>1029</v>
      </c>
      <c r="L111" s="231" t="s">
        <v>218</v>
      </c>
      <c r="M111" s="215" t="str">
        <f>VLOOKUP($L111,Emp!$A:$F,2,0)</f>
        <v>ELDHO A JACOB</v>
      </c>
      <c r="N111" s="215" t="str">
        <f>VLOOKUP($L111,Emp!$A:$F,3,0)</f>
        <v>ANGAMALY</v>
      </c>
      <c r="O111" s="215" t="str">
        <f>VLOOKUP($L111,Emp!$A:$F,4,0)</f>
        <v>ARENA</v>
      </c>
      <c r="P111" s="214" t="s">
        <v>506</v>
      </c>
      <c r="Q111" s="56" t="s">
        <v>507</v>
      </c>
      <c r="R111" s="56" t="s">
        <v>51</v>
      </c>
      <c r="S111" s="56" t="s">
        <v>367</v>
      </c>
      <c r="T111" s="236" t="str">
        <f>IF(_xlfn.XLOOKUP(F111,IH!Y:Y,IH!AA:AA,"")="MAPPED","MAPPED","")</f>
        <v/>
      </c>
      <c r="U111" s="237" t="str">
        <f>IFERROR(VLOOKUP(H111,IH!C:T,18,0),"")</f>
        <v>MSSF DISBURSED</v>
      </c>
      <c r="V111" s="237" t="str">
        <f t="shared" si="9"/>
        <v>DISBURSED</v>
      </c>
      <c r="W111" s="221">
        <f>IFERROR(VLOOKUP(H111,IH!C:X,14,0),"")</f>
        <v>46102</v>
      </c>
      <c r="X111" s="215" t="str">
        <f>VLOOKUP($L111,Emp!$A:$F,5,0)</f>
        <v>SALMAN</v>
      </c>
      <c r="Y111" s="239" t="str">
        <f>VLOOKUP($H111,ERP!$H:$AP,33,0)</f>
        <v>AKSHAY RANJAN (C26436),</v>
      </c>
      <c r="Z111" s="239" t="str">
        <f>VLOOKUP($H111,ERP!$H:$AP,34,0)</f>
        <v>ELDHO A JACOB</v>
      </c>
    </row>
    <row r="112" customHeight="1" spans="1:26">
      <c r="A112" s="56">
        <v>111</v>
      </c>
      <c r="B112" s="214" t="s">
        <v>1030</v>
      </c>
      <c r="C112" s="214" t="s">
        <v>1031</v>
      </c>
      <c r="D112" s="214" t="s">
        <v>1032</v>
      </c>
      <c r="E112" s="214">
        <v>4585366</v>
      </c>
      <c r="F112" s="214" t="s">
        <v>1033</v>
      </c>
      <c r="G112" s="233">
        <v>46104</v>
      </c>
      <c r="H112" s="214">
        <v>2567330979</v>
      </c>
      <c r="I112" s="214" t="s">
        <v>1034</v>
      </c>
      <c r="J112" s="214" t="s">
        <v>532</v>
      </c>
      <c r="K112" s="214" t="s">
        <v>539</v>
      </c>
      <c r="L112" s="231" t="s">
        <v>136</v>
      </c>
      <c r="M112" s="215" t="str">
        <f>VLOOKUP($L112,Emp!$A:$F,2,0)</f>
        <v>GEORGE KUTTAN JOY</v>
      </c>
      <c r="N112" s="215" t="str">
        <f>VLOOKUP($L112,Emp!$A:$F,3,0)</f>
        <v>NEXA COCHIN</v>
      </c>
      <c r="O112" s="215" t="str">
        <f>VLOOKUP($L112,Emp!$A:$F,4,0)</f>
        <v>NEXA COCHIN</v>
      </c>
      <c r="P112" s="214" t="s">
        <v>506</v>
      </c>
      <c r="Q112" s="56" t="s">
        <v>507</v>
      </c>
      <c r="R112" s="56" t="s">
        <v>51</v>
      </c>
      <c r="S112" s="56" t="s">
        <v>367</v>
      </c>
      <c r="T112" s="236" t="str">
        <f>IF(_xlfn.XLOOKUP(F112,IH!Y:Y,IH!AA:AA,"")="MAPPED","MAPPED","")</f>
        <v/>
      </c>
      <c r="U112" s="237" t="str">
        <f>IFERROR(VLOOKUP(H112,IH!C:T,18,0),"")</f>
        <v>MSSF DISBURSED</v>
      </c>
      <c r="V112" s="237" t="str">
        <f t="shared" ref="V112:V118" si="10">IF(W112&lt;&gt;"","DISBURSED","")</f>
        <v>DISBURSED</v>
      </c>
      <c r="W112" s="221">
        <f>IFERROR(VLOOKUP(H112,IH!C:X,14,0),"")</f>
        <v>46104</v>
      </c>
      <c r="X112" s="215" t="str">
        <f>VLOOKUP($L112,Emp!$A:$F,5,0)</f>
        <v>WILSON</v>
      </c>
      <c r="Y112" s="239" t="str">
        <f>VLOOKUP($H112,ERP!$H:$AP,33,0)</f>
        <v>VISHNU P V (NEXA),</v>
      </c>
      <c r="Z112" s="239" t="str">
        <f>VLOOKUP($H112,ERP!$H:$AP,34,0)</f>
        <v>NA</v>
      </c>
    </row>
    <row r="113" hidden="1" customHeight="1" spans="1:26">
      <c r="A113" s="56">
        <v>112</v>
      </c>
      <c r="B113" s="214" t="s">
        <v>1035</v>
      </c>
      <c r="C113" s="214" t="s">
        <v>1036</v>
      </c>
      <c r="D113" s="214" t="s">
        <v>1037</v>
      </c>
      <c r="E113" s="214" t="s">
        <v>1038</v>
      </c>
      <c r="F113" s="214" t="s">
        <v>1039</v>
      </c>
      <c r="G113" s="233">
        <v>46104</v>
      </c>
      <c r="H113" s="214">
        <v>2567728060</v>
      </c>
      <c r="I113" s="214" t="s">
        <v>1040</v>
      </c>
      <c r="J113" s="214" t="s">
        <v>1016</v>
      </c>
      <c r="K113" s="214" t="s">
        <v>520</v>
      </c>
      <c r="L113" s="231" t="s">
        <v>250</v>
      </c>
      <c r="M113" s="215" t="str">
        <f>VLOOKUP($L113,Emp!$A:$F,2,0)</f>
        <v>SIVAPRAKASH K S</v>
      </c>
      <c r="N113" s="215" t="str">
        <f>VLOOKUP($L113,Emp!$A:$F,3,0)</f>
        <v>THRISSUR</v>
      </c>
      <c r="O113" s="215" t="str">
        <f>VLOOKUP($L113,Emp!$A:$F,4,0)</f>
        <v>ARENA</v>
      </c>
      <c r="P113" s="214" t="s">
        <v>456</v>
      </c>
      <c r="Q113" s="56" t="s">
        <v>457</v>
      </c>
      <c r="R113" s="56" t="s">
        <v>51</v>
      </c>
      <c r="S113" s="56" t="s">
        <v>367</v>
      </c>
      <c r="T113" s="236" t="str">
        <f>IF(_xlfn.XLOOKUP(F113,IH!Y:Y,IH!AA:AA,"")="MAPPED","MAPPED","")</f>
        <v>MAPPED</v>
      </c>
      <c r="U113" s="237" t="str">
        <f>IFERROR(VLOOKUP(H113,IH!C:T,18,0),"")</f>
        <v>MSSF DISBURSED</v>
      </c>
      <c r="V113" s="237" t="str">
        <f t="shared" si="10"/>
        <v>DISBURSED</v>
      </c>
      <c r="W113" s="221">
        <f>IFERROR(VLOOKUP(H113,IH!C:X,14,0),"")</f>
        <v>46102</v>
      </c>
      <c r="X113" s="215" t="str">
        <f>VLOOKUP($L113,Emp!$A:$F,5,0)</f>
        <v>SINTO</v>
      </c>
      <c r="Y113" s="239" t="str">
        <f>VLOOKUP($H113,ERP!$H:$AP,33,0)</f>
        <v>NA</v>
      </c>
      <c r="Z113" s="239" t="str">
        <f>VLOOKUP($H113,ERP!$H:$AP,34,0)</f>
        <v>NA</v>
      </c>
    </row>
    <row r="114" hidden="1" customHeight="1" spans="1:26">
      <c r="A114" s="56">
        <v>113</v>
      </c>
      <c r="B114" s="214" t="s">
        <v>1041</v>
      </c>
      <c r="C114" s="214" t="s">
        <v>1042</v>
      </c>
      <c r="D114" s="214" t="s">
        <v>1043</v>
      </c>
      <c r="E114" s="214">
        <v>1430866</v>
      </c>
      <c r="F114" s="214" t="s">
        <v>1044</v>
      </c>
      <c r="G114" s="233">
        <v>46104</v>
      </c>
      <c r="H114" s="214">
        <v>2567584362</v>
      </c>
      <c r="I114" s="214" t="s">
        <v>1045</v>
      </c>
      <c r="J114" s="214" t="s">
        <v>363</v>
      </c>
      <c r="K114" s="214" t="s">
        <v>364</v>
      </c>
      <c r="L114" s="231" t="s">
        <v>201</v>
      </c>
      <c r="M114" s="215" t="str">
        <f>VLOOKUP($L114,Emp!$A:$F,2,0)</f>
        <v>SIVAPRAKASH K S</v>
      </c>
      <c r="N114" s="215" t="str">
        <f>VLOOKUP($L114,Emp!$A:$F,3,0)</f>
        <v>THRISSUR</v>
      </c>
      <c r="O114" s="215" t="str">
        <f>VLOOKUP($L114,Emp!$A:$F,4,0)</f>
        <v>ARENA</v>
      </c>
      <c r="P114" s="214" t="s">
        <v>572</v>
      </c>
      <c r="Q114" s="56" t="s">
        <v>377</v>
      </c>
      <c r="R114" s="56" t="s">
        <v>378</v>
      </c>
      <c r="S114" s="56" t="s">
        <v>356</v>
      </c>
      <c r="T114" s="236" t="str">
        <f>IF(_xlfn.XLOOKUP(F114,IH!Y:Y,IH!AA:AA,"")="MAPPED","MAPPED","")</f>
        <v/>
      </c>
      <c r="U114" s="237" t="str">
        <f>IFERROR(VLOOKUP(H114,IH!C:T,18,0),"")</f>
        <v/>
      </c>
      <c r="V114" s="237" t="str">
        <f t="shared" si="10"/>
        <v/>
      </c>
      <c r="W114" s="221" t="str">
        <f>IFERROR(VLOOKUP(H114,IH!C:X,14,0),"")</f>
        <v/>
      </c>
      <c r="X114" s="215" t="str">
        <f>VLOOKUP($L114,Emp!$A:$F,5,0)</f>
        <v>SINTO</v>
      </c>
      <c r="Y114" s="239" t="str">
        <f>VLOOKUP($H114,ERP!$H:$AP,33,0)</f>
        <v>SUDHEESH.K.S(C26156),</v>
      </c>
      <c r="Z114" s="239" t="str">
        <f>VLOOKUP($H114,ERP!$H:$AP,34,0)</f>
        <v>SIVAPRAKASH K.S.(TCR)</v>
      </c>
    </row>
    <row r="115" hidden="1" customHeight="1" spans="1:26">
      <c r="A115" s="56">
        <v>114</v>
      </c>
      <c r="B115" s="214" t="s">
        <v>1046</v>
      </c>
      <c r="C115" s="214" t="s">
        <v>1047</v>
      </c>
      <c r="D115" s="214">
        <v>538445</v>
      </c>
      <c r="E115" s="214">
        <v>1433199</v>
      </c>
      <c r="F115" s="214" t="s">
        <v>1048</v>
      </c>
      <c r="G115" s="233">
        <v>46104</v>
      </c>
      <c r="H115" s="214">
        <v>2567470471</v>
      </c>
      <c r="I115" s="214" t="s">
        <v>1049</v>
      </c>
      <c r="J115" s="214" t="s">
        <v>1028</v>
      </c>
      <c r="K115" s="214" t="s">
        <v>1050</v>
      </c>
      <c r="L115" s="231" t="s">
        <v>68</v>
      </c>
      <c r="M115" s="215" t="str">
        <f>VLOOKUP($L115,Emp!$A:$F,2,0)</f>
        <v>MANU SASI</v>
      </c>
      <c r="N115" s="215" t="str">
        <f>VLOOKUP($L115,Emp!$A:$F,3,0)</f>
        <v>EDAPPALLY</v>
      </c>
      <c r="O115" s="215" t="str">
        <f>VLOOKUP($L115,Emp!$A:$F,4,0)</f>
        <v>ARENA</v>
      </c>
      <c r="P115" s="214" t="s">
        <v>611</v>
      </c>
      <c r="Q115" s="56" t="s">
        <v>612</v>
      </c>
      <c r="R115" s="56" t="s">
        <v>51</v>
      </c>
      <c r="S115" s="56" t="s">
        <v>367</v>
      </c>
      <c r="T115" s="236" t="str">
        <f>IF(_xlfn.XLOOKUP(F115,IH!Y:Y,IH!AA:AA,"")="MAPPED","MAPPED","")</f>
        <v>MAPPED</v>
      </c>
      <c r="U115" s="237" t="str">
        <f>IFERROR(VLOOKUP(H115,IH!C:T,18,0),"")</f>
        <v>MSSF DISBURSED</v>
      </c>
      <c r="V115" s="237" t="str">
        <f t="shared" si="10"/>
        <v>DISBURSED</v>
      </c>
      <c r="W115" s="221">
        <f>IFERROR(VLOOKUP(H115,IH!C:X,14,0),"")</f>
        <v>46104</v>
      </c>
      <c r="X115" s="215" t="str">
        <f>VLOOKUP($L115,Emp!$A:$F,5,0)</f>
        <v>SIVAPRASAD</v>
      </c>
      <c r="Y115" s="239" t="str">
        <f>VLOOKUP($H115,ERP!$H:$AP,33,0)</f>
        <v>LANEESH A S(C21174), Mr.</v>
      </c>
      <c r="Z115" s="239" t="str">
        <f>VLOOKUP($H115,ERP!$H:$AP,34,0)</f>
        <v>MANU SASI</v>
      </c>
    </row>
    <row r="116" hidden="1" customHeight="1" spans="1:26">
      <c r="A116" s="56">
        <v>115</v>
      </c>
      <c r="B116" s="214" t="s">
        <v>1051</v>
      </c>
      <c r="C116" s="214" t="s">
        <v>1052</v>
      </c>
      <c r="D116" s="214" t="s">
        <v>1053</v>
      </c>
      <c r="E116" s="214" t="s">
        <v>1054</v>
      </c>
      <c r="F116" s="214" t="s">
        <v>1055</v>
      </c>
      <c r="G116" s="233">
        <v>46104</v>
      </c>
      <c r="H116" s="214">
        <v>2567565319</v>
      </c>
      <c r="I116" s="214" t="s">
        <v>1056</v>
      </c>
      <c r="J116" s="214" t="s">
        <v>1016</v>
      </c>
      <c r="K116" s="214" t="s">
        <v>520</v>
      </c>
      <c r="L116" s="231" t="s">
        <v>177</v>
      </c>
      <c r="M116" s="215" t="str">
        <f>VLOOKUP($L116,Emp!$A:$F,2,0)</f>
        <v>PRANOOB V NAIR</v>
      </c>
      <c r="N116" s="215" t="str">
        <f>VLOOKUP($L116,Emp!$A:$F,3,0)</f>
        <v>TRIPPUNITHURA</v>
      </c>
      <c r="O116" s="215" t="str">
        <f>VLOOKUP($L116,Emp!$A:$F,4,0)</f>
        <v>ARENA</v>
      </c>
      <c r="P116" s="214" t="s">
        <v>355</v>
      </c>
      <c r="Q116" s="56" t="s">
        <v>355</v>
      </c>
      <c r="R116" s="56" t="s">
        <v>355</v>
      </c>
      <c r="S116" s="56" t="s">
        <v>356</v>
      </c>
      <c r="T116" s="236" t="str">
        <f>IF(_xlfn.XLOOKUP(F116,IH!Y:Y,IH!AA:AA,"")="MAPPED","MAPPED","")</f>
        <v/>
      </c>
      <c r="U116" s="237" t="str">
        <f>IFERROR(VLOOKUP(H116,IH!C:T,18,0),"")</f>
        <v/>
      </c>
      <c r="V116" s="237" t="str">
        <f t="shared" si="10"/>
        <v/>
      </c>
      <c r="W116" s="221" t="str">
        <f>IFERROR(VLOOKUP(H116,IH!C:X,14,0),"")</f>
        <v/>
      </c>
      <c r="X116" s="215" t="str">
        <f>VLOOKUP($L116,Emp!$A:$F,5,0)</f>
        <v>SIVAPRASAD</v>
      </c>
      <c r="Y116" s="239" t="str">
        <f>VLOOKUP($H116,ERP!$H:$AP,33,0)</f>
        <v>RATHEESH K B,</v>
      </c>
      <c r="Z116" s="239" t="str">
        <f>VLOOKUP($H116,ERP!$H:$AP,34,0)</f>
        <v>PRANOOB V (TPRA)</v>
      </c>
    </row>
    <row r="117" hidden="1" customHeight="1" spans="1:26">
      <c r="A117" s="56">
        <v>116</v>
      </c>
      <c r="B117" s="214" t="s">
        <v>1057</v>
      </c>
      <c r="C117" s="214" t="s">
        <v>1058</v>
      </c>
      <c r="D117" s="214" t="s">
        <v>1059</v>
      </c>
      <c r="E117" s="214" t="s">
        <v>1060</v>
      </c>
      <c r="F117" s="214" t="s">
        <v>1061</v>
      </c>
      <c r="G117" s="233">
        <v>46104</v>
      </c>
      <c r="H117" s="214">
        <v>2567182039</v>
      </c>
      <c r="I117" s="214" t="s">
        <v>1062</v>
      </c>
      <c r="J117" s="214" t="s">
        <v>363</v>
      </c>
      <c r="K117" s="214" t="s">
        <v>364</v>
      </c>
      <c r="L117" s="231" t="s">
        <v>192</v>
      </c>
      <c r="M117" s="215" t="str">
        <f>VLOOKUP($L117,Emp!$A:$F,2,0)</f>
        <v>KASI VISWANATH</v>
      </c>
      <c r="N117" s="215" t="str">
        <f>VLOOKUP($L117,Emp!$A:$F,3,0)</f>
        <v>KAIPAMANGALAM</v>
      </c>
      <c r="O117" s="215" t="str">
        <f>VLOOKUP($L117,Emp!$A:$F,4,0)</f>
        <v>ARENA</v>
      </c>
      <c r="P117" s="214" t="s">
        <v>456</v>
      </c>
      <c r="Q117" s="56" t="s">
        <v>457</v>
      </c>
      <c r="R117" s="56" t="s">
        <v>51</v>
      </c>
      <c r="S117" s="56" t="s">
        <v>367</v>
      </c>
      <c r="T117" s="236" t="str">
        <f>IF(_xlfn.XLOOKUP(F117,IH!Y:Y,IH!AA:AA,"")="MAPPED","MAPPED","")</f>
        <v/>
      </c>
      <c r="U117" s="237" t="str">
        <f>IFERROR(VLOOKUP(H117,IH!C:T,18,0),"")</f>
        <v>MSSF DISBURSED</v>
      </c>
      <c r="V117" s="237" t="str">
        <f t="shared" si="10"/>
        <v>DISBURSED</v>
      </c>
      <c r="W117" s="221">
        <f>IFERROR(VLOOKUP(H117,IH!C:X,14,0),"")</f>
        <v>46099</v>
      </c>
      <c r="X117" s="215" t="str">
        <f>VLOOKUP($L117,Emp!$A:$F,5,0)</f>
        <v>JINEESH</v>
      </c>
      <c r="Y117" s="239" t="str">
        <f>VLOOKUP($H117,ERP!$H:$AP,33,0)</f>
        <v>ARUN DAS K A (C26238),</v>
      </c>
      <c r="Z117" s="239" t="str">
        <f>VLOOKUP($H117,ERP!$H:$AP,34,0)</f>
        <v>KASI VISWANATH K M</v>
      </c>
    </row>
    <row r="118" hidden="1" customHeight="1" spans="1:26">
      <c r="A118" s="56">
        <v>117</v>
      </c>
      <c r="B118" s="214" t="s">
        <v>1063</v>
      </c>
      <c r="C118" s="214" t="s">
        <v>1064</v>
      </c>
      <c r="D118" s="214" t="s">
        <v>1065</v>
      </c>
      <c r="E118" s="214">
        <v>9261213</v>
      </c>
      <c r="F118" s="214" t="s">
        <v>1066</v>
      </c>
      <c r="G118" s="233">
        <v>46104</v>
      </c>
      <c r="H118" s="214">
        <v>2567453130</v>
      </c>
      <c r="I118" s="214" t="s">
        <v>1067</v>
      </c>
      <c r="J118" s="214" t="s">
        <v>1016</v>
      </c>
      <c r="K118" s="214" t="s">
        <v>742</v>
      </c>
      <c r="L118" s="231" t="s">
        <v>117</v>
      </c>
      <c r="M118" s="215" t="str">
        <f>VLOOKUP($L118,Emp!$A:$F,2,0)</f>
        <v>ARUN BABU</v>
      </c>
      <c r="N118" s="215" t="str">
        <f>VLOOKUP($L118,Emp!$A:$F,3,0)</f>
        <v>KOOTHATTUKULAM</v>
      </c>
      <c r="O118" s="215" t="str">
        <f>VLOOKUP($L118,Emp!$A:$F,4,0)</f>
        <v>ARENA</v>
      </c>
      <c r="P118" s="214" t="s">
        <v>355</v>
      </c>
      <c r="Q118" s="56" t="s">
        <v>355</v>
      </c>
      <c r="R118" s="56" t="s">
        <v>355</v>
      </c>
      <c r="S118" s="56" t="s">
        <v>356</v>
      </c>
      <c r="T118" s="236" t="str">
        <f>IF(_xlfn.XLOOKUP(F118,IH!Y:Y,IH!AA:AA,"")="MAPPED","MAPPED","")</f>
        <v/>
      </c>
      <c r="U118" s="237" t="str">
        <f>IFERROR(VLOOKUP(H118,IH!C:T,18,0),"")</f>
        <v/>
      </c>
      <c r="V118" s="237" t="str">
        <f t="shared" si="10"/>
        <v/>
      </c>
      <c r="W118" s="221" t="str">
        <f>IFERROR(VLOOKUP(H118,IH!C:X,14,0),"")</f>
        <v/>
      </c>
      <c r="X118" s="215" t="str">
        <f>VLOOKUP($L118,Emp!$A:$F,5,0)</f>
        <v>AMAL</v>
      </c>
      <c r="Y118" s="239" t="str">
        <f>VLOOKUP($H118,ERP!$H:$AP,33,0)</f>
        <v>IBIN JOSE, Mr.</v>
      </c>
      <c r="Z118" s="239" t="str">
        <f>VLOOKUP($H118,ERP!$H:$AP,34,0)</f>
        <v>NA</v>
      </c>
    </row>
    <row r="119" hidden="1" customHeight="1" spans="1:26">
      <c r="A119" s="56">
        <v>118</v>
      </c>
      <c r="B119" s="214" t="s">
        <v>1068</v>
      </c>
      <c r="C119" s="214" t="s">
        <v>1069</v>
      </c>
      <c r="D119" s="214">
        <v>778484</v>
      </c>
      <c r="E119" s="214" t="s">
        <v>1070</v>
      </c>
      <c r="F119" s="214" t="s">
        <v>1071</v>
      </c>
      <c r="G119" s="233">
        <v>46105</v>
      </c>
      <c r="H119" s="214">
        <v>2567311173</v>
      </c>
      <c r="I119" s="214" t="s">
        <v>1072</v>
      </c>
      <c r="J119" s="214" t="s">
        <v>463</v>
      </c>
      <c r="K119" s="214" t="s">
        <v>1073</v>
      </c>
      <c r="L119" s="231" t="s">
        <v>157</v>
      </c>
      <c r="M119" s="215" t="str">
        <f>VLOOKUP($L119,Emp!$A:$F,2,0)</f>
        <v>SIJO VARGHESE GEORGE</v>
      </c>
      <c r="N119" s="215" t="str">
        <f>VLOOKUP($L119,Emp!$A:$F,3,0)</f>
        <v>PERUMBAVOOR</v>
      </c>
      <c r="O119" s="215" t="str">
        <f>VLOOKUP($L119,Emp!$A:$F,4,0)</f>
        <v>ARENA</v>
      </c>
      <c r="P119" s="214" t="s">
        <v>1017</v>
      </c>
      <c r="Q119" s="56" t="s">
        <v>1018</v>
      </c>
      <c r="R119" s="56" t="s">
        <v>378</v>
      </c>
      <c r="S119" s="56" t="s">
        <v>356</v>
      </c>
      <c r="T119" s="236" t="str">
        <f>IF(_xlfn.XLOOKUP(F119,IH!Y:Y,IH!AA:AA,"")="MAPPED","MAPPED","")</f>
        <v/>
      </c>
      <c r="U119" s="237" t="str">
        <f>IFERROR(VLOOKUP(H119,IH!C:T,18,0),"")</f>
        <v/>
      </c>
      <c r="V119" s="237" t="str">
        <f t="shared" ref="V119:V133" si="11">IF(W119&lt;&gt;"","DISBURSED","")</f>
        <v/>
      </c>
      <c r="W119" s="221" t="str">
        <f>IFERROR(VLOOKUP(H119,IH!C:X,14,0),"")</f>
        <v/>
      </c>
      <c r="X119" s="215" t="str">
        <f>VLOOKUP($L119,Emp!$A:$F,5,0)</f>
        <v>SALMAN</v>
      </c>
      <c r="Y119" s="239" t="str">
        <f>VLOOKUP($H119,ERP!$H:$AP,33,0)</f>
        <v>NIGIL GEORGE(C23881),</v>
      </c>
      <c r="Z119" s="239" t="str">
        <f>VLOOKUP($H119,ERP!$H:$AP,34,0)</f>
        <v>SIJO VARGHESE GEORGE (PBVR)</v>
      </c>
    </row>
    <row r="120" hidden="1" customHeight="1" spans="1:26">
      <c r="A120" s="56">
        <v>119</v>
      </c>
      <c r="B120" s="214" t="s">
        <v>1074</v>
      </c>
      <c r="C120" s="214" t="s">
        <v>1075</v>
      </c>
      <c r="D120" s="214">
        <v>173995</v>
      </c>
      <c r="E120" s="214" t="s">
        <v>1076</v>
      </c>
      <c r="F120" s="214" t="s">
        <v>1077</v>
      </c>
      <c r="G120" s="233">
        <v>46105</v>
      </c>
      <c r="H120" s="214">
        <v>2567751123</v>
      </c>
      <c r="I120" s="214" t="s">
        <v>1078</v>
      </c>
      <c r="J120" s="214" t="s">
        <v>353</v>
      </c>
      <c r="K120" s="214" t="s">
        <v>631</v>
      </c>
      <c r="L120" s="231" t="s">
        <v>161</v>
      </c>
      <c r="M120" s="215" t="str">
        <f>VLOOKUP($L120,Emp!$A:$F,2,0)</f>
        <v>SIJO VARGHESE GEORGE</v>
      </c>
      <c r="N120" s="215" t="str">
        <f>VLOOKUP($L120,Emp!$A:$F,3,0)</f>
        <v>PERUMBAVOOR</v>
      </c>
      <c r="O120" s="215" t="str">
        <f>VLOOKUP($L120,Emp!$A:$F,4,0)</f>
        <v>ARENA</v>
      </c>
      <c r="P120" s="214" t="s">
        <v>456</v>
      </c>
      <c r="Q120" s="56" t="s">
        <v>457</v>
      </c>
      <c r="R120" s="56" t="s">
        <v>51</v>
      </c>
      <c r="S120" s="56" t="s">
        <v>367</v>
      </c>
      <c r="T120" s="236" t="str">
        <f>IF(_xlfn.XLOOKUP(F120,IH!Y:Y,IH!AA:AA,"")="MAPPED","MAPPED","")</f>
        <v>MAPPED</v>
      </c>
      <c r="U120" s="237" t="str">
        <f>IFERROR(VLOOKUP(H120,IH!C:T,18,0),"")</f>
        <v>MSSF DISBURSED</v>
      </c>
      <c r="V120" s="237" t="str">
        <f t="shared" si="11"/>
        <v>DISBURSED</v>
      </c>
      <c r="W120" s="221">
        <f>IFERROR(VLOOKUP(H120,IH!C:X,14,0),"")</f>
        <v>46105</v>
      </c>
      <c r="X120" s="215" t="str">
        <f>VLOOKUP($L120,Emp!$A:$F,5,0)</f>
        <v>SALMAN</v>
      </c>
      <c r="Y120" s="239" t="str">
        <f>VLOOKUP($H120,ERP!$H:$AP,33,0)</f>
        <v>BIJO JOY (C23459),</v>
      </c>
      <c r="Z120" s="239" t="str">
        <f>VLOOKUP($H120,ERP!$H:$AP,34,0)</f>
        <v>SIJO VARGHESE GEORGE (PBVR)</v>
      </c>
    </row>
    <row r="121" hidden="1" customHeight="1" spans="1:26">
      <c r="A121" s="56">
        <v>120</v>
      </c>
      <c r="B121" s="214" t="s">
        <v>1079</v>
      </c>
      <c r="C121" s="214" t="s">
        <v>1080</v>
      </c>
      <c r="D121" s="214">
        <v>475499</v>
      </c>
      <c r="E121" s="214">
        <v>1427903</v>
      </c>
      <c r="F121" s="214" t="s">
        <v>1081</v>
      </c>
      <c r="G121" s="233">
        <v>46105</v>
      </c>
      <c r="H121" s="214">
        <v>2567591514</v>
      </c>
      <c r="I121" s="214" t="s">
        <v>1082</v>
      </c>
      <c r="J121" s="214" t="s">
        <v>434</v>
      </c>
      <c r="K121" s="214" t="s">
        <v>435</v>
      </c>
      <c r="L121" s="231" t="s">
        <v>112</v>
      </c>
      <c r="M121" s="215" t="str">
        <f>VLOOKUP($L121,Emp!$A:$F,2,0)</f>
        <v>ANAND K V</v>
      </c>
      <c r="N121" s="215" t="str">
        <f>VLOOKUP($L121,Emp!$A:$F,3,0)</f>
        <v>KOLENCHERY</v>
      </c>
      <c r="O121" s="215" t="str">
        <f>VLOOKUP($L121,Emp!$A:$F,4,0)</f>
        <v>ARENA</v>
      </c>
      <c r="P121" s="214" t="s">
        <v>1083</v>
      </c>
      <c r="Q121" s="56" t="s">
        <v>437</v>
      </c>
      <c r="R121" s="56" t="s">
        <v>51</v>
      </c>
      <c r="S121" s="56" t="s">
        <v>356</v>
      </c>
      <c r="T121" s="236" t="str">
        <f>IF(_xlfn.XLOOKUP(F121,IH!Y:Y,IH!AA:AA,"")="MAPPED","MAPPED","")</f>
        <v/>
      </c>
      <c r="U121" s="237" t="str">
        <f>IFERROR(VLOOKUP(H121,IH!C:T,18,0),"")</f>
        <v>NO</v>
      </c>
      <c r="V121" s="237" t="str">
        <f t="shared" si="11"/>
        <v>DISBURSED</v>
      </c>
      <c r="W121" s="221">
        <f>IFERROR(VLOOKUP(H121,IH!C:X,14,0),"")</f>
        <v>46106</v>
      </c>
      <c r="X121" s="215" t="str">
        <f>VLOOKUP($L121,Emp!$A:$F,5,0)</f>
        <v>AMAL</v>
      </c>
      <c r="Y121" s="239" t="str">
        <f>VLOOKUP($H121,ERP!$H:$AP,33,0)</f>
        <v>AMITH YACOB(C24679),</v>
      </c>
      <c r="Z121" s="239" t="str">
        <f>VLOOKUP($H121,ERP!$H:$AP,34,0)</f>
        <v>ANAND (KLY)</v>
      </c>
    </row>
    <row r="122" customHeight="1" spans="1:26">
      <c r="A122" s="56">
        <v>121</v>
      </c>
      <c r="B122" s="214" t="s">
        <v>1084</v>
      </c>
      <c r="C122" s="214" t="s">
        <v>1085</v>
      </c>
      <c r="D122" s="214">
        <v>162708</v>
      </c>
      <c r="E122" s="214" t="s">
        <v>1086</v>
      </c>
      <c r="F122" s="214" t="s">
        <v>1087</v>
      </c>
      <c r="G122" s="233">
        <v>46105</v>
      </c>
      <c r="H122" s="214">
        <v>2567762057</v>
      </c>
      <c r="I122" s="214" t="s">
        <v>1088</v>
      </c>
      <c r="J122" s="214" t="s">
        <v>353</v>
      </c>
      <c r="K122" s="214" t="s">
        <v>807</v>
      </c>
      <c r="L122" s="231" t="s">
        <v>132</v>
      </c>
      <c r="M122" s="215" t="str">
        <f>VLOOKUP($L122,Emp!$A:$F,2,0)</f>
        <v>SANDEEP P</v>
      </c>
      <c r="N122" s="215" t="str">
        <f>VLOOKUP($L122,Emp!$A:$F,3,0)</f>
        <v>NEXA COCHIN</v>
      </c>
      <c r="O122" s="215" t="str">
        <f>VLOOKUP($L122,Emp!$A:$F,4,0)</f>
        <v>NEXA COCHIN</v>
      </c>
      <c r="P122" s="214" t="s">
        <v>611</v>
      </c>
      <c r="Q122" s="56" t="s">
        <v>612</v>
      </c>
      <c r="R122" s="56" t="s">
        <v>51</v>
      </c>
      <c r="S122" s="56" t="s">
        <v>367</v>
      </c>
      <c r="T122" s="236" t="str">
        <f>IF(_xlfn.XLOOKUP(F122,IH!Y:Y,IH!AA:AA,"")="MAPPED","MAPPED","")</f>
        <v/>
      </c>
      <c r="U122" s="237" t="str">
        <f>IFERROR(VLOOKUP(H122,IH!C:T,18,0),"")</f>
        <v>MSSF LOGIN</v>
      </c>
      <c r="V122" s="237" t="str">
        <f t="shared" si="11"/>
        <v>DISBURSED</v>
      </c>
      <c r="W122" s="221">
        <f>IFERROR(VLOOKUP(H122,IH!C:X,14,0),"")</f>
        <v>46100</v>
      </c>
      <c r="X122" s="215" t="str">
        <f>VLOOKUP($L122,Emp!$A:$F,5,0)</f>
        <v>WILSON</v>
      </c>
      <c r="Y122" s="239" t="str">
        <f>VLOOKUP($H122,ERP!$H:$AP,33,0)</f>
        <v>ARAVIND SANTHOSH (GM00659),</v>
      </c>
      <c r="Z122" s="239" t="str">
        <f>VLOOKUP($H122,ERP!$H:$AP,34,0)</f>
        <v>NA</v>
      </c>
    </row>
    <row r="123" hidden="1" customHeight="1" spans="1:26">
      <c r="A123" s="56">
        <v>122</v>
      </c>
      <c r="B123" s="214" t="s">
        <v>1089</v>
      </c>
      <c r="C123" s="214" t="s">
        <v>1090</v>
      </c>
      <c r="D123" s="214">
        <v>777308</v>
      </c>
      <c r="E123" s="214" t="s">
        <v>1091</v>
      </c>
      <c r="F123" s="214" t="s">
        <v>1092</v>
      </c>
      <c r="G123" s="233">
        <v>46105</v>
      </c>
      <c r="H123" s="214">
        <v>2567778958</v>
      </c>
      <c r="I123" s="214" t="s">
        <v>1088</v>
      </c>
      <c r="J123" s="214" t="s">
        <v>463</v>
      </c>
      <c r="K123" s="214" t="s">
        <v>464</v>
      </c>
      <c r="L123" s="231" t="s">
        <v>162</v>
      </c>
      <c r="M123" s="215" t="str">
        <f>VLOOKUP($L123,Emp!$A:$F,2,0)</f>
        <v>JESTIN UTHUP JOHN</v>
      </c>
      <c r="N123" s="215" t="str">
        <f>VLOOKUP($L123,Emp!$A:$F,3,0)</f>
        <v>PIRAVOM</v>
      </c>
      <c r="O123" s="215" t="str">
        <f>VLOOKUP($L123,Emp!$A:$F,4,0)</f>
        <v>ARENA</v>
      </c>
      <c r="P123" s="214" t="s">
        <v>385</v>
      </c>
      <c r="Q123" s="56" t="s">
        <v>386</v>
      </c>
      <c r="R123" s="56" t="s">
        <v>378</v>
      </c>
      <c r="S123" s="56" t="s">
        <v>356</v>
      </c>
      <c r="T123" s="236" t="str">
        <f>IF(_xlfn.XLOOKUP(F123,IH!Y:Y,IH!AA:AA,"")="MAPPED","MAPPED","")</f>
        <v/>
      </c>
      <c r="U123" s="237" t="str">
        <f>IFERROR(VLOOKUP(H123,IH!C:T,18,0),"")</f>
        <v/>
      </c>
      <c r="V123" s="237" t="str">
        <f t="shared" si="11"/>
        <v/>
      </c>
      <c r="W123" s="221" t="str">
        <f>IFERROR(VLOOKUP(H123,IH!C:X,14,0),"")</f>
        <v/>
      </c>
      <c r="X123" s="215" t="str">
        <f>VLOOKUP($L123,Emp!$A:$F,5,0)</f>
        <v>AMAL</v>
      </c>
      <c r="Y123" s="239" t="str">
        <f>VLOOKUP($H123,ERP!$H:$AP,33,0)</f>
        <v>AJITH.C.M,</v>
      </c>
      <c r="Z123" s="239" t="str">
        <f>VLOOKUP($H123,ERP!$H:$AP,34,0)</f>
        <v>JUSTIN UTHUP JOHN (PRVM)</v>
      </c>
    </row>
    <row r="124" hidden="1" customHeight="1" spans="1:26">
      <c r="A124" s="56">
        <v>123</v>
      </c>
      <c r="B124" s="214" t="s">
        <v>1093</v>
      </c>
      <c r="C124" s="214" t="s">
        <v>1094</v>
      </c>
      <c r="D124" s="214">
        <v>777752</v>
      </c>
      <c r="E124" s="214">
        <v>7936269</v>
      </c>
      <c r="F124" s="214" t="s">
        <v>1095</v>
      </c>
      <c r="G124" s="233">
        <v>46105</v>
      </c>
      <c r="H124" s="214">
        <v>2567542137</v>
      </c>
      <c r="I124" s="214" t="s">
        <v>1096</v>
      </c>
      <c r="J124" s="214" t="s">
        <v>463</v>
      </c>
      <c r="K124" s="214" t="s">
        <v>760</v>
      </c>
      <c r="L124" s="231" t="s">
        <v>93</v>
      </c>
      <c r="M124" s="215" t="str">
        <f>VLOOKUP($L124,Emp!$A:$F,2,0)</f>
        <v>VIBIN I B</v>
      </c>
      <c r="N124" s="215" t="str">
        <f>VLOOKUP($L124,Emp!$A:$F,3,0)</f>
        <v>KAIPAMANGALAM</v>
      </c>
      <c r="O124" s="215" t="str">
        <f>VLOOKUP($L124,Emp!$A:$F,4,0)</f>
        <v>ARENA</v>
      </c>
      <c r="P124" s="214" t="s">
        <v>506</v>
      </c>
      <c r="Q124" s="56" t="s">
        <v>507</v>
      </c>
      <c r="R124" s="56" t="s">
        <v>378</v>
      </c>
      <c r="S124" s="56" t="s">
        <v>356</v>
      </c>
      <c r="T124" s="236" t="str">
        <f>IF(_xlfn.XLOOKUP(F124,IH!Y:Y,IH!AA:AA,"")="MAPPED","MAPPED","")</f>
        <v/>
      </c>
      <c r="U124" s="237" t="str">
        <f>IFERROR(VLOOKUP(H124,IH!C:T,18,0),"")</f>
        <v/>
      </c>
      <c r="V124" s="237" t="str">
        <f t="shared" si="11"/>
        <v/>
      </c>
      <c r="W124" s="221" t="str">
        <f>IFERROR(VLOOKUP(H124,IH!C:X,14,0),"")</f>
        <v/>
      </c>
      <c r="X124" s="215" t="str">
        <f>VLOOKUP($L124,Emp!$A:$F,5,0)</f>
        <v>JINEESH</v>
      </c>
      <c r="Y124" s="239" t="str">
        <f>VLOOKUP($H124,ERP!$H:$AP,33,0)</f>
        <v>AGHIL .N.U (C24369),</v>
      </c>
      <c r="Z124" s="239" t="str">
        <f>VLOOKUP($H124,ERP!$H:$AP,34,0)</f>
        <v>VIBIN I B(KPLM)</v>
      </c>
    </row>
    <row r="125" hidden="1" customHeight="1" spans="1:26">
      <c r="A125" s="56">
        <v>124</v>
      </c>
      <c r="B125" s="214" t="s">
        <v>1097</v>
      </c>
      <c r="C125" s="214" t="s">
        <v>1098</v>
      </c>
      <c r="D125" s="214" t="s">
        <v>1099</v>
      </c>
      <c r="E125" s="214" t="s">
        <v>1100</v>
      </c>
      <c r="F125" s="214" t="s">
        <v>1101</v>
      </c>
      <c r="G125" s="233">
        <v>46105</v>
      </c>
      <c r="H125" s="214">
        <v>2567726075</v>
      </c>
      <c r="I125" s="214" t="s">
        <v>1102</v>
      </c>
      <c r="J125" s="214" t="s">
        <v>363</v>
      </c>
      <c r="K125" s="214" t="s">
        <v>364</v>
      </c>
      <c r="L125" s="231" t="s">
        <v>169</v>
      </c>
      <c r="M125" s="215" t="str">
        <f>VLOOKUP($L125,Emp!$A:$F,2,0)</f>
        <v>SIVAPRAKASH K S</v>
      </c>
      <c r="N125" s="215" t="str">
        <f>VLOOKUP($L125,Emp!$A:$F,3,0)</f>
        <v>THRISSUR</v>
      </c>
      <c r="O125" s="215" t="str">
        <f>VLOOKUP($L125,Emp!$A:$F,4,0)</f>
        <v>ARENA</v>
      </c>
      <c r="P125" s="214" t="s">
        <v>776</v>
      </c>
      <c r="Q125" s="56" t="s">
        <v>777</v>
      </c>
      <c r="R125" s="56" t="s">
        <v>51</v>
      </c>
      <c r="S125" s="56" t="s">
        <v>367</v>
      </c>
      <c r="T125" s="236" t="str">
        <f>IF(_xlfn.XLOOKUP(F125,IH!Y:Y,IH!AA:AA,"")="MAPPED","MAPPED","")</f>
        <v>MAPPED</v>
      </c>
      <c r="U125" s="237" t="str">
        <f>IFERROR(VLOOKUP(H125,IH!C:T,18,0),"")</f>
        <v>MSSF DISBURSED</v>
      </c>
      <c r="V125" s="237" t="str">
        <f t="shared" si="11"/>
        <v>DISBURSED</v>
      </c>
      <c r="W125" s="221">
        <f>IFERROR(VLOOKUP(H125,IH!C:X,14,0),"")</f>
        <v>46106</v>
      </c>
      <c r="X125" s="215" t="str">
        <f>VLOOKUP($L125,Emp!$A:$F,5,0)</f>
        <v>SINTO</v>
      </c>
      <c r="Y125" s="239" t="str">
        <f>VLOOKUP($H125,ERP!$H:$AP,33,0)</f>
        <v>BINEESH P ANTO (C22936),</v>
      </c>
      <c r="Z125" s="239" t="str">
        <f>VLOOKUP($H125,ERP!$H:$AP,34,0)</f>
        <v>RAJEEV (THCR)</v>
      </c>
    </row>
    <row r="126" hidden="1" customHeight="1" spans="1:26">
      <c r="A126" s="56">
        <v>125</v>
      </c>
      <c r="B126" s="214" t="s">
        <v>1103</v>
      </c>
      <c r="C126" s="214" t="s">
        <v>1104</v>
      </c>
      <c r="D126" s="214">
        <v>545319</v>
      </c>
      <c r="E126" s="214">
        <v>1440051</v>
      </c>
      <c r="F126" s="214" t="s">
        <v>1105</v>
      </c>
      <c r="G126" s="233">
        <v>46105</v>
      </c>
      <c r="H126" s="214">
        <v>2566903363</v>
      </c>
      <c r="I126" s="214" t="s">
        <v>1106</v>
      </c>
      <c r="J126" s="214" t="s">
        <v>1028</v>
      </c>
      <c r="K126" s="214" t="s">
        <v>1029</v>
      </c>
      <c r="L126" s="231" t="s">
        <v>176</v>
      </c>
      <c r="M126" s="215" t="str">
        <f>VLOOKUP($L126,Emp!$A:$F,2,0)</f>
        <v>PRANOOB V NAIR</v>
      </c>
      <c r="N126" s="215" t="str">
        <f>VLOOKUP($L126,Emp!$A:$F,3,0)</f>
        <v>TRIPPUNITHURA</v>
      </c>
      <c r="O126" s="215" t="str">
        <f>VLOOKUP($L126,Emp!$A:$F,4,0)</f>
        <v>ARENA</v>
      </c>
      <c r="P126" s="214" t="s">
        <v>506</v>
      </c>
      <c r="Q126" s="56" t="s">
        <v>507</v>
      </c>
      <c r="R126" s="56" t="s">
        <v>51</v>
      </c>
      <c r="S126" s="56" t="s">
        <v>367</v>
      </c>
      <c r="T126" s="236" t="str">
        <f>IF(_xlfn.XLOOKUP(F126,IH!Y:Y,IH!AA:AA,"")="MAPPED","MAPPED","")</f>
        <v/>
      </c>
      <c r="U126" s="237" t="str">
        <f>IFERROR(VLOOKUP(H126,IH!C:T,18,0),"")</f>
        <v>MSSF LOGIN</v>
      </c>
      <c r="V126" s="237" t="str">
        <f t="shared" si="11"/>
        <v>DISBURSED</v>
      </c>
      <c r="W126" s="221">
        <f>IFERROR(VLOOKUP(H126,IH!C:X,14,0),"")</f>
        <v>46106</v>
      </c>
      <c r="X126" s="215" t="str">
        <f>VLOOKUP($L126,Emp!$A:$F,5,0)</f>
        <v>SIVAPRASAD</v>
      </c>
      <c r="Y126" s="239" t="str">
        <f>VLOOKUP($H126,ERP!$H:$AP,33,0)</f>
        <v>JERRIN ROY (C22200),</v>
      </c>
      <c r="Z126" s="239" t="str">
        <f>VLOOKUP($H126,ERP!$H:$AP,34,0)</f>
        <v>PRANOOB V (TPRA)</v>
      </c>
    </row>
    <row r="127" hidden="1" customHeight="1" spans="1:26">
      <c r="A127" s="56">
        <v>126</v>
      </c>
      <c r="B127" s="214" t="s">
        <v>1107</v>
      </c>
      <c r="C127" s="214" t="s">
        <v>1108</v>
      </c>
      <c r="D127" s="214" t="s">
        <v>1109</v>
      </c>
      <c r="E127" s="214">
        <v>4593829</v>
      </c>
      <c r="F127" s="214" t="s">
        <v>1110</v>
      </c>
      <c r="G127" s="233">
        <v>46105</v>
      </c>
      <c r="H127" s="214">
        <v>2567170673</v>
      </c>
      <c r="I127" s="214" t="s">
        <v>1111</v>
      </c>
      <c r="J127" s="214" t="s">
        <v>532</v>
      </c>
      <c r="K127" s="214" t="s">
        <v>533</v>
      </c>
      <c r="L127" s="231" t="s">
        <v>80</v>
      </c>
      <c r="M127" s="215" t="str">
        <f>VLOOKUP($L127,Emp!$A:$F,2,0)</f>
        <v>SHEMEER A K</v>
      </c>
      <c r="N127" s="215" t="str">
        <f>VLOOKUP($L127,Emp!$A:$F,3,0)</f>
        <v>EDAPPALLY</v>
      </c>
      <c r="O127" s="215" t="str">
        <f>VLOOKUP($L127,Emp!$A:$F,4,0)</f>
        <v>ARENA</v>
      </c>
      <c r="P127" s="214" t="s">
        <v>506</v>
      </c>
      <c r="Q127" s="56" t="s">
        <v>507</v>
      </c>
      <c r="R127" s="56" t="s">
        <v>51</v>
      </c>
      <c r="S127" s="56" t="s">
        <v>356</v>
      </c>
      <c r="T127" s="236" t="str">
        <f>IF(_xlfn.XLOOKUP(F127,IH!Y:Y,IH!AA:AA,"")="MAPPED","MAPPED","")</f>
        <v/>
      </c>
      <c r="U127" s="237" t="str">
        <f>IFERROR(VLOOKUP(H127,IH!C:T,18,0),"")</f>
        <v>NO</v>
      </c>
      <c r="V127" s="237" t="str">
        <f t="shared" si="11"/>
        <v>DISBURSED</v>
      </c>
      <c r="W127" s="221">
        <f>IFERROR(VLOOKUP(H127,IH!C:X,14,0),"")</f>
        <v>46107</v>
      </c>
      <c r="X127" s="215" t="str">
        <f>VLOOKUP($L127,Emp!$A:$F,5,0)</f>
        <v>SIVAPRASAD</v>
      </c>
      <c r="Y127" s="239" t="str">
        <f>VLOOKUP($H127,ERP!$H:$AP,33,0)</f>
        <v>MOHAMMED RIYAS (C25510),</v>
      </c>
      <c r="Z127" s="239" t="str">
        <f>VLOOKUP($H127,ERP!$H:$AP,34,0)</f>
        <v>SHEMEER.AK</v>
      </c>
    </row>
    <row r="128" hidden="1" customHeight="1" spans="1:26">
      <c r="A128" s="56">
        <v>127</v>
      </c>
      <c r="B128" s="214" t="s">
        <v>1112</v>
      </c>
      <c r="C128" s="214" t="s">
        <v>1113</v>
      </c>
      <c r="D128" s="214" t="s">
        <v>1114</v>
      </c>
      <c r="E128" s="214">
        <v>4597329</v>
      </c>
      <c r="F128" s="214" t="s">
        <v>1115</v>
      </c>
      <c r="G128" s="233">
        <v>46105</v>
      </c>
      <c r="H128" s="214">
        <v>2567770721</v>
      </c>
      <c r="I128" s="214" t="s">
        <v>1116</v>
      </c>
      <c r="J128" s="214" t="s">
        <v>532</v>
      </c>
      <c r="K128" s="214" t="s">
        <v>813</v>
      </c>
      <c r="L128" s="231" t="s">
        <v>165</v>
      </c>
      <c r="M128" s="215" t="str">
        <f>VLOOKUP($L128,Emp!$A:$F,2,0)</f>
        <v>JESTIN UTHUP JOHN</v>
      </c>
      <c r="N128" s="215" t="str">
        <f>VLOOKUP($L128,Emp!$A:$F,3,0)</f>
        <v>PIRAVOM</v>
      </c>
      <c r="O128" s="215" t="str">
        <f>VLOOKUP($L128,Emp!$A:$F,4,0)</f>
        <v>ARENA</v>
      </c>
      <c r="P128" s="214" t="s">
        <v>436</v>
      </c>
      <c r="Q128" s="56" t="s">
        <v>437</v>
      </c>
      <c r="R128" s="56" t="s">
        <v>51</v>
      </c>
      <c r="S128" s="56" t="s">
        <v>367</v>
      </c>
      <c r="T128" s="236" t="str">
        <f>IF(_xlfn.XLOOKUP(F128,IH!Y:Y,IH!AA:AA,"")="MAPPED","MAPPED","")</f>
        <v/>
      </c>
      <c r="U128" s="237" t="str">
        <f>IFERROR(VLOOKUP(H128,IH!C:T,18,0),"")</f>
        <v>MSSF LOGIN</v>
      </c>
      <c r="V128" s="237" t="str">
        <f t="shared" si="11"/>
        <v>DISBURSED</v>
      </c>
      <c r="W128" s="221">
        <f>IFERROR(VLOOKUP(H128,IH!C:X,14,0),"")</f>
        <v>46099</v>
      </c>
      <c r="X128" s="215" t="str">
        <f>VLOOKUP($L128,Emp!$A:$F,5,0)</f>
        <v>AMAL</v>
      </c>
      <c r="Y128" s="239" t="str">
        <f>VLOOKUP($H128,ERP!$H:$AP,33,0)</f>
        <v>NA</v>
      </c>
      <c r="Z128" s="239" t="str">
        <f>VLOOKUP($H128,ERP!$H:$AP,34,0)</f>
        <v>NA</v>
      </c>
    </row>
    <row r="129" hidden="1" customHeight="1" spans="1:26">
      <c r="A129" s="56">
        <v>128</v>
      </c>
      <c r="B129" s="214" t="s">
        <v>1117</v>
      </c>
      <c r="C129" s="214" t="s">
        <v>1118</v>
      </c>
      <c r="D129" s="214">
        <v>175281</v>
      </c>
      <c r="E129" s="214" t="s">
        <v>1119</v>
      </c>
      <c r="F129" s="214" t="s">
        <v>1120</v>
      </c>
      <c r="G129" s="233">
        <v>46105</v>
      </c>
      <c r="H129" s="214">
        <v>2567569758</v>
      </c>
      <c r="I129" s="214" t="s">
        <v>1121</v>
      </c>
      <c r="J129" s="214" t="s">
        <v>353</v>
      </c>
      <c r="K129" s="214" t="s">
        <v>853</v>
      </c>
      <c r="L129" s="231" t="s">
        <v>91</v>
      </c>
      <c r="M129" s="215" t="str">
        <f>VLOOKUP($L129,Emp!$A:$F,2,0)</f>
        <v>SMITHIN P S</v>
      </c>
      <c r="N129" s="215" t="str">
        <f>VLOOKUP($L129,Emp!$A:$F,3,0)</f>
        <v>KAIPAMANGALAM</v>
      </c>
      <c r="O129" s="215" t="str">
        <f>VLOOKUP($L129,Emp!$A:$F,4,0)</f>
        <v>ARENA</v>
      </c>
      <c r="P129" s="214" t="s">
        <v>632</v>
      </c>
      <c r="Q129" s="56" t="s">
        <v>633</v>
      </c>
      <c r="R129" s="56" t="s">
        <v>378</v>
      </c>
      <c r="S129" s="56" t="s">
        <v>356</v>
      </c>
      <c r="T129" s="236" t="str">
        <f>IF(_xlfn.XLOOKUP(F129,IH!Y:Y,IH!AA:AA,"")="MAPPED","MAPPED","")</f>
        <v/>
      </c>
      <c r="U129" s="237" t="str">
        <f>IFERROR(VLOOKUP(H129,IH!C:T,18,0),"")</f>
        <v/>
      </c>
      <c r="V129" s="237" t="str">
        <f t="shared" si="11"/>
        <v/>
      </c>
      <c r="W129" s="221" t="str">
        <f>IFERROR(VLOOKUP(H129,IH!C:X,14,0),"")</f>
        <v/>
      </c>
      <c r="X129" s="215" t="str">
        <f>VLOOKUP($L129,Emp!$A:$F,5,0)</f>
        <v>JINEESH</v>
      </c>
      <c r="Y129" s="239" t="str">
        <f>VLOOKUP($H129,ERP!$H:$AP,33,0)</f>
        <v>ANADAKRISHANAN P A (C25203),</v>
      </c>
      <c r="Z129" s="239" t="str">
        <f>VLOOKUP($H129,ERP!$H:$AP,34,0)</f>
        <v>SMITHIN (KPLM)</v>
      </c>
    </row>
    <row r="130" hidden="1" customHeight="1" spans="1:26">
      <c r="A130" s="56">
        <v>129</v>
      </c>
      <c r="B130" s="214" t="s">
        <v>766</v>
      </c>
      <c r="C130" s="214" t="s">
        <v>1122</v>
      </c>
      <c r="D130" s="214" t="s">
        <v>1123</v>
      </c>
      <c r="E130" s="214">
        <v>1435001</v>
      </c>
      <c r="F130" s="214" t="s">
        <v>1124</v>
      </c>
      <c r="G130" s="233">
        <v>46105</v>
      </c>
      <c r="H130" s="214">
        <v>2567076729</v>
      </c>
      <c r="I130" s="214" t="s">
        <v>1125</v>
      </c>
      <c r="J130" s="214" t="s">
        <v>363</v>
      </c>
      <c r="K130" s="214" t="s">
        <v>364</v>
      </c>
      <c r="L130" s="231" t="s">
        <v>192</v>
      </c>
      <c r="M130" s="215" t="str">
        <f>VLOOKUP($L130,Emp!$A:$F,2,0)</f>
        <v>KASI VISWANATH</v>
      </c>
      <c r="N130" s="215" t="str">
        <f>VLOOKUP($L130,Emp!$A:$F,3,0)</f>
        <v>KAIPAMANGALAM</v>
      </c>
      <c r="O130" s="215" t="str">
        <f>VLOOKUP($L130,Emp!$A:$F,4,0)</f>
        <v>ARENA</v>
      </c>
      <c r="P130" s="214" t="s">
        <v>572</v>
      </c>
      <c r="Q130" s="56" t="s">
        <v>377</v>
      </c>
      <c r="R130" s="56" t="s">
        <v>378</v>
      </c>
      <c r="S130" s="56" t="s">
        <v>356</v>
      </c>
      <c r="T130" s="236" t="str">
        <f>IF(_xlfn.XLOOKUP(F130,IH!Y:Y,IH!AA:AA,"")="MAPPED","MAPPED","")</f>
        <v/>
      </c>
      <c r="U130" s="237" t="str">
        <f>IFERROR(VLOOKUP(H130,IH!C:T,18,0),"")</f>
        <v/>
      </c>
      <c r="V130" s="237" t="str">
        <f t="shared" si="11"/>
        <v/>
      </c>
      <c r="W130" s="221" t="str">
        <f>IFERROR(VLOOKUP(H130,IH!C:X,14,0),"")</f>
        <v/>
      </c>
      <c r="X130" s="215" t="str">
        <f>VLOOKUP($L130,Emp!$A:$F,5,0)</f>
        <v>JINEESH</v>
      </c>
      <c r="Y130" s="239" t="str">
        <f>VLOOKUP($H130,ERP!$H:$AP,33,0)</f>
        <v>ARUN DAS K A (C26238),</v>
      </c>
      <c r="Z130" s="239" t="str">
        <f>VLOOKUP($H130,ERP!$H:$AP,34,0)</f>
        <v>KASI VISWANATH K M</v>
      </c>
    </row>
    <row r="131" hidden="1" customHeight="1" spans="1:26">
      <c r="A131" s="56">
        <v>130</v>
      </c>
      <c r="B131" s="214" t="s">
        <v>1126</v>
      </c>
      <c r="C131" s="214" t="s">
        <v>1127</v>
      </c>
      <c r="D131" s="214">
        <v>478306</v>
      </c>
      <c r="E131" s="214" t="s">
        <v>1128</v>
      </c>
      <c r="F131" s="214" t="s">
        <v>1129</v>
      </c>
      <c r="G131" s="233">
        <v>46105</v>
      </c>
      <c r="H131" s="214">
        <v>2566474051</v>
      </c>
      <c r="I131" s="214" t="s">
        <v>1130</v>
      </c>
      <c r="J131" s="214" t="s">
        <v>434</v>
      </c>
      <c r="K131" s="214" t="s">
        <v>571</v>
      </c>
      <c r="L131" s="231" t="s">
        <v>218</v>
      </c>
      <c r="M131" s="215" t="str">
        <f>VLOOKUP($L131,Emp!$A:$F,2,0)</f>
        <v>ELDHO A JACOB</v>
      </c>
      <c r="N131" s="215" t="str">
        <f>VLOOKUP($L131,Emp!$A:$F,3,0)</f>
        <v>ANGAMALY</v>
      </c>
      <c r="O131" s="215" t="str">
        <f>VLOOKUP($L131,Emp!$A:$F,4,0)</f>
        <v>ARENA</v>
      </c>
      <c r="P131" s="214" t="s">
        <v>611</v>
      </c>
      <c r="Q131" s="56" t="s">
        <v>612</v>
      </c>
      <c r="R131" s="56" t="s">
        <v>51</v>
      </c>
      <c r="S131" s="56" t="s">
        <v>367</v>
      </c>
      <c r="T131" s="236" t="str">
        <f>IF(_xlfn.XLOOKUP(F131,IH!Y:Y,IH!AA:AA,"")="MAPPED","MAPPED","")</f>
        <v/>
      </c>
      <c r="U131" s="237" t="str">
        <f>IFERROR(VLOOKUP(H131,IH!C:T,18,0),"")</f>
        <v>MSSF LOGIN</v>
      </c>
      <c r="V131" s="237" t="str">
        <f t="shared" si="11"/>
        <v>DISBURSED</v>
      </c>
      <c r="W131" s="221">
        <f>IFERROR(VLOOKUP(H131,IH!C:X,14,0),"")</f>
        <v>46099</v>
      </c>
      <c r="X131" s="215" t="str">
        <f>VLOOKUP($L131,Emp!$A:$F,5,0)</f>
        <v>SALMAN</v>
      </c>
      <c r="Y131" s="239" t="str">
        <f>VLOOKUP($H131,ERP!$H:$AP,33,0)</f>
        <v>AKSHAY RANJAN (C26436),</v>
      </c>
      <c r="Z131" s="239" t="str">
        <f>VLOOKUP($H131,ERP!$H:$AP,34,0)</f>
        <v>ELDHO A JACOB</v>
      </c>
    </row>
    <row r="132" hidden="1" customHeight="1" spans="1:26">
      <c r="A132" s="56">
        <v>131</v>
      </c>
      <c r="B132" s="214" t="s">
        <v>1131</v>
      </c>
      <c r="C132" s="214" t="s">
        <v>1132</v>
      </c>
      <c r="D132" s="214">
        <v>479068</v>
      </c>
      <c r="E132" s="214">
        <v>1432674</v>
      </c>
      <c r="F132" s="214" t="s">
        <v>1133</v>
      </c>
      <c r="G132" s="233">
        <v>46105</v>
      </c>
      <c r="H132" s="214">
        <v>2567081425</v>
      </c>
      <c r="I132" s="214" t="s">
        <v>1134</v>
      </c>
      <c r="J132" s="214" t="s">
        <v>434</v>
      </c>
      <c r="K132" s="214" t="s">
        <v>471</v>
      </c>
      <c r="L132" s="231" t="s">
        <v>119</v>
      </c>
      <c r="M132" s="215" t="str">
        <f>VLOOKUP($L132,Emp!$A:$F,2,0)</f>
        <v>ARUN BABU</v>
      </c>
      <c r="N132" s="215" t="str">
        <f>VLOOKUP($L132,Emp!$A:$F,3,0)</f>
        <v>KOOTHATTUKULAM</v>
      </c>
      <c r="O132" s="215" t="str">
        <f>VLOOKUP($L132,Emp!$A:$F,4,0)</f>
        <v>ARENA</v>
      </c>
      <c r="P132" s="214" t="s">
        <v>589</v>
      </c>
      <c r="Q132" s="56" t="s">
        <v>590</v>
      </c>
      <c r="R132" s="56" t="s">
        <v>51</v>
      </c>
      <c r="S132" s="56" t="s">
        <v>367</v>
      </c>
      <c r="T132" s="236" t="str">
        <f>IF(_xlfn.XLOOKUP(F132,IH!Y:Y,IH!AA:AA,"")="MAPPED","MAPPED","")</f>
        <v>MAPPED</v>
      </c>
      <c r="U132" s="237" t="str">
        <f>IFERROR(VLOOKUP(H132,IH!C:T,18,0),"")</f>
        <v>MSSF DISBURSED</v>
      </c>
      <c r="V132" s="237" t="str">
        <f t="shared" si="11"/>
        <v>DISBURSED</v>
      </c>
      <c r="W132" s="221">
        <f>IFERROR(VLOOKUP(H132,IH!C:X,14,0),"")</f>
        <v>46106</v>
      </c>
      <c r="X132" s="215" t="str">
        <f>VLOOKUP($L132,Emp!$A:$F,5,0)</f>
        <v>AMAL</v>
      </c>
      <c r="Y132" s="239" t="str">
        <f>VLOOKUP($H132,ERP!$H:$AP,33,0)</f>
        <v>SATHEESH A.V. (C20658),</v>
      </c>
      <c r="Z132" s="239" t="str">
        <f>VLOOKUP($H132,ERP!$H:$AP,34,0)</f>
        <v>ARUN BABU(KTLM)</v>
      </c>
    </row>
    <row r="133" hidden="1" customHeight="1" spans="1:26">
      <c r="A133" s="56">
        <v>132</v>
      </c>
      <c r="B133" s="214" t="s">
        <v>1135</v>
      </c>
      <c r="C133" s="214" t="s">
        <v>1136</v>
      </c>
      <c r="D133" s="214" t="s">
        <v>1137</v>
      </c>
      <c r="E133" s="214" t="s">
        <v>1138</v>
      </c>
      <c r="F133" s="214" t="s">
        <v>1139</v>
      </c>
      <c r="G133" s="233">
        <v>46105</v>
      </c>
      <c r="H133" s="214">
        <v>2567141624</v>
      </c>
      <c r="I133" s="214" t="s">
        <v>1140</v>
      </c>
      <c r="J133" s="214" t="s">
        <v>619</v>
      </c>
      <c r="K133" s="214" t="s">
        <v>620</v>
      </c>
      <c r="L133" s="231" t="s">
        <v>122</v>
      </c>
      <c r="M133" s="215" t="str">
        <f>VLOOKUP($L133,Emp!$A:$F,2,0)</f>
        <v>ARUN BABU</v>
      </c>
      <c r="N133" s="215" t="str">
        <f>VLOOKUP($L133,Emp!$A:$F,3,0)</f>
        <v>KOOTHATTUKULAM</v>
      </c>
      <c r="O133" s="215" t="str">
        <f>VLOOKUP($L133,Emp!$A:$F,4,0)</f>
        <v>ARENA</v>
      </c>
      <c r="P133" s="214" t="s">
        <v>365</v>
      </c>
      <c r="Q133" s="56" t="s">
        <v>366</v>
      </c>
      <c r="R133" s="56" t="s">
        <v>51</v>
      </c>
      <c r="S133" s="56" t="s">
        <v>367</v>
      </c>
      <c r="T133" s="236" t="str">
        <f>IF(_xlfn.XLOOKUP(F133,IH!Y:Y,IH!AA:AA,"")="MAPPED","MAPPED","")</f>
        <v/>
      </c>
      <c r="U133" s="237" t="str">
        <f>IFERROR(VLOOKUP(H133,IH!C:T,18,0),"")</f>
        <v>MSSF LOGIN</v>
      </c>
      <c r="V133" s="237" t="str">
        <f t="shared" si="11"/>
        <v>DISBURSED</v>
      </c>
      <c r="W133" s="221">
        <f>IFERROR(VLOOKUP(H133,IH!C:X,14,0),"")</f>
        <v>46106</v>
      </c>
      <c r="X133" s="215" t="str">
        <f>VLOOKUP($L133,Emp!$A:$F,5,0)</f>
        <v>AMAL</v>
      </c>
      <c r="Y133" s="239" t="str">
        <f>VLOOKUP($H133,ERP!$H:$AP,33,0)</f>
        <v>ARUN K MATHEW (C25878),</v>
      </c>
      <c r="Z133" s="239" t="str">
        <f>VLOOKUP($H133,ERP!$H:$AP,34,0)</f>
        <v>ARUN BABU(KTLM)</v>
      </c>
    </row>
    <row r="134" hidden="1" customHeight="1" spans="1:26">
      <c r="A134" s="56">
        <v>133</v>
      </c>
      <c r="B134" s="214" t="s">
        <v>1141</v>
      </c>
      <c r="C134" s="214" t="s">
        <v>1142</v>
      </c>
      <c r="D134" s="214">
        <v>169901</v>
      </c>
      <c r="E134" s="214" t="s">
        <v>1143</v>
      </c>
      <c r="F134" s="214" t="s">
        <v>1144</v>
      </c>
      <c r="G134" s="233">
        <v>46106</v>
      </c>
      <c r="H134" s="214">
        <v>2567796557</v>
      </c>
      <c r="I134" s="214" t="s">
        <v>1145</v>
      </c>
      <c r="J134" s="214" t="s">
        <v>353</v>
      </c>
      <c r="K134" s="214" t="s">
        <v>631</v>
      </c>
      <c r="L134" s="231" t="s">
        <v>188</v>
      </c>
      <c r="M134" s="215" t="str">
        <f>VLOOKUP($L134,Emp!$A:$F,2,0)</f>
        <v>JESTIN UTHUP JOHN</v>
      </c>
      <c r="N134" s="215" t="str">
        <f>VLOOKUP($L134,Emp!$A:$F,3,0)</f>
        <v>PIRAVOM</v>
      </c>
      <c r="O134" s="215" t="str">
        <f>VLOOKUP($L134,Emp!$A:$F,4,0)</f>
        <v>ARENA</v>
      </c>
      <c r="P134" s="214" t="s">
        <v>776</v>
      </c>
      <c r="Q134" s="56" t="s">
        <v>777</v>
      </c>
      <c r="R134" s="56" t="s">
        <v>51</v>
      </c>
      <c r="S134" s="56" t="s">
        <v>367</v>
      </c>
      <c r="T134" s="236" t="str">
        <f>IF(_xlfn.XLOOKUP(F134,IH!Y:Y,IH!AA:AA,"")="MAPPED","MAPPED","")</f>
        <v/>
      </c>
      <c r="U134" s="237" t="str">
        <f>IFERROR(VLOOKUP(H134,IH!C:T,18,0),"")</f>
        <v>MSSF DISBURSED</v>
      </c>
      <c r="V134" s="237" t="str">
        <f t="shared" ref="V134:V141" si="12">IF(W134&lt;&gt;"","DISBURSED","")</f>
        <v>DISBURSED</v>
      </c>
      <c r="W134" s="221">
        <f>IFERROR(VLOOKUP(H134,IH!C:X,14,0),"")</f>
        <v>46107</v>
      </c>
      <c r="X134" s="215" t="str">
        <f>VLOOKUP($L134,Emp!$A:$F,5,0)</f>
        <v>AMAL</v>
      </c>
      <c r="Y134" s="239" t="str">
        <f>VLOOKUP($H134,ERP!$H:$AP,33,0)</f>
        <v>KURIAN JOHN(C26237),</v>
      </c>
      <c r="Z134" s="239" t="str">
        <f>VLOOKUP($H134,ERP!$H:$AP,34,0)</f>
        <v>JUSTIN UTHUP JOHN (PRVM)</v>
      </c>
    </row>
    <row r="135" hidden="1" customHeight="1" spans="1:26">
      <c r="A135" s="56">
        <v>134</v>
      </c>
      <c r="B135" s="214" t="s">
        <v>923</v>
      </c>
      <c r="C135" s="214" t="s">
        <v>1146</v>
      </c>
      <c r="D135" s="214">
        <v>177121</v>
      </c>
      <c r="E135" s="214" t="s">
        <v>1147</v>
      </c>
      <c r="F135" s="214" t="s">
        <v>1148</v>
      </c>
      <c r="G135" s="233">
        <v>46106</v>
      </c>
      <c r="H135" s="214">
        <v>2567504132</v>
      </c>
      <c r="I135" s="214" t="s">
        <v>1149</v>
      </c>
      <c r="J135" s="214" t="s">
        <v>353</v>
      </c>
      <c r="K135" s="214" t="s">
        <v>958</v>
      </c>
      <c r="L135" s="231" t="s">
        <v>188</v>
      </c>
      <c r="M135" s="215" t="str">
        <f>VLOOKUP($L135,Emp!$A:$F,2,0)</f>
        <v>JESTIN UTHUP JOHN</v>
      </c>
      <c r="N135" s="215" t="str">
        <f>VLOOKUP($L135,Emp!$A:$F,3,0)</f>
        <v>PIRAVOM</v>
      </c>
      <c r="O135" s="215" t="str">
        <f>VLOOKUP($L135,Emp!$A:$F,4,0)</f>
        <v>ARENA</v>
      </c>
      <c r="P135" s="214" t="s">
        <v>355</v>
      </c>
      <c r="Q135" s="56" t="s">
        <v>355</v>
      </c>
      <c r="R135" s="56" t="s">
        <v>355</v>
      </c>
      <c r="S135" s="56" t="s">
        <v>356</v>
      </c>
      <c r="T135" s="236" t="str">
        <f>IF(_xlfn.XLOOKUP(F135,IH!Y:Y,IH!AA:AA,"")="MAPPED","MAPPED","")</f>
        <v/>
      </c>
      <c r="U135" s="237" t="str">
        <f>IFERROR(VLOOKUP(H135,IH!C:T,18,0),"")</f>
        <v/>
      </c>
      <c r="V135" s="237" t="str">
        <f t="shared" si="12"/>
        <v/>
      </c>
      <c r="W135" s="221" t="str">
        <f>IFERROR(VLOOKUP(H135,IH!C:X,14,0),"")</f>
        <v/>
      </c>
      <c r="X135" s="215" t="str">
        <f>VLOOKUP($L135,Emp!$A:$F,5,0)</f>
        <v>AMAL</v>
      </c>
      <c r="Y135" s="239" t="str">
        <f>VLOOKUP($H135,ERP!$H:$AP,33,0)</f>
        <v>KURIAN JOHN(C26237),</v>
      </c>
      <c r="Z135" s="239" t="str">
        <f>VLOOKUP($H135,ERP!$H:$AP,34,0)</f>
        <v>JUSTIN UTHUP JOHN (PRVM)</v>
      </c>
    </row>
    <row r="136" hidden="1" customHeight="1" spans="1:26">
      <c r="A136" s="56">
        <v>135</v>
      </c>
      <c r="B136" s="214" t="s">
        <v>1150</v>
      </c>
      <c r="C136" s="214" t="s">
        <v>1151</v>
      </c>
      <c r="D136" s="214" t="s">
        <v>1152</v>
      </c>
      <c r="E136" s="214">
        <v>1432824</v>
      </c>
      <c r="F136" s="214" t="s">
        <v>1153</v>
      </c>
      <c r="G136" s="233">
        <v>46106</v>
      </c>
      <c r="H136" s="214">
        <v>2566692451</v>
      </c>
      <c r="I136" s="214" t="s">
        <v>1154</v>
      </c>
      <c r="J136" s="214" t="s">
        <v>363</v>
      </c>
      <c r="K136" s="214" t="s">
        <v>1155</v>
      </c>
      <c r="L136" s="231" t="s">
        <v>87</v>
      </c>
      <c r="M136" s="215" t="str">
        <f>VLOOKUP($L136,Emp!$A:$F,2,0)</f>
        <v>RATISH K R</v>
      </c>
      <c r="N136" s="215" t="str">
        <f>VLOOKUP($L136,Emp!$A:$F,3,0)</f>
        <v>KADAVANTHRA</v>
      </c>
      <c r="O136" s="215" t="str">
        <f>VLOOKUP($L136,Emp!$A:$F,4,0)</f>
        <v>ARENA</v>
      </c>
      <c r="P136" s="214" t="s">
        <v>456</v>
      </c>
      <c r="Q136" s="56" t="s">
        <v>457</v>
      </c>
      <c r="R136" s="56" t="s">
        <v>51</v>
      </c>
      <c r="S136" s="56" t="s">
        <v>367</v>
      </c>
      <c r="T136" s="236" t="str">
        <f>IF(_xlfn.XLOOKUP(F136,IH!Y:Y,IH!AA:AA,"")="MAPPED","MAPPED","")</f>
        <v>MAPPED</v>
      </c>
      <c r="U136" s="237" t="str">
        <f>IFERROR(VLOOKUP(H136,IH!C:T,18,0),"")</f>
        <v>MSSF DISBURSED</v>
      </c>
      <c r="V136" s="237" t="str">
        <f t="shared" si="12"/>
        <v>DISBURSED</v>
      </c>
      <c r="W136" s="221">
        <f>IFERROR(VLOOKUP(H136,IH!C:X,14,0),"")</f>
        <v>46102</v>
      </c>
      <c r="X136" s="215" t="str">
        <f>VLOOKUP($L136,Emp!$A:$F,5,0)</f>
        <v>SALMAN</v>
      </c>
      <c r="Y136" s="239" t="str">
        <f>VLOOKUP($H136,ERP!$H:$AP,33,0)</f>
        <v>AMAL RAJ ANTHONY (C22567),</v>
      </c>
      <c r="Z136" s="239" t="str">
        <f>VLOOKUP($H136,ERP!$H:$AP,34,0)</f>
        <v>RATHEESH.K.R</v>
      </c>
    </row>
    <row r="137" hidden="1" customHeight="1" spans="1:26">
      <c r="A137" s="56">
        <v>136</v>
      </c>
      <c r="B137" s="214" t="s">
        <v>1156</v>
      </c>
      <c r="C137" s="214" t="s">
        <v>1157</v>
      </c>
      <c r="D137" s="214">
        <v>479572</v>
      </c>
      <c r="E137" s="214" t="s">
        <v>1158</v>
      </c>
      <c r="F137" s="214" t="s">
        <v>1159</v>
      </c>
      <c r="G137" s="233">
        <v>46106</v>
      </c>
      <c r="H137" s="214">
        <v>2567538167</v>
      </c>
      <c r="I137" s="214" t="s">
        <v>1160</v>
      </c>
      <c r="J137" s="214" t="s">
        <v>434</v>
      </c>
      <c r="K137" s="214" t="s">
        <v>571</v>
      </c>
      <c r="L137" s="231" t="s">
        <v>67</v>
      </c>
      <c r="M137" s="215" t="str">
        <f>VLOOKUP($L137,Emp!$A:$F,2,0)</f>
        <v>ABHILASH K P</v>
      </c>
      <c r="N137" s="215" t="str">
        <f>VLOOKUP($L137,Emp!$A:$F,3,0)</f>
        <v>EDAPPALLY</v>
      </c>
      <c r="O137" s="215" t="str">
        <f>VLOOKUP($L137,Emp!$A:$F,4,0)</f>
        <v>ARENA</v>
      </c>
      <c r="P137" s="214" t="s">
        <v>355</v>
      </c>
      <c r="Q137" s="56" t="s">
        <v>355</v>
      </c>
      <c r="R137" s="56" t="s">
        <v>355</v>
      </c>
      <c r="S137" s="56" t="s">
        <v>356</v>
      </c>
      <c r="T137" s="236" t="str">
        <f>IF(_xlfn.XLOOKUP(F137,IH!Y:Y,IH!AA:AA,"")="MAPPED","MAPPED","")</f>
        <v/>
      </c>
      <c r="U137" s="237" t="str">
        <f>IFERROR(VLOOKUP(H137,IH!C:T,18,0),"")</f>
        <v/>
      </c>
      <c r="V137" s="237" t="str">
        <f t="shared" si="12"/>
        <v/>
      </c>
      <c r="W137" s="221" t="str">
        <f>IFERROR(VLOOKUP(H137,IH!C:X,14,0),"")</f>
        <v/>
      </c>
      <c r="X137" s="215" t="str">
        <f>VLOOKUP($L137,Emp!$A:$F,5,0)</f>
        <v>SIVAPRASAD</v>
      </c>
      <c r="Y137" s="239" t="str">
        <f>VLOOKUP($H137,ERP!$H:$AP,33,0)</f>
        <v>MANOJ C S (C20619), Mr.</v>
      </c>
      <c r="Z137" s="239" t="str">
        <f>VLOOKUP($H137,ERP!$H:$AP,34,0)</f>
        <v>ABHILASH K P (C21618)</v>
      </c>
    </row>
    <row r="138" customHeight="1" spans="1:26">
      <c r="A138" s="56">
        <v>137</v>
      </c>
      <c r="B138" s="214" t="s">
        <v>1161</v>
      </c>
      <c r="C138" s="214" t="s">
        <v>1162</v>
      </c>
      <c r="D138" s="214" t="s">
        <v>1163</v>
      </c>
      <c r="E138" s="214">
        <v>9261629</v>
      </c>
      <c r="F138" s="214" t="s">
        <v>1164</v>
      </c>
      <c r="G138" s="233">
        <v>46106</v>
      </c>
      <c r="H138" s="214">
        <v>2567131245</v>
      </c>
      <c r="I138" s="214" t="s">
        <v>1165</v>
      </c>
      <c r="J138" s="214" t="s">
        <v>1016</v>
      </c>
      <c r="K138" s="214" t="s">
        <v>742</v>
      </c>
      <c r="L138" s="231" t="s">
        <v>137</v>
      </c>
      <c r="M138" s="215" t="str">
        <f>VLOOKUP($L138,Emp!$A:$F,2,0)</f>
        <v>RAHUL P R</v>
      </c>
      <c r="N138" s="215" t="str">
        <f>VLOOKUP($L138,Emp!$A:$F,3,0)</f>
        <v>NEXA COCHIN</v>
      </c>
      <c r="O138" s="215" t="str">
        <f>VLOOKUP($L138,Emp!$A:$F,4,0)</f>
        <v>NEXA COCHIN</v>
      </c>
      <c r="P138" s="214" t="s">
        <v>355</v>
      </c>
      <c r="Q138" s="56" t="s">
        <v>355</v>
      </c>
      <c r="R138" s="56" t="s">
        <v>355</v>
      </c>
      <c r="S138" s="56" t="s">
        <v>356</v>
      </c>
      <c r="T138" s="236" t="str">
        <f>IF(_xlfn.XLOOKUP(F138,IH!Y:Y,IH!AA:AA,"")="MAPPED","MAPPED","")</f>
        <v/>
      </c>
      <c r="U138" s="237" t="str">
        <f>IFERROR(VLOOKUP(H138,IH!C:T,18,0),"")</f>
        <v/>
      </c>
      <c r="V138" s="237" t="str">
        <f t="shared" si="12"/>
        <v/>
      </c>
      <c r="W138" s="221" t="str">
        <f>IFERROR(VLOOKUP(H138,IH!C:X,14,0),"")</f>
        <v/>
      </c>
      <c r="X138" s="215" t="str">
        <f>VLOOKUP($L138,Emp!$A:$F,5,0)</f>
        <v>WILSON</v>
      </c>
      <c r="Y138" s="239" t="str">
        <f>VLOOKUP($H138,ERP!$H:$AP,33,0)</f>
        <v>NISSAR M A (C24350),</v>
      </c>
      <c r="Z138" s="239" t="str">
        <f>VLOOKUP($H138,ERP!$H:$AP,34,0)</f>
        <v>RAHUL P R (NEXA 502)</v>
      </c>
    </row>
    <row r="139" hidden="1" customHeight="1" spans="1:26">
      <c r="A139" s="56">
        <v>138</v>
      </c>
      <c r="B139" s="214" t="s">
        <v>1166</v>
      </c>
      <c r="C139" s="214" t="s">
        <v>1167</v>
      </c>
      <c r="D139" s="214" t="s">
        <v>1168</v>
      </c>
      <c r="E139" s="214">
        <v>1435566</v>
      </c>
      <c r="F139" s="214" t="s">
        <v>1169</v>
      </c>
      <c r="G139" s="233">
        <v>46106</v>
      </c>
      <c r="H139" s="214">
        <v>2567514953</v>
      </c>
      <c r="I139" s="214" t="s">
        <v>1170</v>
      </c>
      <c r="J139" s="214" t="s">
        <v>363</v>
      </c>
      <c r="K139" s="214" t="s">
        <v>364</v>
      </c>
      <c r="L139" s="235" t="s">
        <v>172</v>
      </c>
      <c r="M139" s="215" t="str">
        <f>VLOOKUP($L139,Emp!$A:$F,2,0)</f>
        <v>SIVAPRAKASH K S</v>
      </c>
      <c r="N139" s="215" t="str">
        <f>VLOOKUP($L139,Emp!$A:$F,3,0)</f>
        <v>THRISSUR</v>
      </c>
      <c r="O139" s="215" t="str">
        <f>VLOOKUP($L139,Emp!$A:$F,4,0)</f>
        <v>ARENA</v>
      </c>
      <c r="P139" s="214" t="s">
        <v>385</v>
      </c>
      <c r="Q139" s="56" t="s">
        <v>386</v>
      </c>
      <c r="R139" s="56" t="s">
        <v>378</v>
      </c>
      <c r="S139" s="56" t="s">
        <v>356</v>
      </c>
      <c r="T139" s="236" t="str">
        <f>IF(_xlfn.XLOOKUP(F139,IH!Y:Y,IH!AA:AA,"")="MAPPED","MAPPED","")</f>
        <v/>
      </c>
      <c r="U139" s="237" t="str">
        <f>IFERROR(VLOOKUP(H139,IH!C:T,18,0),"")</f>
        <v/>
      </c>
      <c r="V139" s="237" t="str">
        <f t="shared" si="12"/>
        <v/>
      </c>
      <c r="W139" s="221" t="str">
        <f>IFERROR(VLOOKUP(H139,IH!C:X,14,0),"")</f>
        <v/>
      </c>
      <c r="X139" s="215" t="str">
        <f>VLOOKUP($L139,Emp!$A:$F,5,0)</f>
        <v>SINTO</v>
      </c>
      <c r="Y139" s="239" t="str">
        <f>VLOOKUP($H139,ERP!$H:$AP,33,0)</f>
        <v>NA</v>
      </c>
      <c r="Z139" s="239" t="str">
        <f>VLOOKUP($H139,ERP!$H:$AP,34,0)</f>
        <v>NA</v>
      </c>
    </row>
    <row r="140" customHeight="1" spans="1:26">
      <c r="A140" s="56">
        <v>139</v>
      </c>
      <c r="B140" s="214" t="s">
        <v>1171</v>
      </c>
      <c r="C140" s="214" t="s">
        <v>1172</v>
      </c>
      <c r="D140" s="214" t="s">
        <v>1173</v>
      </c>
      <c r="E140" s="214" t="s">
        <v>1174</v>
      </c>
      <c r="F140" s="214" t="s">
        <v>1175</v>
      </c>
      <c r="G140" s="233">
        <v>46106</v>
      </c>
      <c r="H140" s="214">
        <v>2567018294</v>
      </c>
      <c r="I140" s="214" t="s">
        <v>1176</v>
      </c>
      <c r="J140" s="214" t="s">
        <v>619</v>
      </c>
      <c r="K140" s="214" t="s">
        <v>620</v>
      </c>
      <c r="L140" s="231" t="s">
        <v>152</v>
      </c>
      <c r="M140" s="215" t="str">
        <f>VLOOKUP($L140,Emp!$A:$F,2,0)</f>
        <v>SANDEEP P</v>
      </c>
      <c r="N140" s="215" t="str">
        <f>VLOOKUP($L140,Emp!$A:$F,3,0)</f>
        <v>NEXA COCHIN</v>
      </c>
      <c r="O140" s="215" t="str">
        <f>VLOOKUP($L140,Emp!$A:$F,4,0)</f>
        <v>NEXA COCHIN</v>
      </c>
      <c r="P140" s="214" t="s">
        <v>632</v>
      </c>
      <c r="Q140" s="56" t="s">
        <v>633</v>
      </c>
      <c r="R140" s="56" t="s">
        <v>378</v>
      </c>
      <c r="S140" s="56" t="s">
        <v>356</v>
      </c>
      <c r="T140" s="236" t="str">
        <f>IF(_xlfn.XLOOKUP(F140,IH!Y:Y,IH!AA:AA,"")="MAPPED","MAPPED","")</f>
        <v/>
      </c>
      <c r="U140" s="237" t="str">
        <f>IFERROR(VLOOKUP(H140,IH!C:T,18,0),"")</f>
        <v/>
      </c>
      <c r="V140" s="237" t="str">
        <f t="shared" si="12"/>
        <v/>
      </c>
      <c r="W140" s="221" t="str">
        <f>IFERROR(VLOOKUP(H140,IH!C:X,14,0),"")</f>
        <v/>
      </c>
      <c r="X140" s="215" t="str">
        <f>VLOOKUP($L140,Emp!$A:$F,5,0)</f>
        <v>WILSON</v>
      </c>
      <c r="Y140" s="239" t="str">
        <f>VLOOKUP($H140,ERP!$H:$AP,33,0)</f>
        <v>HUDSON  FRANKLIN - NEXA, Mr.</v>
      </c>
      <c r="Z140" s="239" t="str">
        <f>VLOOKUP($H140,ERP!$H:$AP,34,0)</f>
        <v>NA</v>
      </c>
    </row>
    <row r="141" hidden="1" customHeight="1" spans="1:26">
      <c r="A141" s="56">
        <v>140</v>
      </c>
      <c r="B141" s="214" t="s">
        <v>1177</v>
      </c>
      <c r="C141" s="214" t="s">
        <v>1178</v>
      </c>
      <c r="D141" s="214" t="s">
        <v>1179</v>
      </c>
      <c r="E141" s="214">
        <v>9261626</v>
      </c>
      <c r="F141" s="214" t="s">
        <v>1180</v>
      </c>
      <c r="G141" s="233">
        <v>46106</v>
      </c>
      <c r="H141" s="214">
        <v>2567561761</v>
      </c>
      <c r="I141" s="214" t="s">
        <v>1181</v>
      </c>
      <c r="J141" s="214" t="s">
        <v>1016</v>
      </c>
      <c r="K141" s="214" t="s">
        <v>490</v>
      </c>
      <c r="L141" s="231" t="s">
        <v>208</v>
      </c>
      <c r="M141" s="215" t="str">
        <f>VLOOKUP($L141,Emp!$A:$F,2,0)</f>
        <v>SACHIN</v>
      </c>
      <c r="N141" s="215" t="str">
        <f>VLOOKUP($L141,Emp!$A:$F,3,0)</f>
        <v>KODUNGALLUR</v>
      </c>
      <c r="O141" s="215" t="str">
        <f>VLOOKUP($L141,Emp!$A:$F,4,0)</f>
        <v>ARENA</v>
      </c>
      <c r="P141" s="214" t="s">
        <v>1182</v>
      </c>
      <c r="Q141" s="56" t="s">
        <v>1183</v>
      </c>
      <c r="R141" s="56" t="s">
        <v>51</v>
      </c>
      <c r="S141" s="56" t="s">
        <v>356</v>
      </c>
      <c r="T141" s="236" t="str">
        <f>IF(_xlfn.XLOOKUP(F141,IH!Y:Y,IH!AA:AA,"")="MAPPED","MAPPED","")</f>
        <v/>
      </c>
      <c r="U141" s="237" t="str">
        <f>IFERROR(VLOOKUP(H141,IH!C:T,18,0),"")</f>
        <v>NO</v>
      </c>
      <c r="V141" s="237" t="str">
        <f t="shared" si="12"/>
        <v>DISBURSED</v>
      </c>
      <c r="W141" s="221">
        <f>IFERROR(VLOOKUP(H141,IH!C:X,14,0),"")</f>
        <v>46106</v>
      </c>
      <c r="X141" s="215" t="str">
        <f>VLOOKUP($L141,Emp!$A:$F,5,0)</f>
        <v>JINEESH</v>
      </c>
      <c r="Y141" s="239" t="str">
        <f>VLOOKUP($H141,ERP!$H:$AP,33,0)</f>
        <v>NEJIL K A(C26308),</v>
      </c>
      <c r="Z141" s="239" t="str">
        <f>VLOOKUP($H141,ERP!$H:$AP,34,0)</f>
        <v>SACHIN KRISHNA SAJEEV (KDLR)</v>
      </c>
    </row>
    <row r="142" hidden="1" customHeight="1" spans="1:26">
      <c r="A142" s="56">
        <v>141</v>
      </c>
      <c r="B142" s="214" t="s">
        <v>778</v>
      </c>
      <c r="C142" s="214" t="s">
        <v>1184</v>
      </c>
      <c r="D142" s="214" t="s">
        <v>1185</v>
      </c>
      <c r="E142" s="214">
        <v>9261671</v>
      </c>
      <c r="F142" s="214" t="s">
        <v>1186</v>
      </c>
      <c r="G142" s="233">
        <v>46107</v>
      </c>
      <c r="H142" s="214">
        <v>2567350340</v>
      </c>
      <c r="I142" s="214" t="s">
        <v>1187</v>
      </c>
      <c r="J142" s="214" t="s">
        <v>1016</v>
      </c>
      <c r="K142" s="214" t="s">
        <v>490</v>
      </c>
      <c r="L142" s="231" t="s">
        <v>165</v>
      </c>
      <c r="M142" s="215" t="str">
        <f>VLOOKUP($L142,Emp!$A:$F,2,0)</f>
        <v>JESTIN UTHUP JOHN</v>
      </c>
      <c r="N142" s="215" t="str">
        <f>VLOOKUP($L142,Emp!$A:$F,3,0)</f>
        <v>PIRAVOM</v>
      </c>
      <c r="O142" s="215" t="str">
        <f>VLOOKUP($L142,Emp!$A:$F,4,0)</f>
        <v>ARENA</v>
      </c>
      <c r="P142" s="214" t="s">
        <v>355</v>
      </c>
      <c r="Q142" s="56" t="s">
        <v>355</v>
      </c>
      <c r="R142" s="56" t="s">
        <v>355</v>
      </c>
      <c r="S142" s="56" t="s">
        <v>356</v>
      </c>
      <c r="T142" s="236" t="str">
        <f>IF(_xlfn.XLOOKUP(F142,IH!Y:Y,IH!AA:AA,"")="MAPPED","MAPPED","")</f>
        <v/>
      </c>
      <c r="U142" s="237" t="str">
        <f>IFERROR(VLOOKUP(H142,IH!C:T,18,0),"")</f>
        <v/>
      </c>
      <c r="V142" s="237" t="str">
        <f t="shared" ref="V142:V153" si="13">IF(W142&lt;&gt;"","DISBURSED","")</f>
        <v/>
      </c>
      <c r="W142" s="221" t="str">
        <f>IFERROR(VLOOKUP(H142,IH!C:X,14,0),"")</f>
        <v/>
      </c>
      <c r="X142" s="215" t="str">
        <f>VLOOKUP($L142,Emp!$A:$F,5,0)</f>
        <v>AMAL</v>
      </c>
      <c r="Y142" s="239" t="str">
        <f>VLOOKUP($H142,ERP!$H:$AP,33,0)</f>
        <v>LIPIN P PAUL (C22876),</v>
      </c>
      <c r="Z142" s="239" t="str">
        <f>VLOOKUP($H142,ERP!$H:$AP,34,0)</f>
        <v>JUSTIN UTHUP JOHN (PRVM)</v>
      </c>
    </row>
    <row r="143" hidden="1" customHeight="1" spans="1:26">
      <c r="A143" s="56">
        <v>142</v>
      </c>
      <c r="B143" s="214" t="s">
        <v>1188</v>
      </c>
      <c r="C143" s="214" t="s">
        <v>1189</v>
      </c>
      <c r="D143" s="214">
        <v>176581</v>
      </c>
      <c r="E143" s="214" t="s">
        <v>1190</v>
      </c>
      <c r="F143" s="214" t="s">
        <v>1191</v>
      </c>
      <c r="G143" s="233">
        <v>46107</v>
      </c>
      <c r="H143" s="214">
        <v>2567217890</v>
      </c>
      <c r="I143" s="214" t="s">
        <v>1192</v>
      </c>
      <c r="J143" s="214" t="s">
        <v>353</v>
      </c>
      <c r="K143" s="214" t="s">
        <v>1193</v>
      </c>
      <c r="L143" s="231" t="s">
        <v>161</v>
      </c>
      <c r="M143" s="215" t="str">
        <f>VLOOKUP($L143,Emp!$A:$F,2,0)</f>
        <v>SIJO VARGHESE GEORGE</v>
      </c>
      <c r="N143" s="215" t="str">
        <f>VLOOKUP($L143,Emp!$A:$F,3,0)</f>
        <v>PERUMBAVOOR</v>
      </c>
      <c r="O143" s="215" t="str">
        <f>VLOOKUP($L143,Emp!$A:$F,4,0)</f>
        <v>ARENA</v>
      </c>
      <c r="P143" s="214" t="s">
        <v>436</v>
      </c>
      <c r="Q143" s="56" t="s">
        <v>437</v>
      </c>
      <c r="R143" s="56" t="s">
        <v>51</v>
      </c>
      <c r="S143" s="56" t="s">
        <v>367</v>
      </c>
      <c r="T143" s="236" t="str">
        <f>IF(_xlfn.XLOOKUP(F143,IH!Y:Y,IH!AA:AA,"")="MAPPED","MAPPED","")</f>
        <v>MAPPED</v>
      </c>
      <c r="U143" s="237" t="str">
        <f>IFERROR(VLOOKUP(H143,IH!C:T,18,0),"")</f>
        <v>MSSF DISBURSED</v>
      </c>
      <c r="V143" s="237" t="str">
        <f t="shared" si="13"/>
        <v>DISBURSED</v>
      </c>
      <c r="W143" s="221">
        <f>IFERROR(VLOOKUP(H143,IH!C:X,14,0),"")</f>
        <v>46106</v>
      </c>
      <c r="X143" s="215" t="str">
        <f>VLOOKUP($L143,Emp!$A:$F,5,0)</f>
        <v>SALMAN</v>
      </c>
      <c r="Y143" s="239" t="str">
        <f>VLOOKUP($H143,ERP!$H:$AP,33,0)</f>
        <v>BIJO JOY (C23459),</v>
      </c>
      <c r="Z143" s="239" t="str">
        <f>VLOOKUP($H143,ERP!$H:$AP,34,0)</f>
        <v>SIJO VARGHESE GEORGE (PBVR)</v>
      </c>
    </row>
    <row r="144" hidden="1" customHeight="1" spans="1:26">
      <c r="A144" s="56">
        <v>143</v>
      </c>
      <c r="B144" s="214" t="s">
        <v>1194</v>
      </c>
      <c r="C144" s="214" t="s">
        <v>1195</v>
      </c>
      <c r="D144" s="214">
        <v>451866</v>
      </c>
      <c r="E144" s="214">
        <v>1394856</v>
      </c>
      <c r="F144" s="214" t="s">
        <v>1196</v>
      </c>
      <c r="G144" s="233">
        <v>46107</v>
      </c>
      <c r="H144" s="214">
        <v>2567246749</v>
      </c>
      <c r="I144" s="214" t="s">
        <v>1197</v>
      </c>
      <c r="J144" s="214" t="s">
        <v>434</v>
      </c>
      <c r="K144" s="214" t="s">
        <v>893</v>
      </c>
      <c r="L144" s="231" t="s">
        <v>167</v>
      </c>
      <c r="M144" s="215" t="str">
        <f>VLOOKUP($L144,Emp!$A:$F,2,0)</f>
        <v>SIVAPRAKASH K S</v>
      </c>
      <c r="N144" s="215" t="str">
        <f>VLOOKUP($L144,Emp!$A:$F,3,0)</f>
        <v>THRISSUR</v>
      </c>
      <c r="O144" s="215" t="str">
        <f>VLOOKUP($L144,Emp!$A:$F,4,0)</f>
        <v>ARENA</v>
      </c>
      <c r="P144" s="214" t="s">
        <v>436</v>
      </c>
      <c r="Q144" s="56" t="s">
        <v>437</v>
      </c>
      <c r="R144" s="56" t="s">
        <v>51</v>
      </c>
      <c r="S144" s="56" t="s">
        <v>367</v>
      </c>
      <c r="T144" s="236" t="str">
        <f>IF(_xlfn.XLOOKUP(F144,IH!Y:Y,IH!AA:AA,"")="MAPPED","MAPPED","")</f>
        <v>MAPPED</v>
      </c>
      <c r="U144" s="237" t="str">
        <f>IFERROR(VLOOKUP(H144,IH!C:T,18,0),"")</f>
        <v>MSSF DISBURSED</v>
      </c>
      <c r="V144" s="237" t="str">
        <f t="shared" si="13"/>
        <v>DISBURSED</v>
      </c>
      <c r="W144" s="221">
        <f>IFERROR(VLOOKUP(H144,IH!C:X,14,0),"")</f>
        <v>46107</v>
      </c>
      <c r="X144" s="215" t="str">
        <f>VLOOKUP($L144,Emp!$A:$F,5,0)</f>
        <v>SINTO</v>
      </c>
      <c r="Y144" s="239" t="str">
        <f>VLOOKUP($H144,ERP!$H:$AP,33,0)</f>
        <v>PRAMOD K ( C21230),</v>
      </c>
      <c r="Z144" s="239" t="str">
        <f>VLOOKUP($H144,ERP!$H:$AP,34,0)</f>
        <v>RAJEEV (THCR)</v>
      </c>
    </row>
    <row r="145" hidden="1" customHeight="1" spans="1:26">
      <c r="A145" s="56">
        <v>144</v>
      </c>
      <c r="B145" s="214" t="s">
        <v>1198</v>
      </c>
      <c r="C145" s="214" t="s">
        <v>1199</v>
      </c>
      <c r="D145" s="214" t="s">
        <v>1200</v>
      </c>
      <c r="E145" s="214" t="s">
        <v>1201</v>
      </c>
      <c r="F145" s="214" t="s">
        <v>1202</v>
      </c>
      <c r="G145" s="233">
        <v>46107</v>
      </c>
      <c r="H145" s="214">
        <v>2567817389</v>
      </c>
      <c r="I145" s="214" t="s">
        <v>1203</v>
      </c>
      <c r="J145" s="214" t="s">
        <v>619</v>
      </c>
      <c r="K145" s="214" t="s">
        <v>620</v>
      </c>
      <c r="L145" s="231" t="s">
        <v>244</v>
      </c>
      <c r="M145" s="215" t="str">
        <f>VLOOKUP($L145,Emp!$A:$F,2,0)</f>
        <v>NOUFAL T A</v>
      </c>
      <c r="N145" s="215" t="str">
        <f>VLOOKUP($L145,Emp!$A:$F,3,0)</f>
        <v>EDAPPALLY</v>
      </c>
      <c r="O145" s="215" t="str">
        <f>VLOOKUP($L145,Emp!$A:$F,4,0)</f>
        <v>ARENA</v>
      </c>
      <c r="P145" s="214" t="s">
        <v>1017</v>
      </c>
      <c r="Q145" s="56" t="s">
        <v>1018</v>
      </c>
      <c r="R145" s="56" t="s">
        <v>378</v>
      </c>
      <c r="S145" s="56" t="s">
        <v>356</v>
      </c>
      <c r="T145" s="236" t="str">
        <f>IF(_xlfn.XLOOKUP(F145,IH!Y:Y,IH!AA:AA,"")="MAPPED","MAPPED","")</f>
        <v/>
      </c>
      <c r="U145" s="237" t="str">
        <f>IFERROR(VLOOKUP(H145,IH!C:T,18,0),"")</f>
        <v/>
      </c>
      <c r="V145" s="237" t="str">
        <f t="shared" si="13"/>
        <v/>
      </c>
      <c r="W145" s="221" t="str">
        <f>IFERROR(VLOOKUP(H145,IH!C:X,14,0),"")</f>
        <v/>
      </c>
      <c r="X145" s="215" t="str">
        <f>VLOOKUP($L145,Emp!$A:$F,5,0)</f>
        <v>SIVAPRASAD</v>
      </c>
      <c r="Y145" s="239" t="str">
        <f>VLOOKUP($H145,ERP!$H:$AP,33,0)</f>
        <v>NIJIN THOMAS (C26505),</v>
      </c>
      <c r="Z145" s="239" t="str">
        <f>VLOOKUP($H145,ERP!$H:$AP,34,0)</f>
        <v>NOUFAL T.A</v>
      </c>
    </row>
    <row r="146" hidden="1" customHeight="1" spans="1:26">
      <c r="A146" s="56">
        <v>145</v>
      </c>
      <c r="B146" s="214" t="s">
        <v>1204</v>
      </c>
      <c r="C146" s="214" t="s">
        <v>1205</v>
      </c>
      <c r="D146" s="214">
        <v>174046</v>
      </c>
      <c r="E146" s="214" t="s">
        <v>1206</v>
      </c>
      <c r="F146" s="214" t="s">
        <v>1207</v>
      </c>
      <c r="G146" s="233">
        <v>46107</v>
      </c>
      <c r="H146" s="214">
        <v>2567674222</v>
      </c>
      <c r="I146" s="214" t="s">
        <v>1208</v>
      </c>
      <c r="J146" s="214" t="s">
        <v>353</v>
      </c>
      <c r="K146" s="214" t="s">
        <v>631</v>
      </c>
      <c r="L146" s="231" t="s">
        <v>213</v>
      </c>
      <c r="M146" s="215" t="str">
        <f>VLOOKUP($L146,Emp!$A:$F,2,0)</f>
        <v>SIVAPRAKASH K S</v>
      </c>
      <c r="N146" s="215" t="str">
        <f>VLOOKUP($L146,Emp!$A:$F,3,0)</f>
        <v>THRISSUR</v>
      </c>
      <c r="O146" s="215" t="str">
        <f>VLOOKUP($L146,Emp!$A:$F,4,0)</f>
        <v>ARENA</v>
      </c>
      <c r="P146" s="214" t="s">
        <v>611</v>
      </c>
      <c r="Q146" s="56" t="s">
        <v>612</v>
      </c>
      <c r="R146" s="56" t="s">
        <v>51</v>
      </c>
      <c r="S146" s="56" t="s">
        <v>356</v>
      </c>
      <c r="T146" s="236" t="str">
        <f>IF(_xlfn.XLOOKUP(F146,IH!Y:Y,IH!AA:AA,"")="MAPPED","MAPPED","")</f>
        <v/>
      </c>
      <c r="U146" s="237" t="str">
        <f>IFERROR(VLOOKUP(H146,IH!C:T,18,0),"")</f>
        <v>NO</v>
      </c>
      <c r="V146" s="237" t="str">
        <f t="shared" si="13"/>
        <v>DISBURSED</v>
      </c>
      <c r="W146" s="221">
        <f>IFERROR(VLOOKUP(H146,IH!C:X,14,0),"")</f>
        <v>46107</v>
      </c>
      <c r="X146" s="215" t="str">
        <f>VLOOKUP($L146,Emp!$A:$F,5,0)</f>
        <v>SINTO</v>
      </c>
      <c r="Y146" s="239" t="str">
        <f>VLOOKUP($H146,ERP!$H:$AP,33,0)</f>
        <v>SANJAY.M.G(C26392),</v>
      </c>
      <c r="Z146" s="239" t="str">
        <f>VLOOKUP($H146,ERP!$H:$AP,34,0)</f>
        <v>SIVAPRAKASH K.S.(TCR)</v>
      </c>
    </row>
    <row r="147" hidden="1" customHeight="1" spans="1:26">
      <c r="A147" s="56">
        <v>146</v>
      </c>
      <c r="B147" s="214" t="s">
        <v>1209</v>
      </c>
      <c r="C147" s="214" t="s">
        <v>1210</v>
      </c>
      <c r="D147" s="214" t="s">
        <v>1211</v>
      </c>
      <c r="E147" s="214" t="s">
        <v>1212</v>
      </c>
      <c r="F147" s="214" t="s">
        <v>1213</v>
      </c>
      <c r="G147" s="233">
        <v>46107</v>
      </c>
      <c r="H147" s="214">
        <v>2567338754</v>
      </c>
      <c r="I147" s="214" t="s">
        <v>1214</v>
      </c>
      <c r="J147" s="214" t="s">
        <v>1016</v>
      </c>
      <c r="K147" s="214" t="s">
        <v>1215</v>
      </c>
      <c r="L147" s="231" t="s">
        <v>173</v>
      </c>
      <c r="M147" s="215" t="str">
        <f>VLOOKUP($L147,Emp!$A:$F,2,0)</f>
        <v>PRANOOB V NAIR</v>
      </c>
      <c r="N147" s="215" t="str">
        <f>VLOOKUP($L147,Emp!$A:$F,3,0)</f>
        <v>TRIPPUNITHURA</v>
      </c>
      <c r="O147" s="215" t="str">
        <f>VLOOKUP($L147,Emp!$A:$F,4,0)</f>
        <v>ARENA</v>
      </c>
      <c r="P147" s="214" t="s">
        <v>355</v>
      </c>
      <c r="Q147" s="56" t="s">
        <v>355</v>
      </c>
      <c r="R147" s="56" t="s">
        <v>355</v>
      </c>
      <c r="S147" s="56" t="s">
        <v>356</v>
      </c>
      <c r="T147" s="236" t="str">
        <f>IF(_xlfn.XLOOKUP(F147,IH!Y:Y,IH!AA:AA,"")="MAPPED","MAPPED","")</f>
        <v/>
      </c>
      <c r="U147" s="237" t="str">
        <f>IFERROR(VLOOKUP(H147,IH!C:T,18,0),"")</f>
        <v/>
      </c>
      <c r="V147" s="237" t="str">
        <f t="shared" si="13"/>
        <v/>
      </c>
      <c r="W147" s="221" t="str">
        <f>IFERROR(VLOOKUP(H147,IH!C:X,14,0),"")</f>
        <v/>
      </c>
      <c r="X147" s="215" t="str">
        <f>VLOOKUP($L147,Emp!$A:$F,5,0)</f>
        <v>SIVAPRASAD</v>
      </c>
      <c r="Y147" s="239" t="str">
        <f>VLOOKUP($H147,ERP!$H:$AP,33,0)</f>
        <v>CHANCHAL JOS ANTONY (C25630),</v>
      </c>
      <c r="Z147" s="239" t="str">
        <f>VLOOKUP($H147,ERP!$H:$AP,34,0)</f>
        <v>PRANOOB V (TPRA)</v>
      </c>
    </row>
    <row r="148" hidden="1" customHeight="1" spans="1:26">
      <c r="A148" s="56">
        <v>147</v>
      </c>
      <c r="B148" s="214" t="s">
        <v>1216</v>
      </c>
      <c r="C148" s="214" t="s">
        <v>1217</v>
      </c>
      <c r="D148" s="214" t="s">
        <v>1218</v>
      </c>
      <c r="E148" s="214">
        <v>1435687</v>
      </c>
      <c r="F148" s="214" t="s">
        <v>1219</v>
      </c>
      <c r="G148" s="233">
        <v>46107</v>
      </c>
      <c r="H148" s="214">
        <v>2567808397</v>
      </c>
      <c r="I148" s="214" t="s">
        <v>1220</v>
      </c>
      <c r="J148" s="214" t="s">
        <v>363</v>
      </c>
      <c r="K148" s="214" t="s">
        <v>364</v>
      </c>
      <c r="L148" s="231" t="s">
        <v>236</v>
      </c>
      <c r="M148" s="215" t="str">
        <f>VLOOKUP($L148,Emp!$A:$F,2,0)</f>
        <v>BHAGIESH</v>
      </c>
      <c r="N148" s="215" t="str">
        <f>VLOOKUP($L148,Emp!$A:$F,3,0)</f>
        <v>CHAVAKKAD</v>
      </c>
      <c r="O148" s="215" t="str">
        <f>VLOOKUP($L148,Emp!$A:$F,4,0)</f>
        <v>ARENA</v>
      </c>
      <c r="P148" s="214" t="s">
        <v>552</v>
      </c>
      <c r="Q148" s="56" t="s">
        <v>553</v>
      </c>
      <c r="R148" s="56" t="s">
        <v>51</v>
      </c>
      <c r="S148" s="56" t="s">
        <v>367</v>
      </c>
      <c r="T148" s="236" t="str">
        <f>IF(_xlfn.XLOOKUP(F148,IH!Y:Y,IH!AA:AA,"")="MAPPED","MAPPED","")</f>
        <v/>
      </c>
      <c r="U148" s="237" t="str">
        <f>IFERROR(VLOOKUP(H148,IH!C:T,18,0),"")</f>
        <v>MSSF DISBURSED</v>
      </c>
      <c r="V148" s="237" t="str">
        <f t="shared" si="13"/>
        <v>DISBURSED</v>
      </c>
      <c r="W148" s="221">
        <f>IFERROR(VLOOKUP(H148,IH!C:X,14,0),"")</f>
        <v>46105</v>
      </c>
      <c r="X148" s="215" t="str">
        <f>VLOOKUP($L148,Emp!$A:$F,5,0)</f>
        <v>SINTO</v>
      </c>
      <c r="Y148" s="239" t="str">
        <f>VLOOKUP($H148,ERP!$H:$AP,33,0)</f>
        <v>ASWIN P S (C26364),</v>
      </c>
      <c r="Z148" s="239" t="str">
        <f>VLOOKUP($H148,ERP!$H:$AP,34,0)</f>
        <v>BHAGIESH P (CHKD)</v>
      </c>
    </row>
    <row r="149" customHeight="1" spans="1:26">
      <c r="A149" s="56">
        <v>148</v>
      </c>
      <c r="B149" s="214" t="s">
        <v>1221</v>
      </c>
      <c r="C149" s="214" t="s">
        <v>1222</v>
      </c>
      <c r="D149" s="214" t="s">
        <v>1223</v>
      </c>
      <c r="E149" s="214" t="s">
        <v>1224</v>
      </c>
      <c r="F149" s="214" t="s">
        <v>1225</v>
      </c>
      <c r="G149" s="233">
        <v>46107</v>
      </c>
      <c r="H149" s="214">
        <v>2566581936</v>
      </c>
      <c r="I149" s="214" t="s">
        <v>1226</v>
      </c>
      <c r="J149" s="214" t="s">
        <v>1016</v>
      </c>
      <c r="K149" s="214" t="s">
        <v>520</v>
      </c>
      <c r="L149" s="231" t="s">
        <v>246</v>
      </c>
      <c r="M149" s="215" t="str">
        <f>VLOOKUP($L149,Emp!$A:$F,2,0)</f>
        <v>RAHUL P R</v>
      </c>
      <c r="N149" s="215" t="str">
        <f>VLOOKUP($L149,Emp!$A:$F,3,0)</f>
        <v>NEXA COCHIN</v>
      </c>
      <c r="O149" s="215" t="str">
        <f>VLOOKUP($L149,Emp!$A:$F,4,0)</f>
        <v>NEXA COCHIN</v>
      </c>
      <c r="P149" s="214" t="s">
        <v>355</v>
      </c>
      <c r="Q149" s="56" t="s">
        <v>355</v>
      </c>
      <c r="R149" s="56" t="s">
        <v>355</v>
      </c>
      <c r="S149" s="56" t="s">
        <v>356</v>
      </c>
      <c r="T149" s="236" t="str">
        <f>IF(_xlfn.XLOOKUP(F149,IH!Y:Y,IH!AA:AA,"")="MAPPED","MAPPED","")</f>
        <v/>
      </c>
      <c r="U149" s="237" t="str">
        <f>IFERROR(VLOOKUP(H149,IH!C:T,18,0),"")</f>
        <v/>
      </c>
      <c r="V149" s="237" t="str">
        <f t="shared" si="13"/>
        <v/>
      </c>
      <c r="W149" s="221" t="str">
        <f>IFERROR(VLOOKUP(H149,IH!C:X,14,0),"")</f>
        <v/>
      </c>
      <c r="X149" s="215" t="str">
        <f>VLOOKUP($L149,Emp!$A:$F,5,0)</f>
        <v>WILSON</v>
      </c>
      <c r="Y149" s="239" t="str">
        <f>VLOOKUP($H149,ERP!$H:$AP,33,0)</f>
        <v>MARY SHANI M S(C26704),</v>
      </c>
      <c r="Z149" s="239" t="str">
        <f>VLOOKUP($H149,ERP!$H:$AP,34,0)</f>
        <v>NISHAD K S (NEXA.502)</v>
      </c>
    </row>
    <row r="150" hidden="1" customHeight="1" spans="1:26">
      <c r="A150" s="56">
        <v>149</v>
      </c>
      <c r="B150" s="214" t="s">
        <v>1227</v>
      </c>
      <c r="C150" s="214" t="s">
        <v>1228</v>
      </c>
      <c r="D150" s="214">
        <v>479583</v>
      </c>
      <c r="E150" s="214">
        <v>1433335</v>
      </c>
      <c r="F150" s="214" t="s">
        <v>1229</v>
      </c>
      <c r="G150" s="233">
        <v>46107</v>
      </c>
      <c r="H150" s="214">
        <v>2567463171</v>
      </c>
      <c r="I150" s="214" t="s">
        <v>1230</v>
      </c>
      <c r="J150" s="214" t="s">
        <v>434</v>
      </c>
      <c r="K150" s="214" t="s">
        <v>435</v>
      </c>
      <c r="L150" s="231" t="s">
        <v>103</v>
      </c>
      <c r="M150" s="215" t="str">
        <f>VLOOKUP($L150,Emp!$A:$F,2,0)</f>
        <v>BINOY RAJ</v>
      </c>
      <c r="N150" s="215" t="str">
        <f>VLOOKUP($L150,Emp!$A:$F,3,0)</f>
        <v>KODUNGALLUR</v>
      </c>
      <c r="O150" s="215" t="str">
        <f>VLOOKUP($L150,Emp!$A:$F,4,0)</f>
        <v>ARENA</v>
      </c>
      <c r="P150" s="214" t="s">
        <v>385</v>
      </c>
      <c r="Q150" s="56" t="s">
        <v>386</v>
      </c>
      <c r="R150" s="56" t="s">
        <v>51</v>
      </c>
      <c r="S150" s="56" t="s">
        <v>367</v>
      </c>
      <c r="T150" s="236" t="str">
        <f>IF(_xlfn.XLOOKUP(F150,IH!Y:Y,IH!AA:AA,"")="MAPPED","MAPPED","")</f>
        <v>MAPPED</v>
      </c>
      <c r="U150" s="237" t="str">
        <f>IFERROR(VLOOKUP(H150,IH!C:T,18,0),"")</f>
        <v>MSSF DISBURSED</v>
      </c>
      <c r="V150" s="237" t="str">
        <f t="shared" si="13"/>
        <v>DISBURSED</v>
      </c>
      <c r="W150" s="221">
        <f>IFERROR(VLOOKUP(H150,IH!C:X,14,0),"")</f>
        <v>46104</v>
      </c>
      <c r="X150" s="215" t="str">
        <f>VLOOKUP($L150,Emp!$A:$F,5,0)</f>
        <v>JINEESH</v>
      </c>
      <c r="Y150" s="239" t="str">
        <f>VLOOKUP($H150,ERP!$H:$AP,33,0)</f>
        <v>VIPIN K G (C21667),</v>
      </c>
      <c r="Z150" s="239" t="str">
        <f>VLOOKUP($H150,ERP!$H:$AP,34,0)</f>
        <v>BINOY(KDLR)</v>
      </c>
    </row>
    <row r="151" hidden="1" customHeight="1" spans="1:26">
      <c r="A151" s="56">
        <v>150</v>
      </c>
      <c r="B151" s="214" t="s">
        <v>1231</v>
      </c>
      <c r="C151" s="214" t="s">
        <v>1232</v>
      </c>
      <c r="D151" s="214">
        <v>174172</v>
      </c>
      <c r="E151" s="214" t="s">
        <v>1233</v>
      </c>
      <c r="F151" s="214" t="s">
        <v>1234</v>
      </c>
      <c r="G151" s="233">
        <v>46107</v>
      </c>
      <c r="H151" s="214">
        <v>2567569434</v>
      </c>
      <c r="I151" s="214" t="s">
        <v>1235</v>
      </c>
      <c r="J151" s="214" t="s">
        <v>353</v>
      </c>
      <c r="K151" s="214" t="s">
        <v>631</v>
      </c>
      <c r="L151" s="231" t="s">
        <v>189</v>
      </c>
      <c r="M151" s="215" t="str">
        <f>VLOOKUP($L151,Emp!$A:$F,2,0)</f>
        <v>KASI VISWANATH</v>
      </c>
      <c r="N151" s="215" t="str">
        <f>VLOOKUP($L151,Emp!$A:$F,3,0)</f>
        <v>KAIPAMANGALAM</v>
      </c>
      <c r="O151" s="215" t="str">
        <f>VLOOKUP($L151,Emp!$A:$F,4,0)</f>
        <v>ARENA</v>
      </c>
      <c r="P151" s="214" t="s">
        <v>1017</v>
      </c>
      <c r="Q151" s="56" t="s">
        <v>1018</v>
      </c>
      <c r="R151" s="56" t="s">
        <v>51</v>
      </c>
      <c r="S151" s="56" t="s">
        <v>367</v>
      </c>
      <c r="T151" s="236" t="str">
        <f>IF(_xlfn.XLOOKUP(F151,IH!Y:Y,IH!AA:AA,"")="MAPPED","MAPPED","")</f>
        <v/>
      </c>
      <c r="U151" s="237" t="str">
        <f>IFERROR(VLOOKUP(H151,IH!C:T,18,0),"")</f>
        <v/>
      </c>
      <c r="V151" s="237" t="str">
        <f t="shared" si="13"/>
        <v/>
      </c>
      <c r="W151" s="221" t="str">
        <f>IFERROR(VLOOKUP(H151,IH!C:X,14,0),"")</f>
        <v/>
      </c>
      <c r="X151" s="215" t="str">
        <f>VLOOKUP($L151,Emp!$A:$F,5,0)</f>
        <v>JINEESH</v>
      </c>
      <c r="Y151" s="239" t="str">
        <f>VLOOKUP($H151,ERP!$H:$AP,33,0)</f>
        <v>JITHIN K ANAND(C26246),</v>
      </c>
      <c r="Z151" s="239" t="str">
        <f>VLOOKUP($H151,ERP!$H:$AP,34,0)</f>
        <v>KASI VISWANATH K M</v>
      </c>
    </row>
    <row r="152" hidden="1" customHeight="1" spans="1:26">
      <c r="A152" s="56">
        <v>151</v>
      </c>
      <c r="B152" s="214" t="s">
        <v>1236</v>
      </c>
      <c r="C152" s="214" t="s">
        <v>1237</v>
      </c>
      <c r="D152" s="214" t="s">
        <v>1238</v>
      </c>
      <c r="E152" s="214" t="s">
        <v>1239</v>
      </c>
      <c r="F152" s="214" t="s">
        <v>1240</v>
      </c>
      <c r="G152" s="233">
        <v>46107</v>
      </c>
      <c r="H152" s="214">
        <v>2567400760</v>
      </c>
      <c r="I152" s="214" t="s">
        <v>1241</v>
      </c>
      <c r="J152" s="214" t="s">
        <v>1016</v>
      </c>
      <c r="K152" s="214" t="s">
        <v>520</v>
      </c>
      <c r="L152" s="231" t="s">
        <v>214</v>
      </c>
      <c r="M152" s="215" t="str">
        <f>VLOOKUP($L152,Emp!$A:$F,2,0)</f>
        <v>VIBIN I B</v>
      </c>
      <c r="N152" s="215" t="str">
        <f>VLOOKUP($L152,Emp!$A:$F,3,0)</f>
        <v>KAIPAMANGALAM</v>
      </c>
      <c r="O152" s="215" t="str">
        <f>VLOOKUP($L152,Emp!$A:$F,4,0)</f>
        <v>ARENA</v>
      </c>
      <c r="P152" s="214" t="s">
        <v>632</v>
      </c>
      <c r="Q152" s="56" t="s">
        <v>633</v>
      </c>
      <c r="R152" s="56" t="s">
        <v>378</v>
      </c>
      <c r="S152" s="56" t="s">
        <v>356</v>
      </c>
      <c r="T152" s="236" t="str">
        <f>IF(_xlfn.XLOOKUP(F152,IH!Y:Y,IH!AA:AA,"")="MAPPED","MAPPED","")</f>
        <v/>
      </c>
      <c r="U152" s="237" t="str">
        <f>IFERROR(VLOOKUP(H152,IH!C:T,18,0),"")</f>
        <v/>
      </c>
      <c r="V152" s="237" t="str">
        <f t="shared" si="13"/>
        <v/>
      </c>
      <c r="W152" s="221" t="str">
        <f>IFERROR(VLOOKUP(H152,IH!C:X,14,0),"")</f>
        <v/>
      </c>
      <c r="X152" s="215" t="str">
        <f>VLOOKUP($L152,Emp!$A:$F,5,0)</f>
        <v>JINEESH</v>
      </c>
      <c r="Y152" s="239" t="str">
        <f>VLOOKUP($H152,ERP!$H:$AP,33,0)</f>
        <v>ADWAIDH (C26282),</v>
      </c>
      <c r="Z152" s="239" t="str">
        <f>VLOOKUP($H152,ERP!$H:$AP,34,0)</f>
        <v>VIBIN I B(KPLM)</v>
      </c>
    </row>
    <row r="153" hidden="1" customHeight="1" spans="1:26">
      <c r="A153" s="56">
        <v>152</v>
      </c>
      <c r="B153" s="214" t="s">
        <v>1242</v>
      </c>
      <c r="C153" s="214" t="s">
        <v>1243</v>
      </c>
      <c r="D153" s="214">
        <v>174228</v>
      </c>
      <c r="E153" s="214" t="s">
        <v>1244</v>
      </c>
      <c r="F153" s="214" t="s">
        <v>1245</v>
      </c>
      <c r="G153" s="233">
        <v>46107</v>
      </c>
      <c r="H153" s="214">
        <v>2567824335</v>
      </c>
      <c r="I153" s="214" t="s">
        <v>1246</v>
      </c>
      <c r="J153" s="214" t="s">
        <v>353</v>
      </c>
      <c r="K153" s="214" t="s">
        <v>631</v>
      </c>
      <c r="L153" s="231" t="s">
        <v>55</v>
      </c>
      <c r="M153" s="215" t="str">
        <f>VLOOKUP($L153,Emp!$A:$F,2,0)</f>
        <v>ELDHO A JACOB</v>
      </c>
      <c r="N153" s="215" t="str">
        <f>VLOOKUP($L153,Emp!$A:$F,3,0)</f>
        <v>ANGAMALY</v>
      </c>
      <c r="O153" s="215" t="str">
        <f>VLOOKUP($L153,Emp!$A:$F,4,0)</f>
        <v>ARENA</v>
      </c>
      <c r="P153" s="214" t="s">
        <v>355</v>
      </c>
      <c r="Q153" s="56" t="s">
        <v>355</v>
      </c>
      <c r="R153" s="56" t="s">
        <v>355</v>
      </c>
      <c r="S153" s="56" t="s">
        <v>356</v>
      </c>
      <c r="T153" s="236" t="str">
        <f>IF(_xlfn.XLOOKUP(F153,IH!Y:Y,IH!AA:AA,"")="MAPPED","MAPPED","")</f>
        <v/>
      </c>
      <c r="U153" s="237" t="str">
        <f>IFERROR(VLOOKUP(H153,IH!C:T,18,0),"")</f>
        <v/>
      </c>
      <c r="V153" s="237" t="str">
        <f t="shared" si="13"/>
        <v/>
      </c>
      <c r="W153" s="221" t="str">
        <f>IFERROR(VLOOKUP(H153,IH!C:X,14,0),"")</f>
        <v/>
      </c>
      <c r="X153" s="215" t="str">
        <f>VLOOKUP($L153,Emp!$A:$F,5,0)</f>
        <v>SALMAN</v>
      </c>
      <c r="Y153" s="239" t="str">
        <f>VLOOKUP($H153,ERP!$H:$AP,33,0)</f>
        <v>B, Mr. PRAVEEN</v>
      </c>
      <c r="Z153" s="239" t="str">
        <f>VLOOKUP($H153,ERP!$H:$AP,34,0)</f>
        <v>ELDHO A JACOB</v>
      </c>
    </row>
    <row r="154" hidden="1" customHeight="1" spans="1:26">
      <c r="A154" s="56">
        <v>153</v>
      </c>
      <c r="B154" s="214" t="s">
        <v>1247</v>
      </c>
      <c r="C154" s="214" t="s">
        <v>1248</v>
      </c>
      <c r="D154" s="214" t="s">
        <v>1249</v>
      </c>
      <c r="E154" s="214">
        <v>9258739</v>
      </c>
      <c r="F154" s="214" t="s">
        <v>1250</v>
      </c>
      <c r="G154" s="233">
        <v>46108</v>
      </c>
      <c r="H154" s="214">
        <v>2567626268</v>
      </c>
      <c r="I154" s="214" t="s">
        <v>1251</v>
      </c>
      <c r="J154" s="214" t="s">
        <v>1016</v>
      </c>
      <c r="K154" s="214" t="s">
        <v>742</v>
      </c>
      <c r="L154" s="231" t="s">
        <v>160</v>
      </c>
      <c r="M154" s="215" t="str">
        <f>VLOOKUP($L154,Emp!$A:$F,2,0)</f>
        <v>SIJO VARGHESE GEORGE</v>
      </c>
      <c r="N154" s="215" t="str">
        <f>VLOOKUP($L154,Emp!$A:$F,3,0)</f>
        <v>PERUMBAVOOR</v>
      </c>
      <c r="O154" s="215" t="str">
        <f>VLOOKUP($L154,Emp!$A:$F,4,0)</f>
        <v>ARENA</v>
      </c>
      <c r="P154" s="214" t="s">
        <v>436</v>
      </c>
      <c r="Q154" s="56" t="s">
        <v>437</v>
      </c>
      <c r="R154" s="56" t="s">
        <v>51</v>
      </c>
      <c r="S154" s="56" t="s">
        <v>367</v>
      </c>
      <c r="T154" s="236" t="str">
        <f>IF(_xlfn.XLOOKUP(F154,IH!Y:Y,IH!AA:AA,"")="MAPPED","MAPPED","")</f>
        <v>MAPPED</v>
      </c>
      <c r="U154" s="237" t="str">
        <f>IFERROR(VLOOKUP(H154,IH!C:T,18,0),"")</f>
        <v>MSSF DISBURSED</v>
      </c>
      <c r="V154" s="237" t="str">
        <f t="shared" ref="V154:V164" si="14">IF(W154&lt;&gt;"","DISBURSED","")</f>
        <v>DISBURSED</v>
      </c>
      <c r="W154" s="221">
        <f>IFERROR(VLOOKUP(H154,IH!C:X,14,0),"")</f>
        <v>46107</v>
      </c>
      <c r="X154" s="215" t="str">
        <f>VLOOKUP($L154,Emp!$A:$F,5,0)</f>
        <v>SALMAN</v>
      </c>
      <c r="Y154" s="239" t="str">
        <f>VLOOKUP($H154,ERP!$H:$AP,33,0)</f>
        <v>VISHNU RAJU (C25990),</v>
      </c>
      <c r="Z154" s="239" t="str">
        <f>VLOOKUP($H154,ERP!$H:$AP,34,0)</f>
        <v>SIJO VARGHESE GEORGE (PBVR)</v>
      </c>
    </row>
    <row r="155" hidden="1" customHeight="1" spans="1:26">
      <c r="A155" s="56">
        <v>154</v>
      </c>
      <c r="B155" s="214" t="s">
        <v>730</v>
      </c>
      <c r="C155" s="214" t="s">
        <v>1252</v>
      </c>
      <c r="D155" s="214" t="s">
        <v>1253</v>
      </c>
      <c r="E155" s="214" t="s">
        <v>1254</v>
      </c>
      <c r="F155" s="214" t="s">
        <v>1255</v>
      </c>
      <c r="G155" s="233">
        <v>46108</v>
      </c>
      <c r="H155" s="214">
        <v>2567580221</v>
      </c>
      <c r="I155" s="214" t="s">
        <v>201</v>
      </c>
      <c r="J155" s="214" t="s">
        <v>363</v>
      </c>
      <c r="K155" s="214" t="s">
        <v>364</v>
      </c>
      <c r="L155" s="231" t="s">
        <v>85</v>
      </c>
      <c r="M155" s="215" t="str">
        <f>VLOOKUP($L155,Emp!$A:$F,2,0)</f>
        <v>REJIM GEORGE</v>
      </c>
      <c r="N155" s="215" t="str">
        <f>VLOOKUP($L155,Emp!$A:$F,3,0)</f>
        <v>FORTKOCHI</v>
      </c>
      <c r="O155" s="215" t="str">
        <f>VLOOKUP($L155,Emp!$A:$F,4,0)</f>
        <v>ARENA</v>
      </c>
      <c r="P155" s="214" t="s">
        <v>611</v>
      </c>
      <c r="Q155" s="56" t="s">
        <v>612</v>
      </c>
      <c r="R155" s="56" t="s">
        <v>378</v>
      </c>
      <c r="S155" s="56" t="s">
        <v>356</v>
      </c>
      <c r="T155" s="236" t="str">
        <f>IF(_xlfn.XLOOKUP(F155,IH!Y:Y,IH!AA:AA,"")="MAPPED","MAPPED","")</f>
        <v/>
      </c>
      <c r="U155" s="237" t="str">
        <f>IFERROR(VLOOKUP(H155,IH!C:T,18,0),"")</f>
        <v/>
      </c>
      <c r="V155" s="237" t="str">
        <f t="shared" si="14"/>
        <v/>
      </c>
      <c r="W155" s="221" t="str">
        <f>IFERROR(VLOOKUP(H155,IH!C:X,14,0),"")</f>
        <v/>
      </c>
      <c r="X155" s="215" t="str">
        <f>VLOOKUP($L155,Emp!$A:$F,5,0)</f>
        <v>SIVAPRASAD</v>
      </c>
      <c r="Y155" s="239" t="str">
        <f>VLOOKUP($H155,ERP!$H:$AP,33,0)</f>
        <v>CHANCHAL K G,</v>
      </c>
      <c r="Z155" s="239" t="str">
        <f>VLOOKUP($H155,ERP!$H:$AP,34,0)</f>
        <v>REGIM GEORGE</v>
      </c>
    </row>
    <row r="156" hidden="1" customHeight="1" spans="1:26">
      <c r="A156" s="56">
        <v>155</v>
      </c>
      <c r="B156" s="214" t="s">
        <v>1256</v>
      </c>
      <c r="C156" s="214" t="s">
        <v>1257</v>
      </c>
      <c r="D156" s="214">
        <v>159167</v>
      </c>
      <c r="E156" s="214" t="s">
        <v>1258</v>
      </c>
      <c r="F156" s="214" t="s">
        <v>1259</v>
      </c>
      <c r="G156" s="233">
        <v>46108</v>
      </c>
      <c r="H156" s="214">
        <v>2567773859</v>
      </c>
      <c r="I156" s="214" t="s">
        <v>1260</v>
      </c>
      <c r="J156" s="214" t="s">
        <v>353</v>
      </c>
      <c r="K156" s="214" t="s">
        <v>807</v>
      </c>
      <c r="L156" s="231" t="s">
        <v>61</v>
      </c>
      <c r="M156" s="215" t="str">
        <f>VLOOKUP($L156,Emp!$A:$F,2,0)</f>
        <v>BHAGIESH</v>
      </c>
      <c r="N156" s="215" t="str">
        <f>VLOOKUP($L156,Emp!$A:$F,3,0)</f>
        <v>CHAVAKKAD</v>
      </c>
      <c r="O156" s="215" t="str">
        <f>VLOOKUP($L156,Emp!$A:$F,4,0)</f>
        <v>ARENA</v>
      </c>
      <c r="P156" s="214" t="s">
        <v>385</v>
      </c>
      <c r="Q156" s="56" t="s">
        <v>386</v>
      </c>
      <c r="R156" s="56" t="s">
        <v>51</v>
      </c>
      <c r="S156" s="56" t="s">
        <v>356</v>
      </c>
      <c r="T156" s="236" t="str">
        <f>IF(_xlfn.XLOOKUP(F156,IH!Y:Y,IH!AA:AA,"")="MAPPED","MAPPED","")</f>
        <v/>
      </c>
      <c r="U156" s="237" t="str">
        <f>IFERROR(VLOOKUP(H156,IH!C:T,18,0),"")</f>
        <v>NO</v>
      </c>
      <c r="V156" s="237" t="str">
        <f t="shared" si="14"/>
        <v>DISBURSED</v>
      </c>
      <c r="W156" s="221">
        <f>IFERROR(VLOOKUP(H156,IH!C:X,14,0),"")</f>
        <v>46107</v>
      </c>
      <c r="X156" s="215" t="str">
        <f>VLOOKUP($L156,Emp!$A:$F,5,0)</f>
        <v>SINTO</v>
      </c>
      <c r="Y156" s="239" t="str">
        <f>VLOOKUP($H156,ERP!$H:$AP,33,0)</f>
        <v>JITHIN  CHANDRAN K C, Mr.</v>
      </c>
      <c r="Z156" s="239" t="str">
        <f>VLOOKUP($H156,ERP!$H:$AP,34,0)</f>
        <v>BHAGIESH P (CHKD)</v>
      </c>
    </row>
    <row r="157" customHeight="1" spans="1:26">
      <c r="A157" s="56">
        <v>156</v>
      </c>
      <c r="B157" s="214" t="s">
        <v>1261</v>
      </c>
      <c r="C157" s="214" t="s">
        <v>1262</v>
      </c>
      <c r="D157" s="214">
        <v>782206</v>
      </c>
      <c r="E157" s="214">
        <v>7942706</v>
      </c>
      <c r="F157" s="214" t="s">
        <v>1263</v>
      </c>
      <c r="G157" s="233">
        <v>46108</v>
      </c>
      <c r="H157" s="214">
        <v>2567485032</v>
      </c>
      <c r="I157" s="214" t="s">
        <v>1264</v>
      </c>
      <c r="J157" s="214" t="s">
        <v>463</v>
      </c>
      <c r="K157" s="214" t="s">
        <v>760</v>
      </c>
      <c r="L157" s="231" t="s">
        <v>151</v>
      </c>
      <c r="M157" s="215" t="str">
        <f>VLOOKUP($L157,Emp!$A:$F,2,0)</f>
        <v>SANDEEP P</v>
      </c>
      <c r="N157" s="215" t="str">
        <f>VLOOKUP($L157,Emp!$A:$F,3,0)</f>
        <v>NEXA COCHIN</v>
      </c>
      <c r="O157" s="215" t="str">
        <f>VLOOKUP($L157,Emp!$A:$F,4,0)</f>
        <v>NEXA COCHIN</v>
      </c>
      <c r="P157" s="214" t="s">
        <v>611</v>
      </c>
      <c r="Q157" s="56" t="s">
        <v>612</v>
      </c>
      <c r="R157" s="56" t="s">
        <v>51</v>
      </c>
      <c r="S157" s="56" t="s">
        <v>367</v>
      </c>
      <c r="T157" s="236" t="str">
        <f>IF(_xlfn.XLOOKUP(F157,IH!Y:Y,IH!AA:AA,"")="MAPPED","MAPPED","")</f>
        <v/>
      </c>
      <c r="U157" s="237" t="str">
        <f>IFERROR(VLOOKUP(H157,IH!C:T,18,0),"")</f>
        <v>MSSF LOGIN</v>
      </c>
      <c r="V157" s="237" t="str">
        <f t="shared" si="14"/>
        <v>DISBURSED</v>
      </c>
      <c r="W157" s="221">
        <f>IFERROR(VLOOKUP(H157,IH!C:X,14,0),"")</f>
        <v>46107</v>
      </c>
      <c r="X157" s="215" t="str">
        <f>VLOOKUP($L157,Emp!$A:$F,5,0)</f>
        <v>WILSON</v>
      </c>
      <c r="Y157" s="239" t="str">
        <f>VLOOKUP($H157,ERP!$H:$AP,33,0)</f>
        <v>ARUN VISWANATH (C24789),</v>
      </c>
      <c r="Z157" s="239" t="str">
        <f>VLOOKUP($H157,ERP!$H:$AP,34,0)</f>
        <v>SANDEEP P (NEXA 502)</v>
      </c>
    </row>
    <row r="158" customHeight="1" spans="1:26">
      <c r="A158" s="56">
        <v>157</v>
      </c>
      <c r="B158" s="214" t="s">
        <v>1265</v>
      </c>
      <c r="C158" s="214" t="s">
        <v>1266</v>
      </c>
      <c r="D158" s="214" t="s">
        <v>1267</v>
      </c>
      <c r="E158" s="214">
        <v>9261627</v>
      </c>
      <c r="F158" s="214" t="s">
        <v>1268</v>
      </c>
      <c r="G158" s="233">
        <v>46108</v>
      </c>
      <c r="H158" s="214">
        <v>2567524037</v>
      </c>
      <c r="I158" s="214" t="s">
        <v>1269</v>
      </c>
      <c r="J158" s="214" t="s">
        <v>1016</v>
      </c>
      <c r="K158" s="214" t="s">
        <v>490</v>
      </c>
      <c r="L158" s="231" t="s">
        <v>197</v>
      </c>
      <c r="M158" s="215" t="str">
        <f>VLOOKUP($L158,Emp!$A:$F,2,0)</f>
        <v>GEORGE KUTTAN JOY</v>
      </c>
      <c r="N158" s="215" t="str">
        <f>VLOOKUP($L158,Emp!$A:$F,3,0)</f>
        <v>NEXA COCHIN</v>
      </c>
      <c r="O158" s="215" t="str">
        <f>VLOOKUP($L158,Emp!$A:$F,4,0)</f>
        <v>NEXA COCHIN</v>
      </c>
      <c r="P158" s="214" t="s">
        <v>355</v>
      </c>
      <c r="Q158" s="56" t="s">
        <v>355</v>
      </c>
      <c r="R158" s="56" t="s">
        <v>355</v>
      </c>
      <c r="S158" s="56" t="s">
        <v>356</v>
      </c>
      <c r="T158" s="236" t="str">
        <f>IF(_xlfn.XLOOKUP(F158,IH!Y:Y,IH!AA:AA,"")="MAPPED","MAPPED","")</f>
        <v/>
      </c>
      <c r="U158" s="237" t="str">
        <f>IFERROR(VLOOKUP(H158,IH!C:T,18,0),"")</f>
        <v/>
      </c>
      <c r="V158" s="237" t="str">
        <f t="shared" si="14"/>
        <v/>
      </c>
      <c r="W158" s="221" t="str">
        <f>IFERROR(VLOOKUP(H158,IH!C:X,14,0),"")</f>
        <v/>
      </c>
      <c r="X158" s="215" t="str">
        <f>VLOOKUP($L158,Emp!$A:$F,5,0)</f>
        <v>WILSON</v>
      </c>
      <c r="Y158" s="239" t="str">
        <f>VLOOKUP($H158,ERP!$H:$AP,33,0)</f>
        <v>MUHAMMED USMAN F(C26206),</v>
      </c>
      <c r="Z158" s="239" t="str">
        <f>VLOOKUP($H158,ERP!$H:$AP,34,0)</f>
        <v>GEORGE KUTTAN JOY ((NEXA 502))</v>
      </c>
    </row>
    <row r="159" hidden="1" customHeight="1" spans="1:26">
      <c r="A159" s="56">
        <v>158</v>
      </c>
      <c r="B159" s="214" t="s">
        <v>1270</v>
      </c>
      <c r="C159" s="214" t="s">
        <v>1271</v>
      </c>
      <c r="D159" s="214" t="s">
        <v>1272</v>
      </c>
      <c r="E159" s="214">
        <v>1434651</v>
      </c>
      <c r="F159" s="214" t="s">
        <v>1273</v>
      </c>
      <c r="G159" s="233">
        <v>46108</v>
      </c>
      <c r="H159" s="214">
        <v>2567827802</v>
      </c>
      <c r="I159" s="214" t="s">
        <v>1274</v>
      </c>
      <c r="J159" s="214" t="s">
        <v>1016</v>
      </c>
      <c r="K159" s="214" t="s">
        <v>784</v>
      </c>
      <c r="L159" s="231" t="s">
        <v>165</v>
      </c>
      <c r="M159" s="215" t="str">
        <f>VLOOKUP($L159,Emp!$A:$F,2,0)</f>
        <v>JESTIN UTHUP JOHN</v>
      </c>
      <c r="N159" s="215" t="str">
        <f>VLOOKUP($L159,Emp!$A:$F,3,0)</f>
        <v>PIRAVOM</v>
      </c>
      <c r="O159" s="215" t="str">
        <f>VLOOKUP($L159,Emp!$A:$F,4,0)</f>
        <v>ARENA</v>
      </c>
      <c r="P159" s="214" t="s">
        <v>776</v>
      </c>
      <c r="Q159" s="56" t="s">
        <v>777</v>
      </c>
      <c r="R159" s="56" t="s">
        <v>51</v>
      </c>
      <c r="S159" s="56" t="s">
        <v>367</v>
      </c>
      <c r="T159" s="236" t="str">
        <f>IF(_xlfn.XLOOKUP(F159,IH!Y:Y,IH!AA:AA,"")="MAPPED","MAPPED","")</f>
        <v/>
      </c>
      <c r="U159" s="237" t="str">
        <f>IFERROR(VLOOKUP(H159,IH!C:T,18,0),"")</f>
        <v>MSSF DISBURSED</v>
      </c>
      <c r="V159" s="237" t="str">
        <f t="shared" si="14"/>
        <v>DISBURSED</v>
      </c>
      <c r="W159" s="221">
        <f>IFERROR(VLOOKUP(H159,IH!C:X,14,0),"")</f>
        <v>46106</v>
      </c>
      <c r="X159" s="215" t="str">
        <f>VLOOKUP($L159,Emp!$A:$F,5,0)</f>
        <v>AMAL</v>
      </c>
      <c r="Y159" s="239" t="str">
        <f>VLOOKUP($H159,ERP!$H:$AP,33,0)</f>
        <v>NA</v>
      </c>
      <c r="Z159" s="239" t="str">
        <f>VLOOKUP($H159,ERP!$H:$AP,34,0)</f>
        <v>NA</v>
      </c>
    </row>
    <row r="160" hidden="1" customHeight="1" spans="1:26">
      <c r="A160" s="56">
        <v>159</v>
      </c>
      <c r="B160" s="214" t="s">
        <v>1275</v>
      </c>
      <c r="C160" s="214" t="s">
        <v>1276</v>
      </c>
      <c r="D160" s="214">
        <v>477679</v>
      </c>
      <c r="E160" s="214">
        <v>1431294</v>
      </c>
      <c r="F160" s="214" t="s">
        <v>1277</v>
      </c>
      <c r="G160" s="233">
        <v>46108</v>
      </c>
      <c r="H160" s="214">
        <v>2566753636</v>
      </c>
      <c r="I160" s="214" t="s">
        <v>1278</v>
      </c>
      <c r="J160" s="214" t="s">
        <v>1279</v>
      </c>
      <c r="K160" s="214" t="s">
        <v>1280</v>
      </c>
      <c r="L160" s="231" t="s">
        <v>67</v>
      </c>
      <c r="M160" s="215" t="str">
        <f>VLOOKUP($L160,Emp!$A:$F,2,0)</f>
        <v>ABHILASH K P</v>
      </c>
      <c r="N160" s="215" t="str">
        <f>VLOOKUP($L160,Emp!$A:$F,3,0)</f>
        <v>EDAPPALLY</v>
      </c>
      <c r="O160" s="215" t="str">
        <f>VLOOKUP($L160,Emp!$A:$F,4,0)</f>
        <v>ARENA</v>
      </c>
      <c r="P160" s="214" t="s">
        <v>355</v>
      </c>
      <c r="Q160" s="56" t="s">
        <v>355</v>
      </c>
      <c r="R160" s="56" t="s">
        <v>355</v>
      </c>
      <c r="S160" s="56" t="s">
        <v>356</v>
      </c>
      <c r="T160" s="236" t="str">
        <f>IF(_xlfn.XLOOKUP(F160,IH!Y:Y,IH!AA:AA,"")="MAPPED","MAPPED","")</f>
        <v/>
      </c>
      <c r="U160" s="237" t="str">
        <f>IFERROR(VLOOKUP(H160,IH!C:T,18,0),"")</f>
        <v/>
      </c>
      <c r="V160" s="237" t="str">
        <f t="shared" si="14"/>
        <v/>
      </c>
      <c r="W160" s="221" t="str">
        <f>IFERROR(VLOOKUP(H160,IH!C:X,14,0),"")</f>
        <v/>
      </c>
      <c r="X160" s="215" t="str">
        <f>VLOOKUP($L160,Emp!$A:$F,5,0)</f>
        <v>SIVAPRASAD</v>
      </c>
      <c r="Y160" s="239" t="str">
        <f>VLOOKUP($H160,ERP!$H:$AP,33,0)</f>
        <v>MANOJ C S (C20619), Mr.</v>
      </c>
      <c r="Z160" s="239" t="str">
        <f>VLOOKUP($H160,ERP!$H:$AP,34,0)</f>
        <v>ABHILASH K P (C21618)</v>
      </c>
    </row>
    <row r="161" hidden="1" customHeight="1" spans="1:26">
      <c r="A161" s="56">
        <v>160</v>
      </c>
      <c r="B161" s="214" t="s">
        <v>1281</v>
      </c>
      <c r="C161" s="214" t="s">
        <v>1282</v>
      </c>
      <c r="D161" s="214">
        <v>431219</v>
      </c>
      <c r="E161" s="214" t="s">
        <v>1283</v>
      </c>
      <c r="F161" s="214" t="s">
        <v>1284</v>
      </c>
      <c r="G161" s="233">
        <v>46108</v>
      </c>
      <c r="H161" s="214">
        <v>2566430030</v>
      </c>
      <c r="I161" s="214" t="s">
        <v>1285</v>
      </c>
      <c r="J161" s="214" t="s">
        <v>443</v>
      </c>
      <c r="K161" s="214" t="s">
        <v>444</v>
      </c>
      <c r="L161" s="231" t="s">
        <v>213</v>
      </c>
      <c r="M161" s="215" t="str">
        <f>VLOOKUP($L161,Emp!$A:$F,2,0)</f>
        <v>SIVAPRAKASH K S</v>
      </c>
      <c r="N161" s="215" t="str">
        <f>VLOOKUP($L161,Emp!$A:$F,3,0)</f>
        <v>THRISSUR</v>
      </c>
      <c r="O161" s="215" t="str">
        <f>VLOOKUP($L161,Emp!$A:$F,4,0)</f>
        <v>ARENA</v>
      </c>
      <c r="P161" s="214" t="s">
        <v>365</v>
      </c>
      <c r="Q161" s="56" t="s">
        <v>366</v>
      </c>
      <c r="R161" s="56" t="s">
        <v>378</v>
      </c>
      <c r="S161" s="56" t="s">
        <v>356</v>
      </c>
      <c r="T161" s="236" t="str">
        <f>IF(_xlfn.XLOOKUP(F161,IH!Y:Y,IH!AA:AA,"")="MAPPED","MAPPED","")</f>
        <v/>
      </c>
      <c r="U161" s="237" t="str">
        <f>IFERROR(VLOOKUP(H161,IH!C:T,18,0),"")</f>
        <v/>
      </c>
      <c r="V161" s="237" t="str">
        <f t="shared" si="14"/>
        <v/>
      </c>
      <c r="W161" s="221" t="str">
        <f>IFERROR(VLOOKUP(H161,IH!C:X,14,0),"")</f>
        <v/>
      </c>
      <c r="X161" s="215" t="str">
        <f>VLOOKUP($L161,Emp!$A:$F,5,0)</f>
        <v>SINTO</v>
      </c>
      <c r="Y161" s="239" t="str">
        <f>VLOOKUP($H161,ERP!$H:$AP,33,0)</f>
        <v>SANJAY.M.G(C26392),</v>
      </c>
      <c r="Z161" s="239" t="str">
        <f>VLOOKUP($H161,ERP!$H:$AP,34,0)</f>
        <v>SIVAPRAKASH K.S.(TCR)</v>
      </c>
    </row>
    <row r="162" hidden="1" customHeight="1" spans="1:26">
      <c r="A162" s="56">
        <v>161</v>
      </c>
      <c r="B162" s="214" t="s">
        <v>1286</v>
      </c>
      <c r="C162" s="214" t="s">
        <v>1287</v>
      </c>
      <c r="D162" s="214">
        <v>476114</v>
      </c>
      <c r="E162" s="214">
        <v>1429281</v>
      </c>
      <c r="F162" s="214" t="s">
        <v>1288</v>
      </c>
      <c r="G162" s="233">
        <v>46108</v>
      </c>
      <c r="H162" s="214">
        <v>2567809659</v>
      </c>
      <c r="I162" s="214" t="s">
        <v>1289</v>
      </c>
      <c r="J162" s="214" t="s">
        <v>434</v>
      </c>
      <c r="K162" s="214" t="s">
        <v>471</v>
      </c>
      <c r="L162" s="231" t="s">
        <v>240</v>
      </c>
      <c r="M162" s="215" t="str">
        <f>VLOOKUP($L162,Emp!$A:$F,2,0)</f>
        <v>SACHIN</v>
      </c>
      <c r="N162" s="215" t="str">
        <f>VLOOKUP($L162,Emp!$A:$F,3,0)</f>
        <v>KODUNGALLUR</v>
      </c>
      <c r="O162" s="215" t="str">
        <f>VLOOKUP($L162,Emp!$A:$F,4,0)</f>
        <v>ARENA</v>
      </c>
      <c r="P162" s="214" t="s">
        <v>706</v>
      </c>
      <c r="Q162" s="56" t="s">
        <v>648</v>
      </c>
      <c r="R162" s="56" t="s">
        <v>51</v>
      </c>
      <c r="S162" s="56" t="s">
        <v>367</v>
      </c>
      <c r="T162" s="236" t="str">
        <f>IF(_xlfn.XLOOKUP(F162,IH!Y:Y,IH!AA:AA,"")="MAPPED","MAPPED","")</f>
        <v/>
      </c>
      <c r="U162" s="237" t="str">
        <f>IFERROR(VLOOKUP(H162,IH!C:T,18,0),"")</f>
        <v>MSSF DISBURSED</v>
      </c>
      <c r="V162" s="237" t="str">
        <f t="shared" si="14"/>
        <v>DISBURSED</v>
      </c>
      <c r="W162" s="221">
        <f>IFERROR(VLOOKUP(H162,IH!C:X,14,0),"")</f>
        <v>46109</v>
      </c>
      <c r="X162" s="215" t="str">
        <f>VLOOKUP($L162,Emp!$A:$F,5,0)</f>
        <v>JINEESH</v>
      </c>
      <c r="Y162" s="239" t="str">
        <f>VLOOKUP($H162,ERP!$H:$AP,33,0)</f>
        <v>NIDHIN K U(C26559),</v>
      </c>
      <c r="Z162" s="239" t="str">
        <f>VLOOKUP($H162,ERP!$H:$AP,34,0)</f>
        <v>SACHIN KRISHNA SAJEEV (KDLR)</v>
      </c>
    </row>
    <row r="163" hidden="1" customHeight="1" spans="1:26">
      <c r="A163" s="56">
        <v>162</v>
      </c>
      <c r="B163" s="214" t="s">
        <v>1290</v>
      </c>
      <c r="C163" s="214" t="s">
        <v>1291</v>
      </c>
      <c r="D163" s="214" t="s">
        <v>1292</v>
      </c>
      <c r="E163" s="214">
        <v>4598479</v>
      </c>
      <c r="F163" s="214" t="s">
        <v>1293</v>
      </c>
      <c r="G163" s="233">
        <v>46108</v>
      </c>
      <c r="H163" s="214">
        <v>2567200410</v>
      </c>
      <c r="I163" s="214" t="s">
        <v>1294</v>
      </c>
      <c r="J163" s="214" t="s">
        <v>639</v>
      </c>
      <c r="K163" s="214" t="s">
        <v>640</v>
      </c>
      <c r="L163" s="231" t="s">
        <v>91</v>
      </c>
      <c r="M163" s="215" t="str">
        <f>VLOOKUP($L163,Emp!$A:$F,2,0)</f>
        <v>SMITHIN P S</v>
      </c>
      <c r="N163" s="215" t="str">
        <f>VLOOKUP($L163,Emp!$A:$F,3,0)</f>
        <v>KAIPAMANGALAM</v>
      </c>
      <c r="O163" s="215" t="str">
        <f>VLOOKUP($L163,Emp!$A:$F,4,0)</f>
        <v>ARENA</v>
      </c>
      <c r="P163" s="214" t="s">
        <v>1017</v>
      </c>
      <c r="Q163" s="56" t="s">
        <v>1018</v>
      </c>
      <c r="R163" s="56" t="s">
        <v>378</v>
      </c>
      <c r="S163" s="56" t="s">
        <v>356</v>
      </c>
      <c r="T163" s="236" t="str">
        <f>IF(_xlfn.XLOOKUP(F163,IH!Y:Y,IH!AA:AA,"")="MAPPED","MAPPED","")</f>
        <v/>
      </c>
      <c r="U163" s="237" t="str">
        <f>IFERROR(VLOOKUP(H163,IH!C:T,18,0),"")</f>
        <v/>
      </c>
      <c r="V163" s="237" t="str">
        <f t="shared" si="14"/>
        <v/>
      </c>
      <c r="W163" s="221" t="str">
        <f>IFERROR(VLOOKUP(H163,IH!C:X,14,0),"")</f>
        <v/>
      </c>
      <c r="X163" s="215" t="str">
        <f>VLOOKUP($L163,Emp!$A:$F,5,0)</f>
        <v>JINEESH</v>
      </c>
      <c r="Y163" s="239" t="str">
        <f>VLOOKUP($H163,ERP!$H:$AP,33,0)</f>
        <v>ANADAKRISHANAN P A (C25203),</v>
      </c>
      <c r="Z163" s="239" t="str">
        <f>VLOOKUP($H163,ERP!$H:$AP,34,0)</f>
        <v>SMITHIN (KPLM)</v>
      </c>
    </row>
    <row r="164" hidden="1" customHeight="1" spans="1:26">
      <c r="A164" s="56">
        <v>163</v>
      </c>
      <c r="B164" s="214" t="s">
        <v>1295</v>
      </c>
      <c r="C164" s="214" t="s">
        <v>1296</v>
      </c>
      <c r="D164" s="214" t="s">
        <v>1297</v>
      </c>
      <c r="E164" s="214" t="s">
        <v>1298</v>
      </c>
      <c r="F164" s="214" t="s">
        <v>1299</v>
      </c>
      <c r="G164" s="233">
        <v>46108</v>
      </c>
      <c r="H164" s="214">
        <v>2567419125</v>
      </c>
      <c r="I164" s="214" t="s">
        <v>1300</v>
      </c>
      <c r="J164" s="214" t="s">
        <v>504</v>
      </c>
      <c r="K164" s="214" t="s">
        <v>905</v>
      </c>
      <c r="L164" s="231" t="s">
        <v>121</v>
      </c>
      <c r="M164" s="215" t="str">
        <f>VLOOKUP($L164,Emp!$A:$F,2,0)</f>
        <v>ARUN BABU</v>
      </c>
      <c r="N164" s="215" t="str">
        <f>VLOOKUP($L164,Emp!$A:$F,3,0)</f>
        <v>KOOTHATTUKULAM</v>
      </c>
      <c r="O164" s="215" t="str">
        <f>VLOOKUP($L164,Emp!$A:$F,4,0)</f>
        <v>ARENA</v>
      </c>
      <c r="P164" s="214" t="s">
        <v>423</v>
      </c>
      <c r="Q164" s="56" t="s">
        <v>1301</v>
      </c>
      <c r="R164" s="56" t="s">
        <v>51</v>
      </c>
      <c r="S164" s="56" t="s">
        <v>356</v>
      </c>
      <c r="T164" s="236" t="str">
        <f>IF(_xlfn.XLOOKUP(F164,IH!Y:Y,IH!AA:AA,"")="MAPPED","MAPPED","")</f>
        <v/>
      </c>
      <c r="U164" s="237" t="str">
        <f>IFERROR(VLOOKUP(H164,IH!C:T,18,0),"")</f>
        <v/>
      </c>
      <c r="V164" s="237" t="str">
        <f t="shared" si="14"/>
        <v/>
      </c>
      <c r="W164" s="221" t="str">
        <f>IFERROR(VLOOKUP(H164,IH!C:X,14,0),"")</f>
        <v/>
      </c>
      <c r="X164" s="215" t="str">
        <f>VLOOKUP($L164,Emp!$A:$F,5,0)</f>
        <v>AMAL</v>
      </c>
      <c r="Y164" s="239" t="str">
        <f>VLOOKUP($H164,ERP!$H:$AP,33,0)</f>
        <v>ROMINS GEORGE (C25808),</v>
      </c>
      <c r="Z164" s="239" t="str">
        <f>VLOOKUP($H164,ERP!$H:$AP,34,0)</f>
        <v>ARUN BABU(KTLM)</v>
      </c>
    </row>
    <row r="165" hidden="1" customHeight="1" spans="1:26">
      <c r="A165" s="56">
        <v>164</v>
      </c>
      <c r="B165" s="218" t="s">
        <v>1302</v>
      </c>
      <c r="C165" s="218" t="s">
        <v>1303</v>
      </c>
      <c r="D165" s="218" t="s">
        <v>1304</v>
      </c>
      <c r="E165" s="218" t="s">
        <v>1305</v>
      </c>
      <c r="F165" s="218" t="s">
        <v>1306</v>
      </c>
      <c r="G165" s="241">
        <v>46109</v>
      </c>
      <c r="H165" s="218">
        <v>2567830911</v>
      </c>
      <c r="I165" s="218" t="s">
        <v>1307</v>
      </c>
      <c r="J165" s="214" t="s">
        <v>363</v>
      </c>
      <c r="K165" s="218" t="s">
        <v>364</v>
      </c>
      <c r="L165" s="231" t="s">
        <v>165</v>
      </c>
      <c r="M165" s="215" t="str">
        <f>VLOOKUP($L165,Emp!$A:$F,2,0)</f>
        <v>JESTIN UTHUP JOHN</v>
      </c>
      <c r="N165" s="215" t="str">
        <f>VLOOKUP($L165,Emp!$A:$F,3,0)</f>
        <v>PIRAVOM</v>
      </c>
      <c r="O165" s="215" t="str">
        <f>VLOOKUP($L165,Emp!$A:$F,4,0)</f>
        <v>ARENA</v>
      </c>
      <c r="P165" s="218" t="s">
        <v>365</v>
      </c>
      <c r="Q165" s="56" t="s">
        <v>366</v>
      </c>
      <c r="R165" s="56" t="s">
        <v>51</v>
      </c>
      <c r="S165" s="56" t="s">
        <v>367</v>
      </c>
      <c r="T165" s="236" t="str">
        <f>IF(_xlfn.XLOOKUP(F165,IH!Y:Y,IH!AA:AA,"")="MAPPED","MAPPED","")</f>
        <v/>
      </c>
      <c r="U165" s="237" t="str">
        <f>IFERROR(VLOOKUP(H165,IH!C:T,18,0),"")</f>
        <v>NO</v>
      </c>
      <c r="V165" s="237" t="str">
        <f t="shared" ref="V165:V186" si="15">IF(W165&lt;&gt;"","DISBURSED","")</f>
        <v>DISBURSED</v>
      </c>
      <c r="W165" s="221">
        <f>IFERROR(VLOOKUP(H165,IH!C:X,14,0),"")</f>
        <v>46111</v>
      </c>
      <c r="X165" s="215" t="str">
        <f>VLOOKUP($L165,Emp!$A:$F,5,0)</f>
        <v>AMAL</v>
      </c>
      <c r="Y165" s="239" t="str">
        <f>VLOOKUP($H165,ERP!$H:$AP,33,0)</f>
        <v>LIPIN P PAUL (C22876),</v>
      </c>
      <c r="Z165" s="239" t="str">
        <f>VLOOKUP($H165,ERP!$H:$AP,34,0)</f>
        <v>JUSTIN UTHUP JOHN (PRVM)</v>
      </c>
    </row>
    <row r="166" hidden="1" customHeight="1" spans="1:26">
      <c r="A166" s="56">
        <v>165</v>
      </c>
      <c r="B166" s="218" t="s">
        <v>1308</v>
      </c>
      <c r="C166" s="218" t="s">
        <v>1309</v>
      </c>
      <c r="D166" s="218">
        <v>174312</v>
      </c>
      <c r="E166" s="218" t="s">
        <v>1310</v>
      </c>
      <c r="F166" s="218" t="s">
        <v>1311</v>
      </c>
      <c r="G166" s="241">
        <v>46109</v>
      </c>
      <c r="H166" s="218">
        <v>2567869296</v>
      </c>
      <c r="I166" s="218" t="s">
        <v>1312</v>
      </c>
      <c r="J166" s="218" t="s">
        <v>353</v>
      </c>
      <c r="K166" s="218" t="s">
        <v>631</v>
      </c>
      <c r="L166" s="231" t="s">
        <v>161</v>
      </c>
      <c r="M166" s="215" t="str">
        <f>VLOOKUP($L166,Emp!$A:$F,2,0)</f>
        <v>SIJO VARGHESE GEORGE</v>
      </c>
      <c r="N166" s="215" t="str">
        <f>VLOOKUP($L166,Emp!$A:$F,3,0)</f>
        <v>PERUMBAVOOR</v>
      </c>
      <c r="O166" s="215" t="str">
        <f>VLOOKUP($L166,Emp!$A:$F,4,0)</f>
        <v>ARENA</v>
      </c>
      <c r="P166" s="218" t="s">
        <v>632</v>
      </c>
      <c r="Q166" s="56" t="s">
        <v>633</v>
      </c>
      <c r="R166" s="56" t="s">
        <v>51</v>
      </c>
      <c r="S166" s="56" t="s">
        <v>367</v>
      </c>
      <c r="T166" s="236" t="str">
        <f>IF(_xlfn.XLOOKUP(F166,IH!Y:Y,IH!AA:AA,"")="MAPPED","MAPPED","")</f>
        <v>MAPPED</v>
      </c>
      <c r="U166" s="237" t="str">
        <f>IFERROR(VLOOKUP(H166,IH!C:T,18,0),"")</f>
        <v>MSSF DISBURSED</v>
      </c>
      <c r="V166" s="237" t="str">
        <f t="shared" si="15"/>
        <v>DISBURSED</v>
      </c>
      <c r="W166" s="221">
        <f>IFERROR(VLOOKUP(H166,IH!C:X,14,0),"")</f>
        <v>46109</v>
      </c>
      <c r="X166" s="215" t="str">
        <f>VLOOKUP($L166,Emp!$A:$F,5,0)</f>
        <v>SALMAN</v>
      </c>
      <c r="Y166" s="239" t="str">
        <f>VLOOKUP($H166,ERP!$H:$AP,33,0)</f>
        <v>BIJO JOY (C23459),</v>
      </c>
      <c r="Z166" s="239" t="str">
        <f>VLOOKUP($H166,ERP!$H:$AP,34,0)</f>
        <v>SIJO VARGHESE GEORGE (PBVR)</v>
      </c>
    </row>
    <row r="167" hidden="1" customHeight="1" spans="1:26">
      <c r="A167" s="56">
        <v>166</v>
      </c>
      <c r="B167" s="218" t="s">
        <v>1313</v>
      </c>
      <c r="C167" s="218" t="s">
        <v>1314</v>
      </c>
      <c r="D167" s="218" t="s">
        <v>1315</v>
      </c>
      <c r="E167" s="218">
        <v>1435129</v>
      </c>
      <c r="F167" s="218" t="s">
        <v>1316</v>
      </c>
      <c r="G167" s="241">
        <v>46109</v>
      </c>
      <c r="H167" s="218">
        <v>2565808722</v>
      </c>
      <c r="I167" s="218" t="s">
        <v>1317</v>
      </c>
      <c r="J167" s="214" t="s">
        <v>363</v>
      </c>
      <c r="K167" s="218" t="s">
        <v>364</v>
      </c>
      <c r="L167" s="231" t="s">
        <v>73</v>
      </c>
      <c r="M167" s="215" t="str">
        <f>VLOOKUP($L167,Emp!$A:$F,2,0)</f>
        <v>NOUFAL T A</v>
      </c>
      <c r="N167" s="215" t="str">
        <f>VLOOKUP($L167,Emp!$A:$F,3,0)</f>
        <v>EDAPPALLY</v>
      </c>
      <c r="O167" s="215" t="str">
        <f>VLOOKUP($L167,Emp!$A:$F,4,0)</f>
        <v>ARENA</v>
      </c>
      <c r="P167" s="218" t="s">
        <v>776</v>
      </c>
      <c r="Q167" s="56" t="s">
        <v>777</v>
      </c>
      <c r="R167" s="56" t="s">
        <v>51</v>
      </c>
      <c r="S167" s="56" t="s">
        <v>367</v>
      </c>
      <c r="T167" s="236" t="str">
        <f>IF(_xlfn.XLOOKUP(F167,IH!Y:Y,IH!AA:AA,"")="MAPPED","MAPPED","")</f>
        <v/>
      </c>
      <c r="U167" s="237" t="str">
        <f>IFERROR(VLOOKUP(H167,IH!C:T,18,0),"")</f>
        <v>MSSF DISBURSED</v>
      </c>
      <c r="V167" s="237" t="str">
        <f t="shared" si="15"/>
        <v>DISBURSED</v>
      </c>
      <c r="W167" s="221">
        <f>IFERROR(VLOOKUP(H167,IH!C:X,14,0),"")</f>
        <v>46109</v>
      </c>
      <c r="X167" s="215" t="str">
        <f>VLOOKUP($L167,Emp!$A:$F,5,0)</f>
        <v>SIVAPRASAD</v>
      </c>
      <c r="Y167" s="239" t="str">
        <f>VLOOKUP($H167,ERP!$H:$AP,33,0)</f>
        <v>ANUKUTTAN K R (C25786),</v>
      </c>
      <c r="Z167" s="239" t="str">
        <f>VLOOKUP($H167,ERP!$H:$AP,34,0)</f>
        <v>ABHILASH K P (C21618)</v>
      </c>
    </row>
    <row r="168" hidden="1" customHeight="1" spans="1:26">
      <c r="A168" s="56">
        <v>167</v>
      </c>
      <c r="B168" s="218" t="s">
        <v>1318</v>
      </c>
      <c r="C168" s="218" t="s">
        <v>1319</v>
      </c>
      <c r="D168" s="218" t="s">
        <v>1320</v>
      </c>
      <c r="E168" s="218" t="s">
        <v>1321</v>
      </c>
      <c r="F168" s="218" t="s">
        <v>1322</v>
      </c>
      <c r="G168" s="241">
        <v>46109</v>
      </c>
      <c r="H168" s="218">
        <v>2567067945</v>
      </c>
      <c r="I168" s="218" t="s">
        <v>1323</v>
      </c>
      <c r="J168" s="218" t="s">
        <v>1016</v>
      </c>
      <c r="K168" s="218" t="s">
        <v>520</v>
      </c>
      <c r="L168" s="231" t="s">
        <v>87</v>
      </c>
      <c r="M168" s="215" t="str">
        <f>VLOOKUP($L168,Emp!$A:$F,2,0)</f>
        <v>RATISH K R</v>
      </c>
      <c r="N168" s="215" t="str">
        <f>VLOOKUP($L168,Emp!$A:$F,3,0)</f>
        <v>KADAVANTHRA</v>
      </c>
      <c r="O168" s="215" t="str">
        <f>VLOOKUP($L168,Emp!$A:$F,4,0)</f>
        <v>ARENA</v>
      </c>
      <c r="P168" s="218" t="s">
        <v>506</v>
      </c>
      <c r="Q168" s="56" t="s">
        <v>507</v>
      </c>
      <c r="R168" s="56" t="s">
        <v>51</v>
      </c>
      <c r="S168" s="56" t="s">
        <v>367</v>
      </c>
      <c r="T168" s="236" t="str">
        <f>IF(_xlfn.XLOOKUP(F168,IH!Y:Y,IH!AA:AA,"")="MAPPED","MAPPED","")</f>
        <v/>
      </c>
      <c r="U168" s="237" t="str">
        <f>IFERROR(VLOOKUP(H168,IH!C:T,18,0),"")</f>
        <v>MSSF LOGIN</v>
      </c>
      <c r="V168" s="237" t="str">
        <f t="shared" si="15"/>
        <v>DISBURSED</v>
      </c>
      <c r="W168" s="221">
        <f>IFERROR(VLOOKUP(H168,IH!C:X,14,0),"")</f>
        <v>46109</v>
      </c>
      <c r="X168" s="215" t="str">
        <f>VLOOKUP($L168,Emp!$A:$F,5,0)</f>
        <v>SALMAN</v>
      </c>
      <c r="Y168" s="239" t="str">
        <f>VLOOKUP($H168,ERP!$H:$AP,33,0)</f>
        <v>AMAL RAJ ANTHONY (C22567),</v>
      </c>
      <c r="Z168" s="239" t="str">
        <f>VLOOKUP($H168,ERP!$H:$AP,34,0)</f>
        <v>RATHEESH.K.R</v>
      </c>
    </row>
    <row r="169" customHeight="1" spans="1:26">
      <c r="A169" s="56">
        <v>168</v>
      </c>
      <c r="B169" s="218" t="s">
        <v>1324</v>
      </c>
      <c r="C169" s="218" t="s">
        <v>1325</v>
      </c>
      <c r="D169" s="218" t="s">
        <v>1326</v>
      </c>
      <c r="E169" s="218">
        <v>1435023</v>
      </c>
      <c r="F169" s="218" t="s">
        <v>1327</v>
      </c>
      <c r="G169" s="241">
        <v>46109</v>
      </c>
      <c r="H169" s="218">
        <v>2567070311</v>
      </c>
      <c r="I169" s="218" t="s">
        <v>1328</v>
      </c>
      <c r="J169" s="214" t="s">
        <v>363</v>
      </c>
      <c r="K169" s="218" t="s">
        <v>364</v>
      </c>
      <c r="L169" s="231" t="s">
        <v>128</v>
      </c>
      <c r="M169" s="215" t="str">
        <f>VLOOKUP($L169,Emp!$A:$F,2,0)</f>
        <v>ARUN K G</v>
      </c>
      <c r="N169" s="215" t="str">
        <f>VLOOKUP($L169,Emp!$A:$F,3,0)</f>
        <v>NEXA COCHIN</v>
      </c>
      <c r="O169" s="215" t="str">
        <f>VLOOKUP($L169,Emp!$A:$F,4,0)</f>
        <v>NEXA COCHIN</v>
      </c>
      <c r="P169" s="218" t="s">
        <v>491</v>
      </c>
      <c r="Q169" s="56" t="s">
        <v>492</v>
      </c>
      <c r="R169" s="56" t="s">
        <v>378</v>
      </c>
      <c r="S169" s="56" t="s">
        <v>356</v>
      </c>
      <c r="T169" s="236" t="str">
        <f>IF(_xlfn.XLOOKUP(F169,IH!Y:Y,IH!AA:AA,"")="MAPPED","MAPPED","")</f>
        <v/>
      </c>
      <c r="U169" s="237" t="str">
        <f>IFERROR(VLOOKUP(H169,IH!C:T,18,0),"")</f>
        <v/>
      </c>
      <c r="V169" s="237" t="str">
        <f t="shared" si="15"/>
        <v/>
      </c>
      <c r="W169" s="221" t="str">
        <f>IFERROR(VLOOKUP(H169,IH!C:X,14,0),"")</f>
        <v/>
      </c>
      <c r="X169" s="215" t="str">
        <f>VLOOKUP($L169,Emp!$A:$F,5,0)</f>
        <v>WILSON</v>
      </c>
      <c r="Y169" s="239" t="str">
        <f>VLOOKUP($H169,ERP!$H:$AP,33,0)</f>
        <v>AMAL P U (C24366),</v>
      </c>
      <c r="Z169" s="239" t="str">
        <f>VLOOKUP($H169,ERP!$H:$AP,34,0)</f>
        <v>ARUN  G (NEXA 502)</v>
      </c>
    </row>
    <row r="170" customHeight="1" spans="1:26">
      <c r="A170" s="56">
        <v>169</v>
      </c>
      <c r="B170" s="218" t="s">
        <v>1329</v>
      </c>
      <c r="C170" s="218" t="s">
        <v>1330</v>
      </c>
      <c r="D170" s="218" t="s">
        <v>1331</v>
      </c>
      <c r="E170" s="218">
        <v>9258700</v>
      </c>
      <c r="F170" s="218" t="s">
        <v>1332</v>
      </c>
      <c r="G170" s="241">
        <v>46109</v>
      </c>
      <c r="H170" s="218">
        <v>2567678751</v>
      </c>
      <c r="I170" s="218" t="s">
        <v>1333</v>
      </c>
      <c r="J170" s="218" t="s">
        <v>1016</v>
      </c>
      <c r="K170" s="218" t="s">
        <v>565</v>
      </c>
      <c r="L170" s="231" t="s">
        <v>152</v>
      </c>
      <c r="M170" s="215" t="str">
        <f>VLOOKUP($L170,Emp!$A:$F,2,0)</f>
        <v>SANDEEP P</v>
      </c>
      <c r="N170" s="215" t="str">
        <f>VLOOKUP($L170,Emp!$A:$F,3,0)</f>
        <v>NEXA COCHIN</v>
      </c>
      <c r="O170" s="215" t="str">
        <f>VLOOKUP($L170,Emp!$A:$F,4,0)</f>
        <v>NEXA COCHIN</v>
      </c>
      <c r="P170" s="218" t="s">
        <v>506</v>
      </c>
      <c r="Q170" s="56" t="s">
        <v>507</v>
      </c>
      <c r="R170" s="56" t="s">
        <v>51</v>
      </c>
      <c r="S170" s="56" t="s">
        <v>367</v>
      </c>
      <c r="T170" s="236" t="str">
        <f>IF(_xlfn.XLOOKUP(F170,IH!Y:Y,IH!AA:AA,"")="MAPPED","MAPPED","")</f>
        <v/>
      </c>
      <c r="U170" s="237" t="str">
        <f>IFERROR(VLOOKUP(H170,IH!C:T,18,0),"")</f>
        <v>MSSF DISBURSED</v>
      </c>
      <c r="V170" s="237" t="str">
        <f t="shared" si="15"/>
        <v>DISBURSED</v>
      </c>
      <c r="W170" s="221">
        <f>IFERROR(VLOOKUP(H170,IH!C:X,14,0),"")</f>
        <v>46109</v>
      </c>
      <c r="X170" s="215" t="str">
        <f>VLOOKUP($L170,Emp!$A:$F,5,0)</f>
        <v>WILSON</v>
      </c>
      <c r="Y170" s="239" t="str">
        <f>VLOOKUP($H170,ERP!$H:$AP,33,0)</f>
        <v>HUDSON FRANKLIN (C24282),</v>
      </c>
      <c r="Z170" s="239" t="str">
        <f>VLOOKUP($H170,ERP!$H:$AP,34,0)</f>
        <v>SANDEEP P (NEXA 502)</v>
      </c>
    </row>
    <row r="171" hidden="1" customHeight="1" spans="1:26">
      <c r="A171" s="56">
        <v>170</v>
      </c>
      <c r="B171" s="218" t="s">
        <v>1334</v>
      </c>
      <c r="C171" s="218" t="s">
        <v>1335</v>
      </c>
      <c r="D171" s="218">
        <v>423295</v>
      </c>
      <c r="E171" s="218" t="s">
        <v>1336</v>
      </c>
      <c r="F171" s="218" t="s">
        <v>1337</v>
      </c>
      <c r="G171" s="241">
        <v>46109</v>
      </c>
      <c r="H171" s="218">
        <v>2565058430</v>
      </c>
      <c r="I171" s="218" t="s">
        <v>1338</v>
      </c>
      <c r="J171" s="214" t="s">
        <v>443</v>
      </c>
      <c r="K171" s="218" t="s">
        <v>1339</v>
      </c>
      <c r="L171" s="231" t="s">
        <v>65</v>
      </c>
      <c r="M171" s="215" t="str">
        <f>VLOOKUP($L171,Emp!$A:$F,2,0)</f>
        <v>ABHILASH K P</v>
      </c>
      <c r="N171" s="215" t="str">
        <f>VLOOKUP($L171,Emp!$A:$F,3,0)</f>
        <v>EDAPPALLY</v>
      </c>
      <c r="O171" s="215" t="str">
        <f>VLOOKUP($L171,Emp!$A:$F,4,0)</f>
        <v>ARENA</v>
      </c>
      <c r="P171" s="218" t="s">
        <v>596</v>
      </c>
      <c r="Q171" s="56" t="s">
        <v>377</v>
      </c>
      <c r="R171" s="56" t="s">
        <v>378</v>
      </c>
      <c r="S171" s="56" t="s">
        <v>356</v>
      </c>
      <c r="T171" s="236" t="str">
        <f>IF(_xlfn.XLOOKUP(F171,IH!Y:Y,IH!AA:AA,"")="MAPPED","MAPPED","")</f>
        <v/>
      </c>
      <c r="U171" s="237" t="str">
        <f>IFERROR(VLOOKUP(H171,IH!C:T,18,0),"")</f>
        <v/>
      </c>
      <c r="V171" s="237" t="str">
        <f t="shared" si="15"/>
        <v/>
      </c>
      <c r="W171" s="221" t="str">
        <f>IFERROR(VLOOKUP(H171,IH!C:X,14,0),"")</f>
        <v/>
      </c>
      <c r="X171" s="215" t="str">
        <f>VLOOKUP($L171,Emp!$A:$F,5,0)</f>
        <v>SIVAPRASAD</v>
      </c>
      <c r="Y171" s="239" t="str">
        <f>VLOOKUP($H171,ERP!$H:$AP,33,0)</f>
        <v>ABHILASH P C (GM00352),</v>
      </c>
      <c r="Z171" s="239" t="str">
        <f>VLOOKUP($H171,ERP!$H:$AP,34,0)</f>
        <v>NA</v>
      </c>
    </row>
    <row r="172" hidden="1" customHeight="1" spans="1:26">
      <c r="A172" s="56">
        <v>171</v>
      </c>
      <c r="B172" s="218" t="s">
        <v>1340</v>
      </c>
      <c r="C172" s="218" t="s">
        <v>1341</v>
      </c>
      <c r="D172" s="218" t="s">
        <v>1342</v>
      </c>
      <c r="E172" s="218">
        <v>7949474</v>
      </c>
      <c r="F172" s="218" t="s">
        <v>1343</v>
      </c>
      <c r="G172" s="241">
        <v>46109</v>
      </c>
      <c r="H172" s="218">
        <v>2566570147</v>
      </c>
      <c r="I172" s="218" t="s">
        <v>1344</v>
      </c>
      <c r="J172" s="218" t="s">
        <v>504</v>
      </c>
      <c r="K172" s="218" t="s">
        <v>1345</v>
      </c>
      <c r="L172" s="231" t="s">
        <v>169</v>
      </c>
      <c r="M172" s="215" t="str">
        <f>VLOOKUP($L172,Emp!$A:$F,2,0)</f>
        <v>SIVAPRAKASH K S</v>
      </c>
      <c r="N172" s="215" t="str">
        <f>VLOOKUP($L172,Emp!$A:$F,3,0)</f>
        <v>THRISSUR</v>
      </c>
      <c r="O172" s="215" t="str">
        <f>VLOOKUP($L172,Emp!$A:$F,4,0)</f>
        <v>ARENA</v>
      </c>
      <c r="P172" s="214" t="s">
        <v>355</v>
      </c>
      <c r="Q172" s="56" t="s">
        <v>355</v>
      </c>
      <c r="R172" s="56" t="s">
        <v>355</v>
      </c>
      <c r="S172" s="56" t="s">
        <v>356</v>
      </c>
      <c r="T172" s="236" t="str">
        <f>IF(_xlfn.XLOOKUP(F172,IH!Y:Y,IH!AA:AA,"")="MAPPED","MAPPED","")</f>
        <v/>
      </c>
      <c r="U172" s="237" t="str">
        <f>IFERROR(VLOOKUP(H172,IH!C:T,18,0),"")</f>
        <v/>
      </c>
      <c r="V172" s="237" t="str">
        <f t="shared" si="15"/>
        <v/>
      </c>
      <c r="W172" s="221" t="str">
        <f>IFERROR(VLOOKUP(H172,IH!C:X,14,0),"")</f>
        <v/>
      </c>
      <c r="X172" s="215" t="str">
        <f>VLOOKUP($L172,Emp!$A:$F,5,0)</f>
        <v>SINTO</v>
      </c>
      <c r="Y172" s="239" t="str">
        <f>VLOOKUP($H172,ERP!$H:$AP,33,0)</f>
        <v>BINEESH P ANTO (C22936),</v>
      </c>
      <c r="Z172" s="239" t="str">
        <f>VLOOKUP($H172,ERP!$H:$AP,34,0)</f>
        <v>RAJEEV (THCR)</v>
      </c>
    </row>
    <row r="173" hidden="1" customHeight="1" spans="1:26">
      <c r="A173" s="56">
        <v>172</v>
      </c>
      <c r="B173" s="218" t="s">
        <v>1346</v>
      </c>
      <c r="C173" s="218" t="s">
        <v>1347</v>
      </c>
      <c r="D173" s="218" t="s">
        <v>1348</v>
      </c>
      <c r="E173" s="218">
        <v>1440610</v>
      </c>
      <c r="F173" s="218" t="s">
        <v>1349</v>
      </c>
      <c r="G173" s="241">
        <v>46109</v>
      </c>
      <c r="H173" s="218">
        <v>2566028362</v>
      </c>
      <c r="I173" s="218" t="s">
        <v>1350</v>
      </c>
      <c r="J173" s="214" t="s">
        <v>363</v>
      </c>
      <c r="K173" s="218" t="s">
        <v>364</v>
      </c>
      <c r="L173" s="231" t="s">
        <v>80</v>
      </c>
      <c r="M173" s="215" t="str">
        <f>VLOOKUP($L173,Emp!$A:$F,2,0)</f>
        <v>SHEMEER A K</v>
      </c>
      <c r="N173" s="215" t="str">
        <f>VLOOKUP($L173,Emp!$A:$F,3,0)</f>
        <v>EDAPPALLY</v>
      </c>
      <c r="O173" s="215" t="str">
        <f>VLOOKUP($L173,Emp!$A:$F,4,0)</f>
        <v>ARENA</v>
      </c>
      <c r="P173" s="214" t="s">
        <v>355</v>
      </c>
      <c r="Q173" s="56" t="s">
        <v>355</v>
      </c>
      <c r="R173" s="56" t="s">
        <v>355</v>
      </c>
      <c r="S173" s="56" t="s">
        <v>356</v>
      </c>
      <c r="T173" s="236" t="str">
        <f>IF(_xlfn.XLOOKUP(F173,IH!Y:Y,IH!AA:AA,"")="MAPPED","MAPPED","")</f>
        <v/>
      </c>
      <c r="U173" s="237" t="str">
        <f>IFERROR(VLOOKUP(H173,IH!C:T,18,0),"")</f>
        <v/>
      </c>
      <c r="V173" s="237" t="str">
        <f t="shared" si="15"/>
        <v/>
      </c>
      <c r="W173" s="221" t="str">
        <f>IFERROR(VLOOKUP(H173,IH!C:X,14,0),"")</f>
        <v/>
      </c>
      <c r="X173" s="215" t="str">
        <f>VLOOKUP($L173,Emp!$A:$F,5,0)</f>
        <v>SIVAPRASAD</v>
      </c>
      <c r="Y173" s="239" t="str">
        <f>VLOOKUP($H173,ERP!$H:$AP,33,0)</f>
        <v>MOHAMMED RIYAS (C25510),</v>
      </c>
      <c r="Z173" s="239" t="str">
        <f>VLOOKUP($H173,ERP!$H:$AP,34,0)</f>
        <v>SHEMEER.AK</v>
      </c>
    </row>
    <row r="174" hidden="1" customHeight="1" spans="1:26">
      <c r="A174" s="56">
        <v>173</v>
      </c>
      <c r="B174" s="218" t="s">
        <v>1351</v>
      </c>
      <c r="C174" s="218" t="s">
        <v>1352</v>
      </c>
      <c r="D174" s="218">
        <v>422486</v>
      </c>
      <c r="E174" s="218" t="s">
        <v>1353</v>
      </c>
      <c r="F174" s="218" t="s">
        <v>1354</v>
      </c>
      <c r="G174" s="241">
        <v>46109</v>
      </c>
      <c r="H174" s="218">
        <v>2565058284</v>
      </c>
      <c r="I174" s="218" t="s">
        <v>1338</v>
      </c>
      <c r="J174" s="214" t="s">
        <v>443</v>
      </c>
      <c r="K174" s="218" t="s">
        <v>1339</v>
      </c>
      <c r="L174" s="231" t="s">
        <v>65</v>
      </c>
      <c r="M174" s="215" t="str">
        <f>VLOOKUP($L174,Emp!$A:$F,2,0)</f>
        <v>ABHILASH K P</v>
      </c>
      <c r="N174" s="215" t="str">
        <f>VLOOKUP($L174,Emp!$A:$F,3,0)</f>
        <v>EDAPPALLY</v>
      </c>
      <c r="O174" s="215" t="str">
        <f>VLOOKUP($L174,Emp!$A:$F,4,0)</f>
        <v>ARENA</v>
      </c>
      <c r="P174" s="218" t="s">
        <v>596</v>
      </c>
      <c r="Q174" s="56" t="s">
        <v>377</v>
      </c>
      <c r="R174" s="56" t="s">
        <v>378</v>
      </c>
      <c r="S174" s="56" t="s">
        <v>356</v>
      </c>
      <c r="T174" s="236" t="str">
        <f>IF(_xlfn.XLOOKUP(F174,IH!Y:Y,IH!AA:AA,"")="MAPPED","MAPPED","")</f>
        <v/>
      </c>
      <c r="U174" s="237" t="str">
        <f>IFERROR(VLOOKUP(H174,IH!C:T,18,0),"")</f>
        <v/>
      </c>
      <c r="V174" s="237" t="str">
        <f t="shared" si="15"/>
        <v/>
      </c>
      <c r="W174" s="221" t="str">
        <f>IFERROR(VLOOKUP(H174,IH!C:X,14,0),"")</f>
        <v/>
      </c>
      <c r="X174" s="215" t="str">
        <f>VLOOKUP($L174,Emp!$A:$F,5,0)</f>
        <v>SIVAPRASAD</v>
      </c>
      <c r="Y174" s="239" t="str">
        <f>VLOOKUP($H174,ERP!$H:$AP,33,0)</f>
        <v>ABHILASH P C (GM00352),</v>
      </c>
      <c r="Z174" s="239" t="str">
        <f>VLOOKUP($H174,ERP!$H:$AP,34,0)</f>
        <v>NA</v>
      </c>
    </row>
    <row r="175" hidden="1" customHeight="1" spans="1:26">
      <c r="A175" s="56">
        <v>174</v>
      </c>
      <c r="B175" s="218" t="s">
        <v>1355</v>
      </c>
      <c r="C175" s="218" t="s">
        <v>1356</v>
      </c>
      <c r="D175" s="218">
        <v>422732</v>
      </c>
      <c r="E175" s="218" t="s">
        <v>1357</v>
      </c>
      <c r="F175" s="218" t="s">
        <v>1358</v>
      </c>
      <c r="G175" s="241">
        <v>46109</v>
      </c>
      <c r="H175" s="218">
        <v>2565058125</v>
      </c>
      <c r="I175" s="218" t="s">
        <v>1338</v>
      </c>
      <c r="J175" s="214" t="s">
        <v>443</v>
      </c>
      <c r="K175" s="218" t="s">
        <v>1339</v>
      </c>
      <c r="L175" s="231" t="s">
        <v>65</v>
      </c>
      <c r="M175" s="215" t="str">
        <f>VLOOKUP($L175,Emp!$A:$F,2,0)</f>
        <v>ABHILASH K P</v>
      </c>
      <c r="N175" s="215" t="str">
        <f>VLOOKUP($L175,Emp!$A:$F,3,0)</f>
        <v>EDAPPALLY</v>
      </c>
      <c r="O175" s="215" t="str">
        <f>VLOOKUP($L175,Emp!$A:$F,4,0)</f>
        <v>ARENA</v>
      </c>
      <c r="P175" s="218" t="s">
        <v>596</v>
      </c>
      <c r="Q175" s="56" t="s">
        <v>377</v>
      </c>
      <c r="R175" s="56" t="s">
        <v>378</v>
      </c>
      <c r="S175" s="56" t="s">
        <v>356</v>
      </c>
      <c r="T175" s="236" t="str">
        <f>IF(_xlfn.XLOOKUP(F175,IH!Y:Y,IH!AA:AA,"")="MAPPED","MAPPED","")</f>
        <v/>
      </c>
      <c r="U175" s="237" t="str">
        <f>IFERROR(VLOOKUP(H175,IH!C:T,18,0),"")</f>
        <v/>
      </c>
      <c r="V175" s="237" t="str">
        <f t="shared" si="15"/>
        <v/>
      </c>
      <c r="W175" s="221" t="str">
        <f>IFERROR(VLOOKUP(H175,IH!C:X,14,0),"")</f>
        <v/>
      </c>
      <c r="X175" s="215" t="str">
        <f>VLOOKUP($L175,Emp!$A:$F,5,0)</f>
        <v>SIVAPRASAD</v>
      </c>
      <c r="Y175" s="239" t="str">
        <f>VLOOKUP($H175,ERP!$H:$AP,33,0)</f>
        <v>ABHILASH P.C (C21931),</v>
      </c>
      <c r="Z175" s="239" t="str">
        <f>VLOOKUP($H175,ERP!$H:$AP,34,0)</f>
        <v>ABHILASH K P (C21618)</v>
      </c>
    </row>
    <row r="176" hidden="1" customHeight="1" spans="1:26">
      <c r="A176" s="56">
        <v>175</v>
      </c>
      <c r="B176" s="218" t="s">
        <v>1359</v>
      </c>
      <c r="C176" s="218" t="s">
        <v>1360</v>
      </c>
      <c r="D176" s="218">
        <v>417569</v>
      </c>
      <c r="E176" s="218" t="s">
        <v>1361</v>
      </c>
      <c r="F176" s="218" t="s">
        <v>1362</v>
      </c>
      <c r="G176" s="241">
        <v>46109</v>
      </c>
      <c r="H176" s="218">
        <v>2565057350</v>
      </c>
      <c r="I176" s="218" t="s">
        <v>1338</v>
      </c>
      <c r="J176" s="214" t="s">
        <v>443</v>
      </c>
      <c r="K176" s="218" t="s">
        <v>1339</v>
      </c>
      <c r="L176" s="231" t="s">
        <v>65</v>
      </c>
      <c r="M176" s="215" t="str">
        <f>VLOOKUP($L176,Emp!$A:$F,2,0)</f>
        <v>ABHILASH K P</v>
      </c>
      <c r="N176" s="215" t="str">
        <f>VLOOKUP($L176,Emp!$A:$F,3,0)</f>
        <v>EDAPPALLY</v>
      </c>
      <c r="O176" s="215" t="str">
        <f>VLOOKUP($L176,Emp!$A:$F,4,0)</f>
        <v>ARENA</v>
      </c>
      <c r="P176" s="218" t="s">
        <v>596</v>
      </c>
      <c r="Q176" s="56" t="s">
        <v>377</v>
      </c>
      <c r="R176" s="56" t="s">
        <v>378</v>
      </c>
      <c r="S176" s="56" t="s">
        <v>356</v>
      </c>
      <c r="T176" s="236" t="str">
        <f>IF(_xlfn.XLOOKUP(F176,IH!Y:Y,IH!AA:AA,"")="MAPPED","MAPPED","")</f>
        <v/>
      </c>
      <c r="U176" s="237" t="str">
        <f>IFERROR(VLOOKUP(H176,IH!C:T,18,0),"")</f>
        <v/>
      </c>
      <c r="V176" s="237" t="str">
        <f t="shared" si="15"/>
        <v/>
      </c>
      <c r="W176" s="221" t="str">
        <f>IFERROR(VLOOKUP(H176,IH!C:X,14,0),"")</f>
        <v/>
      </c>
      <c r="X176" s="215" t="str">
        <f>VLOOKUP($L176,Emp!$A:$F,5,0)</f>
        <v>SIVAPRASAD</v>
      </c>
      <c r="Y176" s="239" t="str">
        <f>VLOOKUP($H176,ERP!$H:$AP,33,0)</f>
        <v>ABHILASH P C (GM00352),</v>
      </c>
      <c r="Z176" s="239" t="str">
        <f>VLOOKUP($H176,ERP!$H:$AP,34,0)</f>
        <v>NA</v>
      </c>
    </row>
    <row r="177" hidden="1" customHeight="1" spans="1:26">
      <c r="A177" s="56">
        <v>176</v>
      </c>
      <c r="B177" s="218" t="s">
        <v>1363</v>
      </c>
      <c r="C177" s="218" t="s">
        <v>1364</v>
      </c>
      <c r="D177" s="218">
        <v>422999</v>
      </c>
      <c r="E177" s="218" t="s">
        <v>1365</v>
      </c>
      <c r="F177" s="218" t="s">
        <v>1366</v>
      </c>
      <c r="G177" s="241">
        <v>46109</v>
      </c>
      <c r="H177" s="218">
        <v>2565057634</v>
      </c>
      <c r="I177" s="218" t="s">
        <v>1338</v>
      </c>
      <c r="J177" s="214" t="s">
        <v>443</v>
      </c>
      <c r="K177" s="218" t="s">
        <v>1339</v>
      </c>
      <c r="L177" s="231" t="s">
        <v>65</v>
      </c>
      <c r="M177" s="215" t="str">
        <f>VLOOKUP($L177,Emp!$A:$F,2,0)</f>
        <v>ABHILASH K P</v>
      </c>
      <c r="N177" s="215" t="str">
        <f>VLOOKUP($L177,Emp!$A:$F,3,0)</f>
        <v>EDAPPALLY</v>
      </c>
      <c r="O177" s="215" t="str">
        <f>VLOOKUP($L177,Emp!$A:$F,4,0)</f>
        <v>ARENA</v>
      </c>
      <c r="P177" s="218" t="s">
        <v>596</v>
      </c>
      <c r="Q177" s="56" t="s">
        <v>377</v>
      </c>
      <c r="R177" s="56" t="s">
        <v>378</v>
      </c>
      <c r="S177" s="56" t="s">
        <v>356</v>
      </c>
      <c r="T177" s="236" t="str">
        <f>IF(_xlfn.XLOOKUP(F177,IH!Y:Y,IH!AA:AA,"")="MAPPED","MAPPED","")</f>
        <v/>
      </c>
      <c r="U177" s="237" t="str">
        <f>IFERROR(VLOOKUP(H177,IH!C:T,18,0),"")</f>
        <v/>
      </c>
      <c r="V177" s="237" t="str">
        <f t="shared" si="15"/>
        <v/>
      </c>
      <c r="W177" s="221" t="str">
        <f>IFERROR(VLOOKUP(H177,IH!C:X,14,0),"")</f>
        <v/>
      </c>
      <c r="X177" s="215" t="str">
        <f>VLOOKUP($L177,Emp!$A:$F,5,0)</f>
        <v>SIVAPRASAD</v>
      </c>
      <c r="Y177" s="239" t="str">
        <f>VLOOKUP($H177,ERP!$H:$AP,33,0)</f>
        <v>ABHILASH P C (GM00352),</v>
      </c>
      <c r="Z177" s="239" t="str">
        <f>VLOOKUP($H177,ERP!$H:$AP,34,0)</f>
        <v>GEORGE KUTTAN JOY ((NEXA 502))</v>
      </c>
    </row>
    <row r="178" hidden="1" customHeight="1" spans="1:26">
      <c r="A178" s="56">
        <v>177</v>
      </c>
      <c r="B178" s="218" t="s">
        <v>1367</v>
      </c>
      <c r="C178" s="218" t="s">
        <v>1368</v>
      </c>
      <c r="D178" s="218">
        <v>421220</v>
      </c>
      <c r="E178" s="218" t="s">
        <v>1369</v>
      </c>
      <c r="F178" s="218" t="s">
        <v>1370</v>
      </c>
      <c r="G178" s="241">
        <v>46109</v>
      </c>
      <c r="H178" s="218">
        <v>2565057996</v>
      </c>
      <c r="I178" s="218" t="s">
        <v>1338</v>
      </c>
      <c r="J178" s="214" t="s">
        <v>443</v>
      </c>
      <c r="K178" s="218" t="s">
        <v>1339</v>
      </c>
      <c r="L178" s="231" t="s">
        <v>65</v>
      </c>
      <c r="M178" s="215" t="str">
        <f>VLOOKUP($L178,Emp!$A:$F,2,0)</f>
        <v>ABHILASH K P</v>
      </c>
      <c r="N178" s="215" t="str">
        <f>VLOOKUP($L178,Emp!$A:$F,3,0)</f>
        <v>EDAPPALLY</v>
      </c>
      <c r="O178" s="215" t="str">
        <f>VLOOKUP($L178,Emp!$A:$F,4,0)</f>
        <v>ARENA</v>
      </c>
      <c r="P178" s="218" t="s">
        <v>596</v>
      </c>
      <c r="Q178" s="56" t="s">
        <v>377</v>
      </c>
      <c r="R178" s="56" t="s">
        <v>378</v>
      </c>
      <c r="S178" s="56" t="s">
        <v>356</v>
      </c>
      <c r="T178" s="236" t="str">
        <f>IF(_xlfn.XLOOKUP(F178,IH!Y:Y,IH!AA:AA,"")="MAPPED","MAPPED","")</f>
        <v/>
      </c>
      <c r="U178" s="237" t="str">
        <f>IFERROR(VLOOKUP(H178,IH!C:T,18,0),"")</f>
        <v/>
      </c>
      <c r="V178" s="237" t="str">
        <f t="shared" si="15"/>
        <v/>
      </c>
      <c r="W178" s="221" t="str">
        <f>IFERROR(VLOOKUP(H178,IH!C:X,14,0),"")</f>
        <v/>
      </c>
      <c r="X178" s="215" t="str">
        <f>VLOOKUP($L178,Emp!$A:$F,5,0)</f>
        <v>SIVAPRASAD</v>
      </c>
      <c r="Y178" s="239" t="str">
        <f>VLOOKUP($H178,ERP!$H:$AP,33,0)</f>
        <v>ABHILASH P C (GM00352),</v>
      </c>
      <c r="Z178" s="239" t="str">
        <f>VLOOKUP($H178,ERP!$H:$AP,34,0)</f>
        <v>NA</v>
      </c>
    </row>
    <row r="179" hidden="1" customHeight="1" spans="1:26">
      <c r="A179" s="56">
        <v>178</v>
      </c>
      <c r="B179" s="218" t="s">
        <v>1371</v>
      </c>
      <c r="C179" s="218" t="s">
        <v>1372</v>
      </c>
      <c r="D179" s="218">
        <v>417328</v>
      </c>
      <c r="E179" s="218" t="s">
        <v>1373</v>
      </c>
      <c r="F179" s="218" t="s">
        <v>1374</v>
      </c>
      <c r="G179" s="241">
        <v>46109</v>
      </c>
      <c r="H179" s="218">
        <v>2565057540</v>
      </c>
      <c r="I179" s="218" t="s">
        <v>1338</v>
      </c>
      <c r="J179" s="214" t="s">
        <v>443</v>
      </c>
      <c r="K179" s="218" t="s">
        <v>1339</v>
      </c>
      <c r="L179" s="231" t="s">
        <v>65</v>
      </c>
      <c r="M179" s="215" t="str">
        <f>VLOOKUP($L179,Emp!$A:$F,2,0)</f>
        <v>ABHILASH K P</v>
      </c>
      <c r="N179" s="215" t="str">
        <f>VLOOKUP($L179,Emp!$A:$F,3,0)</f>
        <v>EDAPPALLY</v>
      </c>
      <c r="O179" s="215" t="str">
        <f>VLOOKUP($L179,Emp!$A:$F,4,0)</f>
        <v>ARENA</v>
      </c>
      <c r="P179" s="218" t="s">
        <v>596</v>
      </c>
      <c r="Q179" s="56" t="s">
        <v>377</v>
      </c>
      <c r="R179" s="56" t="s">
        <v>378</v>
      </c>
      <c r="S179" s="56" t="s">
        <v>356</v>
      </c>
      <c r="T179" s="236" t="str">
        <f>IF(_xlfn.XLOOKUP(F179,IH!Y:Y,IH!AA:AA,"")="MAPPED","MAPPED","")</f>
        <v/>
      </c>
      <c r="U179" s="237" t="str">
        <f>IFERROR(VLOOKUP(H179,IH!C:T,18,0),"")</f>
        <v/>
      </c>
      <c r="V179" s="237" t="str">
        <f t="shared" si="15"/>
        <v/>
      </c>
      <c r="W179" s="221" t="str">
        <f>IFERROR(VLOOKUP(H179,IH!C:X,14,0),"")</f>
        <v/>
      </c>
      <c r="X179" s="215" t="str">
        <f>VLOOKUP($L179,Emp!$A:$F,5,0)</f>
        <v>SIVAPRASAD</v>
      </c>
      <c r="Y179" s="239" t="str">
        <f>VLOOKUP($H179,ERP!$H:$AP,33,0)</f>
        <v>ABHILASH P C (GM00352),</v>
      </c>
      <c r="Z179" s="239" t="str">
        <f>VLOOKUP($H179,ERP!$H:$AP,34,0)</f>
        <v>NA</v>
      </c>
    </row>
    <row r="180" hidden="1" customHeight="1" spans="1:26">
      <c r="A180" s="56">
        <v>179</v>
      </c>
      <c r="B180" s="218" t="s">
        <v>1375</v>
      </c>
      <c r="C180" s="218" t="s">
        <v>1376</v>
      </c>
      <c r="D180" s="218">
        <v>422958</v>
      </c>
      <c r="E180" s="218" t="s">
        <v>1377</v>
      </c>
      <c r="F180" s="218" t="s">
        <v>1378</v>
      </c>
      <c r="G180" s="241">
        <v>46109</v>
      </c>
      <c r="H180" s="218">
        <v>2565057855</v>
      </c>
      <c r="I180" s="218" t="s">
        <v>1338</v>
      </c>
      <c r="J180" s="214" t="s">
        <v>443</v>
      </c>
      <c r="K180" s="218" t="s">
        <v>1339</v>
      </c>
      <c r="L180" s="231" t="s">
        <v>65</v>
      </c>
      <c r="M180" s="215" t="str">
        <f>VLOOKUP($L180,Emp!$A:$F,2,0)</f>
        <v>ABHILASH K P</v>
      </c>
      <c r="N180" s="215" t="str">
        <f>VLOOKUP($L180,Emp!$A:$F,3,0)</f>
        <v>EDAPPALLY</v>
      </c>
      <c r="O180" s="215" t="str">
        <f>VLOOKUP($L180,Emp!$A:$F,4,0)</f>
        <v>ARENA</v>
      </c>
      <c r="P180" s="218" t="s">
        <v>596</v>
      </c>
      <c r="Q180" s="56" t="s">
        <v>377</v>
      </c>
      <c r="R180" s="56" t="s">
        <v>378</v>
      </c>
      <c r="S180" s="56" t="s">
        <v>356</v>
      </c>
      <c r="T180" s="236" t="str">
        <f>IF(_xlfn.XLOOKUP(F180,IH!Y:Y,IH!AA:AA,"")="MAPPED","MAPPED","")</f>
        <v/>
      </c>
      <c r="U180" s="237" t="str">
        <f>IFERROR(VLOOKUP(H180,IH!C:T,18,0),"")</f>
        <v/>
      </c>
      <c r="V180" s="237" t="str">
        <f t="shared" si="15"/>
        <v/>
      </c>
      <c r="W180" s="221" t="str">
        <f>IFERROR(VLOOKUP(H180,IH!C:X,14,0),"")</f>
        <v/>
      </c>
      <c r="X180" s="215" t="str">
        <f>VLOOKUP($L180,Emp!$A:$F,5,0)</f>
        <v>SIVAPRASAD</v>
      </c>
      <c r="Y180" s="239" t="str">
        <f>VLOOKUP($H180,ERP!$H:$AP,33,0)</f>
        <v>ABHILASH P C (GM00352),</v>
      </c>
      <c r="Z180" s="239" t="str">
        <f>VLOOKUP($H180,ERP!$H:$AP,34,0)</f>
        <v>NA</v>
      </c>
    </row>
    <row r="181" hidden="1" customHeight="1" spans="1:26">
      <c r="A181" s="56">
        <v>180</v>
      </c>
      <c r="B181" s="218" t="s">
        <v>1379</v>
      </c>
      <c r="C181" s="218" t="s">
        <v>1380</v>
      </c>
      <c r="D181" s="218" t="s">
        <v>1381</v>
      </c>
      <c r="E181" s="218">
        <v>1433529</v>
      </c>
      <c r="F181" s="218" t="s">
        <v>1382</v>
      </c>
      <c r="G181" s="241">
        <v>46109</v>
      </c>
      <c r="H181" s="218">
        <v>2567845023</v>
      </c>
      <c r="I181" s="218" t="s">
        <v>1383</v>
      </c>
      <c r="J181" s="214" t="s">
        <v>363</v>
      </c>
      <c r="K181" s="218" t="s">
        <v>364</v>
      </c>
      <c r="L181" s="231" t="s">
        <v>176</v>
      </c>
      <c r="M181" s="215" t="str">
        <f>VLOOKUP($L181,Emp!$A:$F,2,0)</f>
        <v>PRANOOB V NAIR</v>
      </c>
      <c r="N181" s="215" t="str">
        <f>VLOOKUP($L181,Emp!$A:$F,3,0)</f>
        <v>TRIPPUNITHURA</v>
      </c>
      <c r="O181" s="215" t="str">
        <f>VLOOKUP($L181,Emp!$A:$F,4,0)</f>
        <v>ARENA</v>
      </c>
      <c r="P181" s="218" t="s">
        <v>365</v>
      </c>
      <c r="Q181" s="56" t="s">
        <v>366</v>
      </c>
      <c r="R181" s="56" t="s">
        <v>51</v>
      </c>
      <c r="S181" s="56" t="s">
        <v>367</v>
      </c>
      <c r="T181" s="236" t="str">
        <f>IF(_xlfn.XLOOKUP(F181,IH!Y:Y,IH!AA:AA,"")="MAPPED","MAPPED","")</f>
        <v/>
      </c>
      <c r="U181" s="237" t="str">
        <f>IFERROR(VLOOKUP(H181,IH!C:T,18,0),"")</f>
        <v>MSSF LOGIN</v>
      </c>
      <c r="V181" s="237" t="str">
        <f t="shared" si="15"/>
        <v>DISBURSED</v>
      </c>
      <c r="W181" s="221">
        <f>IFERROR(VLOOKUP(H181,IH!C:X,14,0),"")</f>
        <v>46108</v>
      </c>
      <c r="X181" s="215" t="str">
        <f>VLOOKUP($L181,Emp!$A:$F,5,0)</f>
        <v>SIVAPRASAD</v>
      </c>
      <c r="Y181" s="239" t="str">
        <f>VLOOKUP($H181,ERP!$H:$AP,33,0)</f>
        <v>JERRIN ROY (C22200),</v>
      </c>
      <c r="Z181" s="239" t="str">
        <f>VLOOKUP($H181,ERP!$H:$AP,34,0)</f>
        <v>PRANOOB V (TPRA)</v>
      </c>
    </row>
    <row r="182" hidden="1" customHeight="1" spans="1:26">
      <c r="A182" s="56">
        <v>181</v>
      </c>
      <c r="B182" s="218" t="s">
        <v>1384</v>
      </c>
      <c r="C182" s="218" t="s">
        <v>1385</v>
      </c>
      <c r="D182" s="218" t="s">
        <v>1386</v>
      </c>
      <c r="E182" s="218">
        <v>1427894</v>
      </c>
      <c r="F182" s="218" t="s">
        <v>1387</v>
      </c>
      <c r="G182" s="241">
        <v>46109</v>
      </c>
      <c r="H182" s="218">
        <v>2567461007</v>
      </c>
      <c r="I182" s="218" t="s">
        <v>1388</v>
      </c>
      <c r="J182" s="218" t="s">
        <v>1016</v>
      </c>
      <c r="K182" s="218" t="s">
        <v>1215</v>
      </c>
      <c r="L182" s="231" t="s">
        <v>103</v>
      </c>
      <c r="M182" s="215" t="str">
        <f>VLOOKUP($L182,Emp!$A:$F,2,0)</f>
        <v>BINOY RAJ</v>
      </c>
      <c r="N182" s="215" t="str">
        <f>VLOOKUP($L182,Emp!$A:$F,3,0)</f>
        <v>KODUNGALLUR</v>
      </c>
      <c r="O182" s="215" t="str">
        <f>VLOOKUP($L182,Emp!$A:$F,4,0)</f>
        <v>ARENA</v>
      </c>
      <c r="P182" s="214" t="s">
        <v>355</v>
      </c>
      <c r="Q182" s="56" t="s">
        <v>355</v>
      </c>
      <c r="R182" s="56" t="s">
        <v>355</v>
      </c>
      <c r="S182" s="56" t="s">
        <v>356</v>
      </c>
      <c r="T182" s="236" t="str">
        <f>IF(_xlfn.XLOOKUP(F182,IH!Y:Y,IH!AA:AA,"")="MAPPED","MAPPED","")</f>
        <v/>
      </c>
      <c r="U182" s="237" t="str">
        <f>IFERROR(VLOOKUP(H182,IH!C:T,18,0),"")</f>
        <v/>
      </c>
      <c r="V182" s="237" t="str">
        <f t="shared" si="15"/>
        <v/>
      </c>
      <c r="W182" s="221" t="str">
        <f>IFERROR(VLOOKUP(H182,IH!C:X,14,0),"")</f>
        <v/>
      </c>
      <c r="X182" s="215" t="str">
        <f>VLOOKUP($L182,Emp!$A:$F,5,0)</f>
        <v>JINEESH</v>
      </c>
      <c r="Y182" s="239" t="str">
        <f>VLOOKUP($H182,ERP!$H:$AP,33,0)</f>
        <v>VIPIN K G (C21667),</v>
      </c>
      <c r="Z182" s="239" t="str">
        <f>VLOOKUP($H182,ERP!$H:$AP,34,0)</f>
        <v>BINOY(KDLR)</v>
      </c>
    </row>
    <row r="183" hidden="1" customHeight="1" spans="1:26">
      <c r="A183" s="56">
        <v>182</v>
      </c>
      <c r="B183" s="218" t="s">
        <v>1389</v>
      </c>
      <c r="C183" s="218" t="s">
        <v>1390</v>
      </c>
      <c r="D183" s="218" t="s">
        <v>1391</v>
      </c>
      <c r="E183" s="218">
        <v>9260259</v>
      </c>
      <c r="F183" s="218" t="s">
        <v>1392</v>
      </c>
      <c r="G183" s="241">
        <v>46109</v>
      </c>
      <c r="H183" s="218">
        <v>2567610167</v>
      </c>
      <c r="I183" s="218" t="s">
        <v>1393</v>
      </c>
      <c r="J183" s="218" t="s">
        <v>1016</v>
      </c>
      <c r="K183" s="218" t="s">
        <v>565</v>
      </c>
      <c r="L183" s="231" t="s">
        <v>249</v>
      </c>
      <c r="M183" s="215" t="str">
        <f>VLOOKUP($L183,Emp!$A:$F,2,0)</f>
        <v>SACHIN</v>
      </c>
      <c r="N183" s="215" t="str">
        <f>VLOOKUP($L183,Emp!$A:$F,3,0)</f>
        <v>KODUNGALLUR</v>
      </c>
      <c r="O183" s="215" t="str">
        <f>VLOOKUP($L183,Emp!$A:$F,4,0)</f>
        <v>ARENA</v>
      </c>
      <c r="P183" s="214" t="s">
        <v>355</v>
      </c>
      <c r="Q183" s="56" t="s">
        <v>355</v>
      </c>
      <c r="R183" s="56" t="s">
        <v>355</v>
      </c>
      <c r="S183" s="56" t="s">
        <v>356</v>
      </c>
      <c r="T183" s="236" t="str">
        <f>IF(_xlfn.XLOOKUP(F183,IH!Y:Y,IH!AA:AA,"")="MAPPED","MAPPED","")</f>
        <v/>
      </c>
      <c r="U183" s="237" t="str">
        <f>IFERROR(VLOOKUP(H183,IH!C:T,18,0),"")</f>
        <v/>
      </c>
      <c r="V183" s="237" t="str">
        <f t="shared" si="15"/>
        <v/>
      </c>
      <c r="W183" s="221" t="str">
        <f>IFERROR(VLOOKUP(H183,IH!C:X,14,0),"")</f>
        <v/>
      </c>
      <c r="X183" s="215" t="str">
        <f>VLOOKUP($L183,Emp!$A:$F,5,0)</f>
        <v>JINEESH</v>
      </c>
      <c r="Y183" s="239" t="str">
        <f>VLOOKUP($H183,ERP!$H:$AP,33,0)</f>
        <v>DIVYARAJ C B (C26761),</v>
      </c>
      <c r="Z183" s="239" t="str">
        <f>VLOOKUP($H183,ERP!$H:$AP,34,0)</f>
        <v>SACHIN KRISHNA SAJEEV (KDLR)</v>
      </c>
    </row>
    <row r="184" hidden="1" customHeight="1" spans="1:26">
      <c r="A184" s="56">
        <v>183</v>
      </c>
      <c r="B184" s="218" t="s">
        <v>1394</v>
      </c>
      <c r="C184" s="218" t="s">
        <v>1395</v>
      </c>
      <c r="D184" s="218" t="s">
        <v>1396</v>
      </c>
      <c r="E184" s="218">
        <v>4484543</v>
      </c>
      <c r="F184" s="218" t="s">
        <v>1397</v>
      </c>
      <c r="G184" s="241">
        <v>46109</v>
      </c>
      <c r="H184" s="218">
        <v>2567604331</v>
      </c>
      <c r="I184" s="218" t="s">
        <v>1398</v>
      </c>
      <c r="J184" s="218" t="s">
        <v>532</v>
      </c>
      <c r="K184" s="218" t="s">
        <v>1399</v>
      </c>
      <c r="L184" s="231" t="s">
        <v>189</v>
      </c>
      <c r="M184" s="215" t="str">
        <f>VLOOKUP($L184,Emp!$A:$F,2,0)</f>
        <v>KASI VISWANATH</v>
      </c>
      <c r="N184" s="215" t="str">
        <f>VLOOKUP($L184,Emp!$A:$F,3,0)</f>
        <v>KAIPAMANGALAM</v>
      </c>
      <c r="O184" s="215" t="str">
        <f>VLOOKUP($L184,Emp!$A:$F,4,0)</f>
        <v>ARENA</v>
      </c>
      <c r="P184" s="218" t="s">
        <v>795</v>
      </c>
      <c r="Q184" s="56" t="s">
        <v>796</v>
      </c>
      <c r="R184" s="56" t="s">
        <v>378</v>
      </c>
      <c r="S184" s="56" t="s">
        <v>356</v>
      </c>
      <c r="T184" s="236" t="str">
        <f>IF(_xlfn.XLOOKUP(F184,IH!Y:Y,IH!AA:AA,"")="MAPPED","MAPPED","")</f>
        <v/>
      </c>
      <c r="U184" s="237" t="str">
        <f>IFERROR(VLOOKUP(H184,IH!C:T,18,0),"")</f>
        <v/>
      </c>
      <c r="V184" s="237" t="str">
        <f t="shared" si="15"/>
        <v/>
      </c>
      <c r="W184" s="221" t="str">
        <f>IFERROR(VLOOKUP(H184,IH!C:X,14,0),"")</f>
        <v/>
      </c>
      <c r="X184" s="215" t="str">
        <f>VLOOKUP($L184,Emp!$A:$F,5,0)</f>
        <v>JINEESH</v>
      </c>
      <c r="Y184" s="239" t="str">
        <f>VLOOKUP($H184,ERP!$H:$AP,33,0)</f>
        <v>JITHIN K ANAND(C26246),</v>
      </c>
      <c r="Z184" s="239" t="str">
        <f>VLOOKUP($H184,ERP!$H:$AP,34,0)</f>
        <v>KASI VISWANATH K M</v>
      </c>
    </row>
    <row r="185" hidden="1" customHeight="1" spans="1:26">
      <c r="A185" s="56">
        <v>184</v>
      </c>
      <c r="B185" s="218" t="s">
        <v>1400</v>
      </c>
      <c r="C185" s="218" t="s">
        <v>1401</v>
      </c>
      <c r="D185" s="218" t="s">
        <v>1402</v>
      </c>
      <c r="E185" s="218">
        <v>9258973</v>
      </c>
      <c r="F185" s="218" t="s">
        <v>1403</v>
      </c>
      <c r="G185" s="241">
        <v>46109</v>
      </c>
      <c r="H185" s="218">
        <v>2567765114</v>
      </c>
      <c r="I185" s="218" t="s">
        <v>1404</v>
      </c>
      <c r="J185" s="218" t="s">
        <v>1016</v>
      </c>
      <c r="K185" s="218" t="s">
        <v>742</v>
      </c>
      <c r="L185" s="231" t="s">
        <v>118</v>
      </c>
      <c r="M185" s="215" t="str">
        <f>VLOOKUP($L185,Emp!$A:$F,2,0)</f>
        <v>ARUN BABU</v>
      </c>
      <c r="N185" s="215" t="str">
        <f>VLOOKUP($L185,Emp!$A:$F,3,0)</f>
        <v>KOOTHATTUKULAM</v>
      </c>
      <c r="O185" s="215" t="str">
        <f>VLOOKUP($L185,Emp!$A:$F,4,0)</f>
        <v>ARENA</v>
      </c>
      <c r="P185" s="214" t="s">
        <v>355</v>
      </c>
      <c r="Q185" s="56" t="s">
        <v>355</v>
      </c>
      <c r="R185" s="56" t="s">
        <v>355</v>
      </c>
      <c r="S185" s="56" t="s">
        <v>356</v>
      </c>
      <c r="T185" s="236" t="str">
        <f>IF(_xlfn.XLOOKUP(F185,IH!Y:Y,IH!AA:AA,"")="MAPPED","MAPPED","")</f>
        <v/>
      </c>
      <c r="U185" s="237" t="str">
        <f>IFERROR(VLOOKUP(H185,IH!C:T,18,0),"")</f>
        <v/>
      </c>
      <c r="V185" s="237" t="str">
        <f t="shared" si="15"/>
        <v/>
      </c>
      <c r="W185" s="221" t="str">
        <f>IFERROR(VLOOKUP(H185,IH!C:X,14,0),"")</f>
        <v/>
      </c>
      <c r="X185" s="215" t="str">
        <f>VLOOKUP($L185,Emp!$A:$F,5,0)</f>
        <v>AMAL</v>
      </c>
      <c r="Y185" s="239" t="str">
        <f>VLOOKUP($H185,ERP!$H:$AP,33,0)</f>
        <v>SAJIN T.S.(C20798),</v>
      </c>
      <c r="Z185" s="239" t="str">
        <f>VLOOKUP($H185,ERP!$H:$AP,34,0)</f>
        <v>ARUN BABU(KTLM)</v>
      </c>
    </row>
    <row r="186" hidden="1" customHeight="1" spans="1:26">
      <c r="A186" s="56">
        <v>185</v>
      </c>
      <c r="B186" s="218" t="s">
        <v>1405</v>
      </c>
      <c r="C186" s="218" t="s">
        <v>1406</v>
      </c>
      <c r="D186" s="218" t="s">
        <v>1407</v>
      </c>
      <c r="E186" s="218" t="s">
        <v>1408</v>
      </c>
      <c r="F186" s="218" t="s">
        <v>1409</v>
      </c>
      <c r="G186" s="241">
        <v>46109</v>
      </c>
      <c r="H186" s="218">
        <v>2566904042</v>
      </c>
      <c r="I186" s="218" t="s">
        <v>1410</v>
      </c>
      <c r="J186" s="218" t="s">
        <v>1016</v>
      </c>
      <c r="K186" s="218" t="s">
        <v>784</v>
      </c>
      <c r="L186" s="231" t="s">
        <v>115</v>
      </c>
      <c r="M186" s="215" t="str">
        <f>VLOOKUP($L186,Emp!$A:$F,2,0)</f>
        <v>ARUN BABU</v>
      </c>
      <c r="N186" s="215" t="str">
        <f>VLOOKUP($L186,Emp!$A:$F,3,0)</f>
        <v>KOOTHATTUKULAM</v>
      </c>
      <c r="O186" s="215" t="str">
        <f>VLOOKUP($L186,Emp!$A:$F,4,0)</f>
        <v>ARENA</v>
      </c>
      <c r="P186" s="218" t="s">
        <v>436</v>
      </c>
      <c r="Q186" s="56" t="s">
        <v>437</v>
      </c>
      <c r="R186" s="56" t="s">
        <v>51</v>
      </c>
      <c r="S186" s="56" t="s">
        <v>367</v>
      </c>
      <c r="T186" s="236" t="str">
        <f>IF(_xlfn.XLOOKUP(F186,IH!Y:Y,IH!AA:AA,"")="MAPPED","MAPPED","")</f>
        <v>MAPPED</v>
      </c>
      <c r="U186" s="237" t="str">
        <f>IFERROR(VLOOKUP(H186,IH!C:T,18,0),"")</f>
        <v>MSSF DISBURSED</v>
      </c>
      <c r="V186" s="237" t="str">
        <f t="shared" si="15"/>
        <v>DISBURSED</v>
      </c>
      <c r="W186" s="221">
        <f>IFERROR(VLOOKUP(H186,IH!C:X,14,0),"")</f>
        <v>46109</v>
      </c>
      <c r="X186" s="215" t="str">
        <f>VLOOKUP($L186,Emp!$A:$F,5,0)</f>
        <v>AMAL</v>
      </c>
      <c r="Y186" s="239" t="str">
        <f>VLOOKUP($H186,ERP!$H:$AP,33,0)</f>
        <v>AJIL JAYAN (C25821),</v>
      </c>
      <c r="Z186" s="239" t="str">
        <f>VLOOKUP($H186,ERP!$H:$AP,34,0)</f>
        <v>ARUN BABU(KTLM)</v>
      </c>
    </row>
  </sheetData>
  <autoFilter xmlns:etc="http://www.wps.cn/officeDocument/2017/etCustomData" ref="A1:AA186" etc:filterBottomFollowUsedRange="0">
    <filterColumn colId="23">
      <filters>
        <filter val="WILSON"/>
      </filters>
    </filterColumn>
    <extLst/>
  </autoFilter>
  <conditionalFormatting sqref="L15">
    <cfRule type="expression" dxfId="4" priority="16">
      <formula>$A15&lt;&gt;""</formula>
    </cfRule>
  </conditionalFormatting>
  <conditionalFormatting sqref="J20">
    <cfRule type="expression" dxfId="4" priority="13">
      <formula>$A20&lt;&gt;""</formula>
    </cfRule>
  </conditionalFormatting>
  <conditionalFormatting sqref="J22">
    <cfRule type="expression" dxfId="4" priority="12">
      <formula>$A22&lt;&gt;""</formula>
    </cfRule>
  </conditionalFormatting>
  <conditionalFormatting sqref="J24">
    <cfRule type="expression" dxfId="4" priority="11">
      <formula>$A24&lt;&gt;""</formula>
    </cfRule>
  </conditionalFormatting>
  <conditionalFormatting sqref="J47">
    <cfRule type="expression" dxfId="4" priority="9">
      <formula>$A47&lt;&gt;""</formula>
    </cfRule>
  </conditionalFormatting>
  <conditionalFormatting sqref="J77">
    <cfRule type="expression" dxfId="4" priority="6">
      <formula>$A77&lt;&gt;""</formula>
    </cfRule>
  </conditionalFormatting>
  <conditionalFormatting sqref="J82">
    <cfRule type="expression" dxfId="4" priority="5">
      <formula>$A82&lt;&gt;""</formula>
    </cfRule>
  </conditionalFormatting>
  <conditionalFormatting sqref="J95">
    <cfRule type="expression" dxfId="4" priority="3">
      <formula>$A95&lt;&gt;""</formula>
    </cfRule>
  </conditionalFormatting>
  <conditionalFormatting sqref="J97">
    <cfRule type="expression" dxfId="4" priority="2">
      <formula>$A97&lt;&gt;""</formula>
    </cfRule>
  </conditionalFormatting>
  <conditionalFormatting sqref="D$1:D$1048576">
    <cfRule type="duplicateValues" dxfId="1" priority="17"/>
    <cfRule type="duplicateValues" dxfId="1" priority="19"/>
  </conditionalFormatting>
  <conditionalFormatting sqref="I$1:I$1048576">
    <cfRule type="duplicateValues" dxfId="1" priority="20"/>
  </conditionalFormatting>
  <conditionalFormatting sqref="J4:J12">
    <cfRule type="expression" dxfId="4" priority="15">
      <formula>$A4&lt;&gt;""</formula>
    </cfRule>
  </conditionalFormatting>
  <conditionalFormatting sqref="J15:J16">
    <cfRule type="expression" dxfId="4" priority="14">
      <formula>$A15&lt;&gt;""</formula>
    </cfRule>
  </conditionalFormatting>
  <conditionalFormatting sqref="J29:J30">
    <cfRule type="expression" dxfId="4" priority="10">
      <formula>$A29&lt;&gt;""</formula>
    </cfRule>
  </conditionalFormatting>
  <conditionalFormatting sqref="J53:J54">
    <cfRule type="expression" dxfId="4" priority="8">
      <formula>$A53&lt;&gt;""</formula>
    </cfRule>
  </conditionalFormatting>
  <conditionalFormatting sqref="J57:J58">
    <cfRule type="expression" dxfId="4" priority="7">
      <formula>$A57&lt;&gt;""</formula>
    </cfRule>
  </conditionalFormatting>
  <conditionalFormatting sqref="J84:J85">
    <cfRule type="expression" dxfId="4" priority="4">
      <formula>$A84&lt;&gt;""</formula>
    </cfRule>
  </conditionalFormatting>
  <conditionalFormatting sqref="J99:J101">
    <cfRule type="expression" dxfId="4" priority="1">
      <formula>$A99&lt;&gt;""</formula>
    </cfRule>
  </conditionalFormatting>
  <conditionalFormatting sqref="A1:AA3 A4:I12 K4:AA12 A13:AA14 A15:I16 K15 M15:AA15 K16:AA16 A17:AA19 A20:I20 K20:AA20 A21:AA21 A22:I22 K22:AA22 A23:AA23 A24:I24 K24:AA24 A25:AA28 A29:I30 K29:AA30 A31:AA46 A47:I47 K47:AA47 A48:AA52 A53:I54 K53:AA54 A55:AA56 A57:I58 K57:AA58 A59:AA76 A77:I77 K77:AA77 A78:AA81 A82:I82 K82:AA82 A83:AA83 A84:I85 K84:AA85 A86:AA94 A95:I95 K95:AA95 A96:AA96 A97:I97 K97:AA97 A98:AA98 A99:I101 K99:AA101 A102:AA1048576">
    <cfRule type="expression" dxfId="4" priority="18">
      <formula>$A1&lt;&gt;""</formula>
    </cfRule>
  </conditionalFormatting>
  <dataValidations count="1">
    <dataValidation type="list" allowBlank="1" showInputMessage="1" showErrorMessage="1" sqref="L2:L173 L174:L180 L181:L1048576">
      <formula1>Emp!$A:$A</formula1>
    </dataValidation>
  </dataValidations>
  <pageMargins left="0.275" right="0.314583333333333" top="1" bottom="0.432638888888889" header="0.51" footer="0.51"/>
  <pageSetup paperSize="9" scale="30" fitToHeight="0" orientation="landscape"/>
  <headerFooter alignWithMargins="0" scaleWithDoc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70C0"/>
  </sheetPr>
  <dimension ref="A1:AB132"/>
  <sheetViews>
    <sheetView zoomScale="85" zoomScaleNormal="85" topLeftCell="L1" workbookViewId="0">
      <pane ySplit="1" topLeftCell="A2" activePane="bottomLeft" state="frozen"/>
      <selection/>
      <selection pane="bottomLeft" activeCell="T74" sqref="T74 T105 T126 T128"/>
    </sheetView>
  </sheetViews>
  <sheetFormatPr defaultColWidth="0" defaultRowHeight="15" customHeight="1"/>
  <cols>
    <col min="1" max="1" width="4" style="137" customWidth="1"/>
    <col min="2" max="2" width="12.125" style="137" customWidth="1"/>
    <col min="3" max="3" width="12.375" style="203" customWidth="1"/>
    <col min="4" max="4" width="19.5" style="137" customWidth="1"/>
    <col min="5" max="5" width="22.75" style="137" customWidth="1"/>
    <col min="6" max="6" width="29.125" style="137" customWidth="1"/>
    <col min="7" max="7" width="9.125" style="204" customWidth="1"/>
    <col min="8" max="8" width="13.875" style="137" customWidth="1"/>
    <col min="9" max="9" width="10.125" style="137" customWidth="1"/>
    <col min="10" max="10" width="19.125" style="137" customWidth="1"/>
    <col min="11" max="11" width="22.125" style="203" customWidth="1"/>
    <col min="12" max="12" width="20.875" style="137" customWidth="1"/>
    <col min="13" max="13" width="17.125" style="137" customWidth="1"/>
    <col min="14" max="14" width="12.375" style="205" customWidth="1"/>
    <col min="15" max="15" width="10.875" style="206" customWidth="1"/>
    <col min="16" max="16" width="14.875" style="206" customWidth="1"/>
    <col min="17" max="17" width="9.25" style="137" customWidth="1"/>
    <col min="18" max="18" width="9.625" style="207" customWidth="1"/>
    <col min="19" max="19" width="9.875" style="206" customWidth="1"/>
    <col min="20" max="20" width="14.875" style="206" customWidth="1"/>
    <col min="21" max="21" width="11.375" style="206" customWidth="1"/>
    <col min="22" max="22" width="11.125" style="205" hidden="1" customWidth="1"/>
    <col min="23" max="23" width="12.625" style="205" hidden="1" customWidth="1"/>
    <col min="24" max="24" width="13.5" style="205" hidden="1" customWidth="1"/>
    <col min="25" max="25" width="15.875" style="138" customWidth="1"/>
    <col min="26" max="26" width="8.625" style="138" customWidth="1"/>
    <col min="27" max="27" width="14.1166666666667" style="202" customWidth="1"/>
    <col min="28" max="28" width="14.5" style="137" customWidth="1"/>
    <col min="29" max="31" width="9.7" style="138" customWidth="1"/>
    <col min="32" max="16382" width="9.7" style="138" hidden="1" customWidth="1"/>
    <col min="16383" max="16384" width="0" style="138" hidden="1" customWidth="1"/>
  </cols>
  <sheetData>
    <row r="1" s="202" customFormat="1" spans="1:28">
      <c r="A1" s="208" t="s">
        <v>326</v>
      </c>
      <c r="B1" s="208" t="s">
        <v>1411</v>
      </c>
      <c r="C1" s="208" t="s">
        <v>1412</v>
      </c>
      <c r="D1" s="208" t="s">
        <v>1413</v>
      </c>
      <c r="E1" s="208" t="s">
        <v>1414</v>
      </c>
      <c r="F1" s="208" t="s">
        <v>1415</v>
      </c>
      <c r="G1" s="208" t="s">
        <v>1416</v>
      </c>
      <c r="H1" s="208" t="s">
        <v>1417</v>
      </c>
      <c r="I1" s="208" t="s">
        <v>338</v>
      </c>
      <c r="J1" s="208" t="s">
        <v>1418</v>
      </c>
      <c r="K1" s="208" t="s">
        <v>47</v>
      </c>
      <c r="L1" s="220" t="s">
        <v>48</v>
      </c>
      <c r="M1" s="220" t="s">
        <v>321</v>
      </c>
      <c r="N1" s="220" t="s">
        <v>49</v>
      </c>
      <c r="O1" s="208" t="s">
        <v>1419</v>
      </c>
      <c r="P1" s="208" t="s">
        <v>343</v>
      </c>
      <c r="Q1" s="208" t="s">
        <v>1420</v>
      </c>
      <c r="R1" s="208" t="s">
        <v>1421</v>
      </c>
      <c r="S1" s="208" t="s">
        <v>342</v>
      </c>
      <c r="T1" s="208" t="s">
        <v>341</v>
      </c>
      <c r="U1" s="220" t="s">
        <v>322</v>
      </c>
      <c r="V1" s="224" t="s">
        <v>1422</v>
      </c>
      <c r="W1" s="224" t="s">
        <v>1423</v>
      </c>
      <c r="X1" s="208" t="s">
        <v>1424</v>
      </c>
      <c r="Y1" s="220" t="s">
        <v>1425</v>
      </c>
      <c r="Z1" s="220" t="s">
        <v>1426</v>
      </c>
      <c r="AA1" s="220" t="s">
        <v>1427</v>
      </c>
      <c r="AB1" s="226" t="s">
        <v>1428</v>
      </c>
    </row>
    <row r="2" hidden="1" customHeight="1" spans="1:28">
      <c r="A2" s="209">
        <v>1</v>
      </c>
      <c r="B2" s="209"/>
      <c r="C2" s="210"/>
      <c r="D2" s="209">
        <v>168702654</v>
      </c>
      <c r="E2" s="209"/>
      <c r="F2" s="209" t="s">
        <v>1429</v>
      </c>
      <c r="G2" s="211" t="s">
        <v>434</v>
      </c>
      <c r="H2" s="212">
        <v>400000</v>
      </c>
      <c r="I2" s="209" t="s">
        <v>507</v>
      </c>
      <c r="J2" s="209"/>
      <c r="K2" s="210" t="s">
        <v>55</v>
      </c>
      <c r="L2" s="210" t="str">
        <f>VLOOKUP($K2,Emp!$A$2:$E$347,2,0)</f>
        <v>ELDHO A JACOB</v>
      </c>
      <c r="M2" s="210" t="str">
        <f>VLOOKUP($K2,Emp!$A$2:$E$347,3,0)</f>
        <v>ANGAMALY</v>
      </c>
      <c r="N2" s="210" t="str">
        <f>VLOOKUP($K2,Emp!$A$2:$E$347,4,0)</f>
        <v>ARENA</v>
      </c>
      <c r="O2" s="221">
        <v>46067</v>
      </c>
      <c r="P2" s="221"/>
      <c r="Q2" s="209"/>
      <c r="S2" s="221" t="s">
        <v>300</v>
      </c>
      <c r="T2" s="221" t="s">
        <v>1430</v>
      </c>
      <c r="U2" s="210" t="str">
        <f>VLOOKUP($K2,Emp!$A$2:$E$347,5,0)</f>
        <v>SALMAN</v>
      </c>
      <c r="V2" s="225"/>
      <c r="W2" s="225"/>
      <c r="X2" s="225"/>
      <c r="Y2" s="209" t="e" cm="1">
        <f t="array" ref="Y2">INDEX(RETAIL!$F:$F,MATCH(1,(RETAIL!$B:$B=B2)*(RETAIL!$N:$N=M2),0))</f>
        <v>#N/A</v>
      </c>
      <c r="Z2" s="221" t="e">
        <f>_xlfn.XLOOKUP(Y2,RETAIL!F:F,RETAIL!G:G)</f>
        <v>#N/A</v>
      </c>
      <c r="AA2" s="227"/>
      <c r="AB2" s="137" t="str">
        <f>_xlfn.XLOOKUP(D2,[2]MAR!$F:$F,[2]MAR!$H:$H)</f>
        <v>REJECTED</v>
      </c>
    </row>
    <row r="3" hidden="1" customHeight="1" spans="1:28">
      <c r="A3" s="209">
        <v>2</v>
      </c>
      <c r="B3" s="209"/>
      <c r="C3" s="210"/>
      <c r="D3" s="209">
        <v>47439161</v>
      </c>
      <c r="E3" s="209"/>
      <c r="F3" s="209" t="s">
        <v>1431</v>
      </c>
      <c r="G3" s="213" t="s">
        <v>353</v>
      </c>
      <c r="H3" s="212">
        <v>400000</v>
      </c>
      <c r="I3" s="209" t="s">
        <v>386</v>
      </c>
      <c r="J3" s="209"/>
      <c r="K3" s="211" t="s">
        <v>67</v>
      </c>
      <c r="L3" s="210" t="str">
        <f>VLOOKUP($K3,Emp!$A$2:$E$347,2,0)</f>
        <v>ABHILASH K P</v>
      </c>
      <c r="M3" s="210" t="str">
        <f>VLOOKUP($K3,Emp!$A$2:$E$347,3,0)</f>
        <v>EDAPPALLY</v>
      </c>
      <c r="N3" s="210" t="str">
        <f>VLOOKUP($K3,Emp!$A$2:$E$347,4,0)</f>
        <v>ARENA</v>
      </c>
      <c r="O3" s="221">
        <v>46069</v>
      </c>
      <c r="P3" s="221"/>
      <c r="Q3" s="209"/>
      <c r="S3" s="221" t="s">
        <v>300</v>
      </c>
      <c r="T3" s="221" t="s">
        <v>1430</v>
      </c>
      <c r="U3" s="210" t="str">
        <f>VLOOKUP($K3,Emp!$A$2:$E$347,5,0)</f>
        <v>SIVAPRASAD</v>
      </c>
      <c r="V3" s="225"/>
      <c r="W3" s="225"/>
      <c r="X3" s="225"/>
      <c r="Y3" s="209" t="e" cm="1">
        <f t="array" ref="Y3">INDEX(RETAIL!$F:$F,MATCH(1,(RETAIL!$B:$B=B3)*(RETAIL!$N:$N=M3),0))</f>
        <v>#N/A</v>
      </c>
      <c r="Z3" s="221" t="e">
        <f>_xlfn.XLOOKUP(Y3,RETAIL!F:F,RETAIL!G:G)</f>
        <v>#N/A</v>
      </c>
      <c r="AA3" s="227"/>
      <c r="AB3" s="137" t="e">
        <f>_xlfn.XLOOKUP(D3,[2]MAR!$F:$F,[2]MAR!$H:$H)</f>
        <v>#N/A</v>
      </c>
    </row>
    <row r="4" hidden="1" customHeight="1" spans="1:28">
      <c r="A4" s="209">
        <v>3</v>
      </c>
      <c r="B4" s="209"/>
      <c r="C4" s="210"/>
      <c r="D4" s="209">
        <v>168762808</v>
      </c>
      <c r="E4" s="209"/>
      <c r="F4" s="209" t="s">
        <v>1432</v>
      </c>
      <c r="G4" s="213" t="s">
        <v>504</v>
      </c>
      <c r="H4" s="212">
        <v>400000</v>
      </c>
      <c r="I4" s="209" t="s">
        <v>507</v>
      </c>
      <c r="J4" s="209"/>
      <c r="K4" s="210" t="s">
        <v>121</v>
      </c>
      <c r="L4" s="210" t="str">
        <f>VLOOKUP($K4,Emp!$A$2:$E$347,2,0)</f>
        <v>ARUN BABU</v>
      </c>
      <c r="M4" s="210" t="str">
        <f>VLOOKUP($K4,Emp!$A$2:$E$347,3,0)</f>
        <v>KOOTHATTUKULAM</v>
      </c>
      <c r="N4" s="210" t="str">
        <f>VLOOKUP($K4,Emp!$A$2:$E$347,4,0)</f>
        <v>ARENA</v>
      </c>
      <c r="O4" s="221">
        <v>46070</v>
      </c>
      <c r="P4" s="221"/>
      <c r="Q4" s="209"/>
      <c r="S4" s="221" t="s">
        <v>300</v>
      </c>
      <c r="T4" s="221" t="s">
        <v>1430</v>
      </c>
      <c r="U4" s="210" t="str">
        <f>VLOOKUP($K4,Emp!$A$2:$E$347,5,0)</f>
        <v>AMAL</v>
      </c>
      <c r="V4" s="225"/>
      <c r="W4" s="225"/>
      <c r="X4" s="225"/>
      <c r="Y4" s="209" t="e" cm="1">
        <f t="array" ref="Y4">INDEX(RETAIL!$F:$F,MATCH(1,(RETAIL!$B:$B=B4)*(RETAIL!$N:$N=M4),0))</f>
        <v>#N/A</v>
      </c>
      <c r="Z4" s="221" t="e">
        <f>_xlfn.XLOOKUP(Y4,RETAIL!F:F,RETAIL!G:G)</f>
        <v>#N/A</v>
      </c>
      <c r="AA4" s="227"/>
      <c r="AB4" s="137" t="str">
        <f>_xlfn.XLOOKUP(D4,[2]MAR!$F:$F,[2]MAR!$H:$H)</f>
        <v>REJECTED</v>
      </c>
    </row>
    <row r="5" hidden="1" customHeight="1" spans="1:28">
      <c r="A5" s="209">
        <v>4</v>
      </c>
      <c r="B5" s="214" t="s">
        <v>985</v>
      </c>
      <c r="C5" s="214">
        <v>2567691174</v>
      </c>
      <c r="D5" s="414" t="s">
        <v>1433</v>
      </c>
      <c r="E5" s="209" t="s">
        <v>1434</v>
      </c>
      <c r="F5" s="209" t="s">
        <v>1435</v>
      </c>
      <c r="G5" s="213" t="s">
        <v>619</v>
      </c>
      <c r="H5" s="215">
        <v>996351</v>
      </c>
      <c r="I5" s="209" t="s">
        <v>553</v>
      </c>
      <c r="J5" s="209"/>
      <c r="K5" s="210" t="s">
        <v>86</v>
      </c>
      <c r="L5" s="210" t="str">
        <f>VLOOKUP($K5,Emp!$A$2:$E$347,2,0)</f>
        <v>REJIM GEORGE</v>
      </c>
      <c r="M5" s="210" t="str">
        <f>VLOOKUP($K5,Emp!$A$2:$E$347,3,0)</f>
        <v>FORTKOCHI</v>
      </c>
      <c r="N5" s="210" t="str">
        <f>VLOOKUP($K5,Emp!$A$2:$E$347,4,0)</f>
        <v>ARENA</v>
      </c>
      <c r="O5" s="221">
        <v>46072</v>
      </c>
      <c r="P5" s="221">
        <v>46100</v>
      </c>
      <c r="Q5" s="209"/>
      <c r="S5" s="221" t="s">
        <v>368</v>
      </c>
      <c r="T5" s="221" t="s">
        <v>1430</v>
      </c>
      <c r="U5" s="210" t="str">
        <f>VLOOKUP($K5,Emp!$A$2:$E$347,5,0)</f>
        <v>SIVAPRASAD</v>
      </c>
      <c r="V5" s="225"/>
      <c r="W5" s="225"/>
      <c r="X5" s="225"/>
      <c r="Y5" s="209" t="str">
        <f t="array" ref="Y5">INDEX(RETAIL!$F:$F,MATCH(1,(RETAIL!$B:$B=B5)*(RETAIL!$N:$N=M5),0))</f>
        <v>27/VSL/25000073</v>
      </c>
      <c r="Z5" s="221">
        <f>_xlfn.XLOOKUP(Y5,RETAIL!F:F,RETAIL!G:G)</f>
        <v>46102</v>
      </c>
      <c r="AA5" s="227"/>
      <c r="AB5" s="137" t="e">
        <f>_xlfn.XLOOKUP(D5,[2]MAR!$F:$F,[2]MAR!$H:$H)</f>
        <v>#N/A</v>
      </c>
    </row>
    <row r="6" hidden="1" customHeight="1" spans="1:28">
      <c r="A6" s="209">
        <v>5</v>
      </c>
      <c r="B6" s="209"/>
      <c r="C6" s="210"/>
      <c r="D6" s="414" t="s">
        <v>1436</v>
      </c>
      <c r="E6" s="209"/>
      <c r="F6" s="209" t="s">
        <v>1437</v>
      </c>
      <c r="G6" s="213" t="s">
        <v>363</v>
      </c>
      <c r="H6" s="212">
        <v>400000</v>
      </c>
      <c r="I6" s="209" t="s">
        <v>553</v>
      </c>
      <c r="J6" s="209"/>
      <c r="K6" s="210" t="s">
        <v>244</v>
      </c>
      <c r="L6" s="210" t="str">
        <f>VLOOKUP($K6,Emp!$A$2:$E$347,2,0)</f>
        <v>NOUFAL T A</v>
      </c>
      <c r="M6" s="210" t="str">
        <f>VLOOKUP($K6,Emp!$A$2:$E$347,3,0)</f>
        <v>EDAPPALLY</v>
      </c>
      <c r="N6" s="210" t="str">
        <f>VLOOKUP($K6,Emp!$A$2:$E$347,4,0)</f>
        <v>ARENA</v>
      </c>
      <c r="O6" s="221">
        <v>46073</v>
      </c>
      <c r="P6" s="221"/>
      <c r="Q6" s="209"/>
      <c r="S6" s="221" t="s">
        <v>300</v>
      </c>
      <c r="T6" s="221" t="s">
        <v>1430</v>
      </c>
      <c r="U6" s="210" t="str">
        <f>VLOOKUP($K6,Emp!$A$2:$E$347,5,0)</f>
        <v>SIVAPRASAD</v>
      </c>
      <c r="V6" s="225"/>
      <c r="W6" s="225"/>
      <c r="X6" s="225"/>
      <c r="Y6" s="209" t="e">
        <f t="array" ref="Y6">INDEX(RETAIL!$F:$F,MATCH(1,(RETAIL!$B:$B=B6)*(RETAIL!$N:$N=M6),0))</f>
        <v>#N/A</v>
      </c>
      <c r="Z6" s="221" t="e">
        <f>_xlfn.XLOOKUP(Y6,RETAIL!F:F,RETAIL!G:G)</f>
        <v>#N/A</v>
      </c>
      <c r="AA6" s="227"/>
      <c r="AB6" s="137" t="str">
        <f>_xlfn.XLOOKUP(D6,[2]MAR!$F:$F,[2]MAR!$H:$H)</f>
        <v>REJECTED</v>
      </c>
    </row>
    <row r="7" hidden="1" customHeight="1" spans="1:28">
      <c r="A7" s="209">
        <v>6</v>
      </c>
      <c r="B7" s="214" t="s">
        <v>1135</v>
      </c>
      <c r="C7" s="214">
        <v>2567141624</v>
      </c>
      <c r="D7" s="209" t="s">
        <v>1438</v>
      </c>
      <c r="E7" s="209" t="s">
        <v>1439</v>
      </c>
      <c r="F7" s="209" t="s">
        <v>1140</v>
      </c>
      <c r="G7" s="213" t="s">
        <v>504</v>
      </c>
      <c r="H7" s="215">
        <v>1000000</v>
      </c>
      <c r="I7" s="209" t="s">
        <v>366</v>
      </c>
      <c r="J7" s="209" t="s">
        <v>1440</v>
      </c>
      <c r="K7" s="210" t="s">
        <v>122</v>
      </c>
      <c r="L7" s="210" t="str">
        <f>VLOOKUP($K7,Emp!$A$2:$E$347,2,0)</f>
        <v>ARUN BABU</v>
      </c>
      <c r="M7" s="210" t="str">
        <f>VLOOKUP($K7,Emp!$A$2:$E$347,3,0)</f>
        <v>KOOTHATTUKULAM</v>
      </c>
      <c r="N7" s="210" t="str">
        <f>VLOOKUP($K7,Emp!$A$2:$E$347,4,0)</f>
        <v>ARENA</v>
      </c>
      <c r="O7" s="221">
        <v>46073</v>
      </c>
      <c r="P7" s="221">
        <v>46106</v>
      </c>
      <c r="Q7" s="137">
        <f>H7*R7</f>
        <v>13000</v>
      </c>
      <c r="R7" s="207">
        <v>0.013</v>
      </c>
      <c r="S7" s="221" t="s">
        <v>368</v>
      </c>
      <c r="T7" s="221" t="s">
        <v>1430</v>
      </c>
      <c r="U7" s="210" t="str">
        <f>VLOOKUP($K7,Emp!$A$2:$E$347,5,0)</f>
        <v>AMAL</v>
      </c>
      <c r="V7" s="225"/>
      <c r="W7" s="225"/>
      <c r="X7" s="225"/>
      <c r="Y7" s="209" t="str">
        <f t="array" ref="Y7">INDEX(RETAIL!$F:$F,MATCH(1,(RETAIL!$B:$B=B7)*(RETAIL!$N:$N=M7),0))</f>
        <v>88/VSL/25000185</v>
      </c>
      <c r="Z7" s="221">
        <f>_xlfn.XLOOKUP(Y7,RETAIL!F:F,RETAIL!G:G)</f>
        <v>46105</v>
      </c>
      <c r="AA7" s="227"/>
      <c r="AB7" s="137" t="str">
        <f>_xlfn.XLOOKUP(D7,[2]MAR!$F:$F,[2]MAR!$H:$H)</f>
        <v>APPLIED</v>
      </c>
    </row>
    <row r="8" hidden="1" customHeight="1" spans="1:28">
      <c r="A8" s="209">
        <v>7</v>
      </c>
      <c r="B8" s="209"/>
      <c r="C8" s="210"/>
      <c r="D8" s="209" t="s">
        <v>1441</v>
      </c>
      <c r="E8" s="209"/>
      <c r="F8" s="209" t="s">
        <v>1442</v>
      </c>
      <c r="G8" s="213" t="s">
        <v>489</v>
      </c>
      <c r="H8" s="212">
        <v>400000</v>
      </c>
      <c r="I8" s="209" t="s">
        <v>1018</v>
      </c>
      <c r="J8" s="209"/>
      <c r="K8" s="210" t="s">
        <v>68</v>
      </c>
      <c r="L8" s="210" t="str">
        <f>VLOOKUP($K8,Emp!$A$2:$E$347,2,0)</f>
        <v>MANU SASI</v>
      </c>
      <c r="M8" s="210" t="str">
        <f>VLOOKUP($K8,Emp!$A$2:$E$347,3,0)</f>
        <v>EDAPPALLY</v>
      </c>
      <c r="N8" s="210" t="str">
        <f>VLOOKUP($K8,Emp!$A$2:$E$347,4,0)</f>
        <v>ARENA</v>
      </c>
      <c r="O8" s="221">
        <v>46073</v>
      </c>
      <c r="P8" s="221"/>
      <c r="Q8" s="209"/>
      <c r="S8" s="221" t="s">
        <v>300</v>
      </c>
      <c r="T8" s="221" t="s">
        <v>1430</v>
      </c>
      <c r="U8" s="210" t="str">
        <f>VLOOKUP($K8,Emp!$A$2:$E$347,5,0)</f>
        <v>SIVAPRASAD</v>
      </c>
      <c r="V8" s="225"/>
      <c r="W8" s="225"/>
      <c r="X8" s="225"/>
      <c r="Y8" s="209" t="e">
        <f t="array" ref="Y8">INDEX(RETAIL!$F:$F,MATCH(1,(RETAIL!$B:$B=B8)*(RETAIL!$N:$N=M8),0))</f>
        <v>#N/A</v>
      </c>
      <c r="Z8" s="221" t="e">
        <f>_xlfn.XLOOKUP(Y8,RETAIL!F:F,RETAIL!G:G)</f>
        <v>#N/A</v>
      </c>
      <c r="AA8" s="227"/>
      <c r="AB8" s="137" t="str">
        <f>_xlfn.XLOOKUP(D8,[2]MAR!$F:$F,[2]MAR!$H:$H)</f>
        <v>APPLIED</v>
      </c>
    </row>
    <row r="9" hidden="1" customHeight="1" spans="1:28">
      <c r="A9" s="209">
        <v>8</v>
      </c>
      <c r="B9" s="214" t="s">
        <v>514</v>
      </c>
      <c r="C9" s="214">
        <v>2566948355</v>
      </c>
      <c r="D9" s="209">
        <v>19174523</v>
      </c>
      <c r="E9" s="209">
        <v>17223571</v>
      </c>
      <c r="F9" s="216" t="s">
        <v>1443</v>
      </c>
      <c r="G9" s="213" t="s">
        <v>489</v>
      </c>
      <c r="H9" s="215">
        <v>471466</v>
      </c>
      <c r="I9" s="209" t="s">
        <v>457</v>
      </c>
      <c r="J9" s="209"/>
      <c r="K9" s="210" t="s">
        <v>226</v>
      </c>
      <c r="L9" s="210" t="str">
        <f>VLOOKUP($K9,Emp!$A$2:$E$347,2,0)</f>
        <v>RATISH K R</v>
      </c>
      <c r="M9" s="210" t="str">
        <f>VLOOKUP($K9,Emp!$A$2:$E$347,3,0)</f>
        <v>KADAVANTHRA</v>
      </c>
      <c r="N9" s="210" t="str">
        <f>VLOOKUP($K9,Emp!$A$2:$E$347,4,0)</f>
        <v>ARENA</v>
      </c>
      <c r="O9" s="221">
        <v>46076</v>
      </c>
      <c r="P9" s="221">
        <v>46092</v>
      </c>
      <c r="Q9" s="209"/>
      <c r="S9" s="221" t="s">
        <v>368</v>
      </c>
      <c r="T9" s="221" t="s">
        <v>10</v>
      </c>
      <c r="U9" s="210" t="str">
        <f>VLOOKUP($K9,Emp!$A$2:$E$347,5,0)</f>
        <v>SALMAN</v>
      </c>
      <c r="V9" s="225"/>
      <c r="W9" s="225"/>
      <c r="X9" s="225"/>
      <c r="Y9" s="209" t="str">
        <f t="array" ref="Y9">INDEX(RETAIL!$F:$F,MATCH(1,(RETAIL!$B:$B=B9)*(RETAIL!$N:$N=M9),0))</f>
        <v>40/VSL/25001429</v>
      </c>
      <c r="Z9" s="221">
        <f>_xlfn.XLOOKUP(Y9,RETAIL!F:F,RETAIL!G:G)</f>
        <v>46090</v>
      </c>
      <c r="AA9" s="227" t="s">
        <v>1444</v>
      </c>
      <c r="AB9" s="228" t="s">
        <v>368</v>
      </c>
    </row>
    <row r="10" hidden="1" customHeight="1" spans="1:28">
      <c r="A10" s="209">
        <v>9</v>
      </c>
      <c r="B10" s="214" t="s">
        <v>756</v>
      </c>
      <c r="C10" s="214">
        <v>2567608985</v>
      </c>
      <c r="D10" s="209">
        <v>47689647</v>
      </c>
      <c r="E10" s="209">
        <v>44993804822</v>
      </c>
      <c r="F10" s="209" t="s">
        <v>1445</v>
      </c>
      <c r="G10" s="213" t="s">
        <v>463</v>
      </c>
      <c r="H10" s="215">
        <v>768500</v>
      </c>
      <c r="I10" s="209" t="s">
        <v>386</v>
      </c>
      <c r="J10" s="209" t="s">
        <v>1446</v>
      </c>
      <c r="K10" s="210" t="s">
        <v>65</v>
      </c>
      <c r="L10" s="210" t="str">
        <f>VLOOKUP($K10,Emp!$A$2:$E$347,2,0)</f>
        <v>ABHILASH K P</v>
      </c>
      <c r="M10" s="210" t="str">
        <f>VLOOKUP($K10,Emp!$A$2:$E$347,3,0)</f>
        <v>EDAPPALLY</v>
      </c>
      <c r="N10" s="210" t="str">
        <f>VLOOKUP($K10,Emp!$A$2:$E$347,4,0)</f>
        <v>ARENA</v>
      </c>
      <c r="O10" s="221">
        <v>46078</v>
      </c>
      <c r="P10" s="221">
        <v>46093</v>
      </c>
      <c r="Q10" s="209">
        <f>H10*R10</f>
        <v>15370</v>
      </c>
      <c r="R10" s="207">
        <v>0.02</v>
      </c>
      <c r="S10" s="221" t="s">
        <v>368</v>
      </c>
      <c r="T10" s="221" t="s">
        <v>1430</v>
      </c>
      <c r="U10" s="210" t="str">
        <f>VLOOKUP($K10,Emp!$A$2:$E$347,5,0)</f>
        <v>SIVAPRASAD</v>
      </c>
      <c r="V10" s="225"/>
      <c r="W10" s="225"/>
      <c r="X10" s="225"/>
      <c r="Y10" s="209" t="str">
        <f t="array" ref="Y10">INDEX(RETAIL!$F:$F,MATCH(1,(RETAIL!$B:$B=B10)*(RETAIL!$N:$N=M10),0))</f>
        <v>40/VSL/25001459</v>
      </c>
      <c r="Z10" s="221">
        <f>_xlfn.XLOOKUP(Y10,RETAIL!F:F,RETAIL!G:G)</f>
        <v>46095</v>
      </c>
      <c r="AA10" s="227"/>
      <c r="AB10" s="137" t="str">
        <f>_xlfn.XLOOKUP(D10,[2]MAR!$F:$F,[2]MAR!$H:$H)</f>
        <v>UNDER PROCESS</v>
      </c>
    </row>
    <row r="11" hidden="1" customHeight="1" spans="1:28">
      <c r="A11" s="209">
        <v>10</v>
      </c>
      <c r="B11" s="209"/>
      <c r="C11" s="210"/>
      <c r="D11" s="414" t="s">
        <v>1447</v>
      </c>
      <c r="E11" s="209"/>
      <c r="F11" s="209" t="s">
        <v>1448</v>
      </c>
      <c r="G11" s="213" t="s">
        <v>443</v>
      </c>
      <c r="H11" s="212">
        <v>400000</v>
      </c>
      <c r="I11" s="209" t="s">
        <v>553</v>
      </c>
      <c r="J11" s="209"/>
      <c r="K11" s="210" t="s">
        <v>73</v>
      </c>
      <c r="L11" s="210" t="str">
        <f>VLOOKUP($K11,Emp!$A$2:$E$347,2,0)</f>
        <v>NOUFAL T A</v>
      </c>
      <c r="M11" s="210" t="str">
        <f>VLOOKUP($K11,Emp!$A$2:$E$347,3,0)</f>
        <v>EDAPPALLY</v>
      </c>
      <c r="N11" s="210" t="str">
        <f>VLOOKUP($K11,Emp!$A$2:$E$347,4,0)</f>
        <v>ARENA</v>
      </c>
      <c r="O11" s="221">
        <v>46079</v>
      </c>
      <c r="P11" s="221"/>
      <c r="Q11" s="209"/>
      <c r="S11" s="221" t="s">
        <v>300</v>
      </c>
      <c r="T11" s="221" t="s">
        <v>1430</v>
      </c>
      <c r="U11" s="210" t="str">
        <f>VLOOKUP($K11,Emp!$A$2:$E$347,5,0)</f>
        <v>SIVAPRASAD</v>
      </c>
      <c r="V11" s="225"/>
      <c r="W11" s="225"/>
      <c r="X11" s="225"/>
      <c r="Y11" s="209" t="e">
        <f t="array" ref="Y11">INDEX(RETAIL!$F:$F,MATCH(1,(RETAIL!$B:$B=B11)*(RETAIL!$N:$N=M11),0))</f>
        <v>#N/A</v>
      </c>
      <c r="Z11" s="221" t="e">
        <f>_xlfn.XLOOKUP(Y11,RETAIL!F:F,RETAIL!G:G)</f>
        <v>#N/A</v>
      </c>
      <c r="AA11" s="227"/>
      <c r="AB11" s="137" t="e">
        <f>_xlfn.XLOOKUP(D11,[2]MAR!$F:$F,[2]MAR!$H:$H)</f>
        <v>#N/A</v>
      </c>
    </row>
    <row r="12" hidden="1" customHeight="1" spans="1:28">
      <c r="A12" s="209">
        <v>11</v>
      </c>
      <c r="B12" s="209"/>
      <c r="C12" s="210"/>
      <c r="D12" s="209" t="s">
        <v>1449</v>
      </c>
      <c r="E12" s="209"/>
      <c r="F12" s="209" t="s">
        <v>1450</v>
      </c>
      <c r="G12" s="213" t="s">
        <v>489</v>
      </c>
      <c r="H12" s="212">
        <v>400000</v>
      </c>
      <c r="I12" s="209" t="s">
        <v>492</v>
      </c>
      <c r="J12" s="209"/>
      <c r="K12" s="210" t="s">
        <v>75</v>
      </c>
      <c r="L12" s="210" t="str">
        <f>VLOOKUP($K12,Emp!$A$2:$E$347,2,0)</f>
        <v>NOUFAL T A</v>
      </c>
      <c r="M12" s="210" t="str">
        <f>VLOOKUP($K12,Emp!$A$2:$E$347,3,0)</f>
        <v>EDAPPALLY</v>
      </c>
      <c r="N12" s="210" t="str">
        <f>VLOOKUP($K12,Emp!$A$2:$E$347,4,0)</f>
        <v>ARENA</v>
      </c>
      <c r="O12" s="221">
        <v>46086</v>
      </c>
      <c r="P12" s="221"/>
      <c r="Q12" s="209"/>
      <c r="S12" s="221" t="s">
        <v>300</v>
      </c>
      <c r="T12" s="221" t="s">
        <v>1430</v>
      </c>
      <c r="U12" s="210" t="str">
        <f>VLOOKUP($K12,Emp!$A$2:$E$347,5,0)</f>
        <v>SIVAPRASAD</v>
      </c>
      <c r="V12" s="225"/>
      <c r="W12" s="225"/>
      <c r="X12" s="225"/>
      <c r="Y12" s="209" t="e">
        <f t="array" ref="Y12">INDEX(RETAIL!$F:$F,MATCH(1,(RETAIL!$B:$B=B12)*(RETAIL!$N:$N=M12),0))</f>
        <v>#N/A</v>
      </c>
      <c r="Z12" s="221" t="e">
        <f>_xlfn.XLOOKUP(Y12,RETAIL!F:F,RETAIL!G:G)</f>
        <v>#N/A</v>
      </c>
      <c r="AA12" s="227"/>
      <c r="AB12" s="137" t="str">
        <f>_xlfn.XLOOKUP(D12,[2]MAR!$F:$F,[2]MAR!$H:$H)</f>
        <v>APPLIED</v>
      </c>
    </row>
    <row r="13" hidden="1" customHeight="1" spans="1:28">
      <c r="A13" s="209">
        <v>12</v>
      </c>
      <c r="B13" s="214" t="s">
        <v>690</v>
      </c>
      <c r="C13" s="214">
        <v>2567274675</v>
      </c>
      <c r="D13" s="137" t="s">
        <v>1451</v>
      </c>
      <c r="E13" s="137" t="s">
        <v>1452</v>
      </c>
      <c r="F13" s="137" t="s">
        <v>694</v>
      </c>
      <c r="G13" s="213" t="s">
        <v>363</v>
      </c>
      <c r="H13" s="215">
        <v>544000</v>
      </c>
      <c r="I13" s="137" t="s">
        <v>366</v>
      </c>
      <c r="J13" s="137" t="s">
        <v>1453</v>
      </c>
      <c r="K13" s="203" t="s">
        <v>68</v>
      </c>
      <c r="L13" s="210" t="str">
        <f>VLOOKUP($K13,Emp!$A$2:$E$347,2,0)</f>
        <v>MANU SASI</v>
      </c>
      <c r="M13" s="210" t="str">
        <f>VLOOKUP($K13,Emp!$A$2:$E$347,3,0)</f>
        <v>EDAPPALLY</v>
      </c>
      <c r="N13" s="210" t="str">
        <f>VLOOKUP($K13,Emp!$A$2:$E$347,4,0)</f>
        <v>ARENA</v>
      </c>
      <c r="O13" s="206">
        <v>46086</v>
      </c>
      <c r="P13" s="221">
        <v>46091</v>
      </c>
      <c r="Q13" s="209">
        <f>H13*R13</f>
        <v>7072</v>
      </c>
      <c r="R13" s="207">
        <v>0.013</v>
      </c>
      <c r="S13" s="221" t="s">
        <v>368</v>
      </c>
      <c r="T13" s="221" t="s">
        <v>10</v>
      </c>
      <c r="U13" s="210" t="str">
        <f>VLOOKUP($K13,Emp!$A$2:$E$347,5,0)</f>
        <v>SIVAPRASAD</v>
      </c>
      <c r="V13" s="225"/>
      <c r="W13" s="225"/>
      <c r="X13" s="225"/>
      <c r="Y13" s="209" t="str">
        <f t="array" ref="Y13">INDEX(RETAIL!$F:$F,MATCH(1,(RETAIL!$B:$B=B13)*(RETAIL!$N:$N=M13),0))</f>
        <v>40/VSL/25001451</v>
      </c>
      <c r="Z13" s="221">
        <f>_xlfn.XLOOKUP(Y13,RETAIL!F:F,RETAIL!G:G)</f>
        <v>46094</v>
      </c>
      <c r="AA13" s="227" t="s">
        <v>559</v>
      </c>
      <c r="AB13" s="137" t="str">
        <f>_xlfn.XLOOKUP(D13,[2]MAR!$F:$F,[2]MAR!$H:$H)</f>
        <v>DISBURSED</v>
      </c>
    </row>
    <row r="14" hidden="1" customHeight="1" spans="1:28">
      <c r="A14" s="209">
        <v>13</v>
      </c>
      <c r="B14" s="214" t="s">
        <v>412</v>
      </c>
      <c r="C14" s="214">
        <v>2567186125</v>
      </c>
      <c r="D14" s="137" t="s">
        <v>1454</v>
      </c>
      <c r="E14" s="137" t="s">
        <v>1455</v>
      </c>
      <c r="F14" s="137" t="s">
        <v>416</v>
      </c>
      <c r="G14" s="213" t="s">
        <v>363</v>
      </c>
      <c r="H14" s="215">
        <v>550000</v>
      </c>
      <c r="I14" s="137" t="s">
        <v>366</v>
      </c>
      <c r="J14" s="137" t="s">
        <v>1456</v>
      </c>
      <c r="K14" s="203" t="s">
        <v>70</v>
      </c>
      <c r="L14" s="210" t="str">
        <f>VLOOKUP($K14,Emp!$A$2:$E$347,2,0)</f>
        <v>MANU SASI</v>
      </c>
      <c r="M14" s="210" t="str">
        <f>VLOOKUP($K14,Emp!$A$2:$E$347,3,0)</f>
        <v>EDAPPALLY</v>
      </c>
      <c r="N14" s="210" t="str">
        <f>VLOOKUP($K14,Emp!$A$2:$E$347,4,0)</f>
        <v>ARENA</v>
      </c>
      <c r="O14" s="206">
        <v>46086</v>
      </c>
      <c r="P14" s="221">
        <v>46086</v>
      </c>
      <c r="Q14" s="209">
        <f>H14*R14</f>
        <v>7150</v>
      </c>
      <c r="R14" s="207">
        <v>0.013</v>
      </c>
      <c r="S14" s="221" t="s">
        <v>368</v>
      </c>
      <c r="T14" s="221" t="s">
        <v>1430</v>
      </c>
      <c r="U14" s="210" t="str">
        <f>VLOOKUP($K14,Emp!$A$2:$E$347,5,0)</f>
        <v>SIVAPRASAD</v>
      </c>
      <c r="V14" s="225"/>
      <c r="W14" s="225"/>
      <c r="X14" s="225"/>
      <c r="Y14" s="209" t="str">
        <f t="array" ref="Y14">INDEX(RETAIL!$F:$F,MATCH(1,(RETAIL!$B:$B=B14)*(RETAIL!$N:$N=M14),0))</f>
        <v>40/VSL/25001418</v>
      </c>
      <c r="Z14" s="221">
        <f>_xlfn.XLOOKUP(Y14,RETAIL!F:F,RETAIL!G:G)</f>
        <v>46087</v>
      </c>
      <c r="AA14" s="227"/>
      <c r="AB14" s="137" t="str">
        <f>_xlfn.XLOOKUP(D14,[2]MAR!$F:$F,[2]MAR!$H:$H)</f>
        <v>REJECTED</v>
      </c>
    </row>
    <row r="15" hidden="1" customHeight="1" spans="1:28">
      <c r="A15" s="209">
        <v>14</v>
      </c>
      <c r="D15" s="415" t="s">
        <v>1457</v>
      </c>
      <c r="F15" s="137" t="s">
        <v>1458</v>
      </c>
      <c r="G15" s="213" t="s">
        <v>363</v>
      </c>
      <c r="H15" s="212">
        <v>400000</v>
      </c>
      <c r="I15" s="137" t="s">
        <v>553</v>
      </c>
      <c r="K15" s="203" t="s">
        <v>80</v>
      </c>
      <c r="L15" s="210" t="str">
        <f>VLOOKUP($K15,Emp!$A$2:$E$347,2,0)</f>
        <v>SHEMEER A K</v>
      </c>
      <c r="M15" s="210" t="str">
        <f>VLOOKUP($K15,Emp!$A$2:$E$347,3,0)</f>
        <v>EDAPPALLY</v>
      </c>
      <c r="N15" s="210" t="str">
        <f>VLOOKUP($K15,Emp!$A$2:$E$347,4,0)</f>
        <v>ARENA</v>
      </c>
      <c r="O15" s="206">
        <v>46086</v>
      </c>
      <c r="P15" s="221"/>
      <c r="Q15" s="209"/>
      <c r="S15" s="221" t="s">
        <v>300</v>
      </c>
      <c r="T15" s="221" t="s">
        <v>1430</v>
      </c>
      <c r="U15" s="210" t="str">
        <f>VLOOKUP($K15,Emp!$A$2:$E$347,5,0)</f>
        <v>SIVAPRASAD</v>
      </c>
      <c r="V15" s="225"/>
      <c r="W15" s="225"/>
      <c r="X15" s="225"/>
      <c r="Y15" s="209" t="e">
        <f t="array" ref="Y15">INDEX(RETAIL!$F:$F,MATCH(1,(RETAIL!$B:$B=B15)*(RETAIL!$N:$N=M15),0))</f>
        <v>#N/A</v>
      </c>
      <c r="Z15" s="221" t="e">
        <f>_xlfn.XLOOKUP(Y15,RETAIL!F:F,RETAIL!G:G)</f>
        <v>#N/A</v>
      </c>
      <c r="AA15" s="227"/>
      <c r="AB15" s="137" t="e">
        <f>_xlfn.XLOOKUP(D15,[2]MAR!$F:$F,[2]MAR!$H:$H)</f>
        <v>#N/A</v>
      </c>
    </row>
    <row r="16" hidden="1" customHeight="1" spans="1:28">
      <c r="A16" s="209">
        <v>15</v>
      </c>
      <c r="B16" s="214" t="s">
        <v>445</v>
      </c>
      <c r="C16" s="214">
        <v>2567479837</v>
      </c>
      <c r="D16" s="137" t="s">
        <v>1459</v>
      </c>
      <c r="E16" s="137" t="s">
        <v>1460</v>
      </c>
      <c r="F16" s="137" t="s">
        <v>1461</v>
      </c>
      <c r="G16" s="213" t="s">
        <v>363</v>
      </c>
      <c r="H16" s="215">
        <v>540186</v>
      </c>
      <c r="I16" s="137" t="s">
        <v>366</v>
      </c>
      <c r="J16" s="137" t="s">
        <v>1462</v>
      </c>
      <c r="K16" s="203" t="s">
        <v>54</v>
      </c>
      <c r="L16" s="210" t="str">
        <f>VLOOKUP($K16,Emp!$A$2:$E$347,2,0)</f>
        <v>SHEMEER A K</v>
      </c>
      <c r="M16" s="210" t="str">
        <f>VLOOKUP($K16,Emp!$A$2:$E$347,3,0)</f>
        <v>EDAPPALLY</v>
      </c>
      <c r="N16" s="210" t="str">
        <f>VLOOKUP($K16,Emp!$A$2:$E$347,4,0)</f>
        <v>ARENA</v>
      </c>
      <c r="O16" s="206">
        <v>46086</v>
      </c>
      <c r="P16" s="221">
        <v>46088</v>
      </c>
      <c r="Q16" s="209">
        <f>H16*R16</f>
        <v>7022.418</v>
      </c>
      <c r="R16" s="207">
        <v>0.013</v>
      </c>
      <c r="S16" s="221" t="s">
        <v>368</v>
      </c>
      <c r="T16" s="221" t="s">
        <v>10</v>
      </c>
      <c r="U16" s="210" t="str">
        <f>VLOOKUP($K16,Emp!$A$2:$E$347,5,0)</f>
        <v>SIVAPRASAD</v>
      </c>
      <c r="V16" s="225"/>
      <c r="W16" s="225"/>
      <c r="X16" s="225"/>
      <c r="Y16" s="209" t="str">
        <f t="array" ref="Y16">INDEX(RETAIL!$F:$F,MATCH(1,(RETAIL!$B:$B=B16)*(RETAIL!$N:$N=M16),0))</f>
        <v>40/VSL/25001421</v>
      </c>
      <c r="Z16" s="221">
        <f>_xlfn.XLOOKUP(Y16,RETAIL!F:F,RETAIL!G:G)</f>
        <v>46088</v>
      </c>
      <c r="AA16" s="227" t="s">
        <v>559</v>
      </c>
      <c r="AB16" s="137" t="str">
        <f>_xlfn.XLOOKUP(D16,[2]MAR!$F:$F,[2]MAR!$H:$H)</f>
        <v>DISBURSED</v>
      </c>
    </row>
    <row r="17" hidden="1" customHeight="1" spans="1:28">
      <c r="A17" s="209">
        <v>16</v>
      </c>
      <c r="B17" s="214" t="s">
        <v>578</v>
      </c>
      <c r="C17" s="214">
        <v>2567549960</v>
      </c>
      <c r="D17" s="137">
        <v>169077417</v>
      </c>
      <c r="E17" s="137">
        <v>169077417</v>
      </c>
      <c r="F17" s="137" t="s">
        <v>583</v>
      </c>
      <c r="G17" s="213" t="s">
        <v>489</v>
      </c>
      <c r="H17" s="215">
        <v>498536</v>
      </c>
      <c r="I17" s="137" t="s">
        <v>507</v>
      </c>
      <c r="K17" s="203" t="s">
        <v>177</v>
      </c>
      <c r="L17" s="210" t="str">
        <f>VLOOKUP($K17,Emp!$A$2:$E$347,2,0)</f>
        <v>PRANOOB V NAIR</v>
      </c>
      <c r="M17" s="210" t="str">
        <f>VLOOKUP($K17,Emp!$A$2:$E$347,3,0)</f>
        <v>TRIPPUNITHURA</v>
      </c>
      <c r="N17" s="210" t="str">
        <f>VLOOKUP($K17,Emp!$A$2:$E$347,4,0)</f>
        <v>ARENA</v>
      </c>
      <c r="O17" s="206">
        <v>46087</v>
      </c>
      <c r="P17" s="206">
        <v>46091</v>
      </c>
      <c r="S17" s="221" t="s">
        <v>368</v>
      </c>
      <c r="T17" s="221" t="s">
        <v>10</v>
      </c>
      <c r="U17" s="210" t="str">
        <f>VLOOKUP($K17,Emp!$A$2:$E$347,5,0)</f>
        <v>SIVAPRASAD</v>
      </c>
      <c r="V17" s="225"/>
      <c r="W17" s="225"/>
      <c r="X17" s="225"/>
      <c r="Y17" s="209" t="str">
        <f t="array" ref="Y17">INDEX(RETAIL!$F:$F,MATCH(1,(RETAIL!$B:$B=B17)*(RETAIL!$N:$N=M17),0))</f>
        <v>40/VSL/25001437</v>
      </c>
      <c r="Z17" s="221">
        <f>_xlfn.XLOOKUP(Y17,RETAIL!F:F,RETAIL!G:G)</f>
        <v>46092</v>
      </c>
      <c r="AA17" s="227" t="s">
        <v>559</v>
      </c>
      <c r="AB17" s="137" t="str">
        <f>_xlfn.XLOOKUP(D17,[2]MAR!$F:$F,[2]MAR!$H:$H)</f>
        <v>DISBURSED</v>
      </c>
    </row>
    <row r="18" hidden="1" customHeight="1" spans="1:28">
      <c r="A18" s="209">
        <v>17</v>
      </c>
      <c r="B18" s="214" t="s">
        <v>521</v>
      </c>
      <c r="C18" s="214">
        <v>2566534647</v>
      </c>
      <c r="D18" s="137" t="s">
        <v>1463</v>
      </c>
      <c r="E18" s="137" t="s">
        <v>1464</v>
      </c>
      <c r="F18" s="137" t="s">
        <v>1465</v>
      </c>
      <c r="G18" s="213" t="s">
        <v>489</v>
      </c>
      <c r="H18" s="137">
        <v>563446</v>
      </c>
      <c r="I18" s="137" t="s">
        <v>492</v>
      </c>
      <c r="J18" s="137" t="s">
        <v>1466</v>
      </c>
      <c r="K18" s="203" t="s">
        <v>213</v>
      </c>
      <c r="L18" s="210" t="str">
        <f>VLOOKUP($K18,Emp!$A$2:$E$347,2,0)</f>
        <v>SIVAPRAKASH K S</v>
      </c>
      <c r="M18" s="210" t="str">
        <f>VLOOKUP($K18,Emp!$A$2:$E$347,3,0)</f>
        <v>THRISSUR</v>
      </c>
      <c r="N18" s="210" t="str">
        <f>VLOOKUP($K18,Emp!$A$2:$E$347,4,0)</f>
        <v>ARENA</v>
      </c>
      <c r="O18" s="206">
        <v>46087</v>
      </c>
      <c r="P18" s="206">
        <v>46087</v>
      </c>
      <c r="S18" s="221" t="s">
        <v>368</v>
      </c>
      <c r="T18" s="221" t="s">
        <v>356</v>
      </c>
      <c r="U18" s="210" t="str">
        <f>VLOOKUP($K18,Emp!$A$2:$E$347,5,0)</f>
        <v>SINTO</v>
      </c>
      <c r="V18" s="225"/>
      <c r="W18" s="225"/>
      <c r="X18" s="225"/>
      <c r="Y18" s="209" t="str">
        <f t="array" ref="Y18">INDEX(RETAIL!$F:$F,MATCH(1,(RETAIL!$B:$B=B18)*(RETAIL!$N:$N=M18),0))</f>
        <v>40/VSL/25001425</v>
      </c>
      <c r="Z18" s="221">
        <f>_xlfn.XLOOKUP(Y18,RETAIL!F:F,RETAIL!G:G)</f>
        <v>46090</v>
      </c>
      <c r="AA18" s="227"/>
      <c r="AB18" s="137" t="e">
        <f>_xlfn.XLOOKUP(D18,[2]MAR!$F:$F,[2]MAR!$H:$H)</f>
        <v>#N/A</v>
      </c>
    </row>
    <row r="19" hidden="1" customHeight="1" spans="1:28">
      <c r="A19" s="209">
        <v>18</v>
      </c>
      <c r="B19" s="214" t="s">
        <v>451</v>
      </c>
      <c r="C19" s="214">
        <v>2567449123</v>
      </c>
      <c r="D19" s="137">
        <v>19471203</v>
      </c>
      <c r="E19" s="137">
        <v>17677305</v>
      </c>
      <c r="F19" s="137" t="s">
        <v>455</v>
      </c>
      <c r="G19" s="213" t="s">
        <v>489</v>
      </c>
      <c r="H19" s="137">
        <v>500000</v>
      </c>
      <c r="I19" s="137" t="s">
        <v>457</v>
      </c>
      <c r="K19" s="203" t="s">
        <v>98</v>
      </c>
      <c r="L19" s="210" t="str">
        <f>VLOOKUP($K19,Emp!$A$2:$E$347,2,0)</f>
        <v>BINOY RAJ</v>
      </c>
      <c r="M19" s="210" t="str">
        <f>VLOOKUP($K19,Emp!$A$2:$E$347,3,0)</f>
        <v>KODUNGALLUR</v>
      </c>
      <c r="N19" s="210" t="str">
        <f>VLOOKUP($K19,Emp!$A$2:$E$347,4,0)</f>
        <v>ARENA</v>
      </c>
      <c r="O19" s="206">
        <v>46087</v>
      </c>
      <c r="P19" s="206">
        <v>46087</v>
      </c>
      <c r="S19" s="221" t="s">
        <v>368</v>
      </c>
      <c r="T19" s="221" t="s">
        <v>10</v>
      </c>
      <c r="U19" s="210" t="str">
        <f>VLOOKUP($K19,Emp!$A$2:$E$347,5,0)</f>
        <v>JINEESH</v>
      </c>
      <c r="V19" s="225"/>
      <c r="W19" s="225"/>
      <c r="X19" s="225"/>
      <c r="Y19" s="209" t="str">
        <f t="array" ref="Y19">INDEX(RETAIL!$F:$F,MATCH(1,(RETAIL!$B:$B=B19)*(RETAIL!$N:$N=M19),0))</f>
        <v>40/VSL/25001420</v>
      </c>
      <c r="Z19" s="221">
        <f>_xlfn.XLOOKUP(Y19,RETAIL!F:F,RETAIL!G:G)</f>
        <v>46088</v>
      </c>
      <c r="AA19" s="227" t="s">
        <v>559</v>
      </c>
      <c r="AB19" s="137" t="str">
        <f>_xlfn.XLOOKUP(D19,[2]MAR!$F:$F,[2]MAR!$H:$H)</f>
        <v>DISBURSED</v>
      </c>
    </row>
    <row r="20" hidden="1" customHeight="1" spans="1:28">
      <c r="A20" s="209">
        <v>19</v>
      </c>
      <c r="B20" s="214" t="s">
        <v>499</v>
      </c>
      <c r="C20" s="214">
        <v>2567483180</v>
      </c>
      <c r="D20" s="137">
        <v>168960707</v>
      </c>
      <c r="E20" s="137">
        <v>168960707</v>
      </c>
      <c r="F20" s="137" t="s">
        <v>1467</v>
      </c>
      <c r="G20" s="204" t="s">
        <v>504</v>
      </c>
      <c r="H20" s="137">
        <v>1008186</v>
      </c>
      <c r="I20" s="137" t="s">
        <v>507</v>
      </c>
      <c r="K20" s="203" t="s">
        <v>251</v>
      </c>
      <c r="L20" s="210" t="str">
        <f>VLOOKUP($K20,Emp!$A$2:$E$347,2,0)</f>
        <v>VIBIN I B</v>
      </c>
      <c r="M20" s="210" t="str">
        <f>VLOOKUP($K20,Emp!$A$2:$E$347,3,0)</f>
        <v>KAIPAMANGALAM</v>
      </c>
      <c r="N20" s="210" t="str">
        <f>VLOOKUP($K20,Emp!$A$2:$E$347,4,0)</f>
        <v>STUDIO</v>
      </c>
      <c r="O20" s="206">
        <v>46087</v>
      </c>
      <c r="P20" s="206">
        <v>46087</v>
      </c>
      <c r="S20" s="221" t="s">
        <v>368</v>
      </c>
      <c r="T20" s="221" t="s">
        <v>10</v>
      </c>
      <c r="U20" s="210" t="str">
        <f>VLOOKUP($K20,Emp!$A$2:$E$347,5,0)</f>
        <v>JINEESH</v>
      </c>
      <c r="V20" s="225"/>
      <c r="W20" s="225"/>
      <c r="X20" s="225"/>
      <c r="Y20" s="209" t="str">
        <f t="array" ref="Y20">INDEX(RETAIL!$F:$F,MATCH(1,(RETAIL!$B:$B=B20)*(RETAIL!$N:$N=M20),0))</f>
        <v>40/VSL/25001426</v>
      </c>
      <c r="Z20" s="221">
        <f>_xlfn.XLOOKUP(Y20,RETAIL!F:F,RETAIL!G:G)</f>
        <v>46090</v>
      </c>
      <c r="AA20" s="227" t="s">
        <v>1444</v>
      </c>
      <c r="AB20" s="137" t="str">
        <f>_xlfn.XLOOKUP(D20,[2]MAR!$F:$F,[2]MAR!$H:$H)</f>
        <v>DISBURSED</v>
      </c>
    </row>
    <row r="21" hidden="1" customHeight="1" spans="1:28">
      <c r="A21" s="209">
        <v>20</v>
      </c>
      <c r="D21" s="137">
        <v>168739156</v>
      </c>
      <c r="F21" s="137" t="s">
        <v>1468</v>
      </c>
      <c r="G21" s="211" t="s">
        <v>489</v>
      </c>
      <c r="H21" s="212">
        <v>400000</v>
      </c>
      <c r="I21" s="137" t="s">
        <v>861</v>
      </c>
      <c r="K21" s="203" t="s">
        <v>160</v>
      </c>
      <c r="L21" s="210" t="str">
        <f>VLOOKUP($K21,Emp!$A$2:$E$347,2,0)</f>
        <v>SIJO VARGHESE GEORGE</v>
      </c>
      <c r="M21" s="210" t="str">
        <f>VLOOKUP($K21,Emp!$A$2:$E$347,3,0)</f>
        <v>PERUMBAVOOR</v>
      </c>
      <c r="N21" s="210" t="str">
        <f>VLOOKUP($K21,Emp!$A$2:$E$347,4,0)</f>
        <v>ARENA</v>
      </c>
      <c r="O21" s="206">
        <v>46087</v>
      </c>
      <c r="S21" s="221" t="s">
        <v>300</v>
      </c>
      <c r="T21" s="221" t="s">
        <v>1430</v>
      </c>
      <c r="U21" s="210" t="str">
        <f>VLOOKUP($K21,Emp!$A$2:$E$347,5,0)</f>
        <v>SALMAN</v>
      </c>
      <c r="V21" s="225"/>
      <c r="W21" s="225"/>
      <c r="X21" s="225"/>
      <c r="Y21" s="209" t="e">
        <f t="array" ref="Y21">INDEX(RETAIL!$F:$F,MATCH(1,(RETAIL!$B:$B=B21)*(RETAIL!$N:$N=M21),0))</f>
        <v>#N/A</v>
      </c>
      <c r="Z21" s="221" t="e">
        <f>_xlfn.XLOOKUP(Y21,RETAIL!F:F,RETAIL!G:G)</f>
        <v>#N/A</v>
      </c>
      <c r="AA21" s="227"/>
      <c r="AB21" s="137" t="str">
        <f>_xlfn.XLOOKUP(D21,[2]MAR!$F:$F,[2]MAR!$H:$H)</f>
        <v>UNDER PROCESS</v>
      </c>
    </row>
    <row r="22" hidden="1" customHeight="1" spans="1:28">
      <c r="A22" s="209">
        <v>21</v>
      </c>
      <c r="D22" s="137" t="s">
        <v>1469</v>
      </c>
      <c r="F22" s="137" t="s">
        <v>1470</v>
      </c>
      <c r="G22" s="211" t="s">
        <v>489</v>
      </c>
      <c r="H22" s="212">
        <v>400000</v>
      </c>
      <c r="I22" s="137" t="s">
        <v>437</v>
      </c>
      <c r="K22" s="203" t="s">
        <v>55</v>
      </c>
      <c r="L22" s="210" t="str">
        <f>VLOOKUP($K22,Emp!$A$2:$E$347,2,0)</f>
        <v>ELDHO A JACOB</v>
      </c>
      <c r="M22" s="210" t="str">
        <f>VLOOKUP($K22,Emp!$A$2:$E$347,3,0)</f>
        <v>ANGAMALY</v>
      </c>
      <c r="N22" s="210" t="str">
        <f>VLOOKUP($K22,Emp!$A$2:$E$347,4,0)</f>
        <v>ARENA</v>
      </c>
      <c r="O22" s="206">
        <v>46087</v>
      </c>
      <c r="S22" s="221" t="s">
        <v>300</v>
      </c>
      <c r="T22" s="221" t="s">
        <v>1430</v>
      </c>
      <c r="U22" s="210" t="str">
        <f>VLOOKUP($K22,Emp!$A$2:$E$347,5,0)</f>
        <v>SALMAN</v>
      </c>
      <c r="V22" s="225"/>
      <c r="W22" s="225"/>
      <c r="X22" s="225"/>
      <c r="Y22" s="209" t="e">
        <f t="array" ref="Y22">INDEX(RETAIL!$F:$F,MATCH(1,(RETAIL!$B:$B=B22)*(RETAIL!$N:$N=M22),0))</f>
        <v>#N/A</v>
      </c>
      <c r="Z22" s="221" t="e">
        <f>_xlfn.XLOOKUP(Y22,RETAIL!F:F,RETAIL!G:G)</f>
        <v>#N/A</v>
      </c>
      <c r="AA22" s="227"/>
      <c r="AB22" s="137" t="str">
        <f>_xlfn.XLOOKUP(D22,[2]MAR!$F:$F,[2]MAR!$H:$H)</f>
        <v>REJECTED</v>
      </c>
    </row>
    <row r="23" hidden="1" customHeight="1" spans="1:28">
      <c r="A23" s="209">
        <v>22</v>
      </c>
      <c r="B23" s="214" t="s">
        <v>398</v>
      </c>
      <c r="C23" s="214">
        <v>2567087596</v>
      </c>
      <c r="D23" s="137" t="s">
        <v>1463</v>
      </c>
      <c r="E23" s="137" t="s">
        <v>1471</v>
      </c>
      <c r="F23" s="137" t="s">
        <v>403</v>
      </c>
      <c r="G23" s="204" t="s">
        <v>363</v>
      </c>
      <c r="H23" s="137">
        <v>550086</v>
      </c>
      <c r="I23" s="137" t="s">
        <v>366</v>
      </c>
      <c r="J23" s="137" t="s">
        <v>1472</v>
      </c>
      <c r="K23" s="203" t="s">
        <v>213</v>
      </c>
      <c r="L23" s="210" t="str">
        <f>VLOOKUP($K23,Emp!$A$2:$E$347,2,0)</f>
        <v>SIVAPRAKASH K S</v>
      </c>
      <c r="M23" s="210" t="str">
        <f>VLOOKUP($K23,Emp!$A$2:$E$347,3,0)</f>
        <v>THRISSUR</v>
      </c>
      <c r="N23" s="210" t="str">
        <f>VLOOKUP($K23,Emp!$A$2:$E$347,4,0)</f>
        <v>ARENA</v>
      </c>
      <c r="O23" s="206">
        <v>46087</v>
      </c>
      <c r="P23" s="206">
        <v>46087</v>
      </c>
      <c r="Q23" s="137">
        <f>H23*R23</f>
        <v>7151.118</v>
      </c>
      <c r="R23" s="207">
        <v>0.013</v>
      </c>
      <c r="S23" s="221" t="s">
        <v>368</v>
      </c>
      <c r="T23" s="221" t="s">
        <v>356</v>
      </c>
      <c r="U23" s="210" t="str">
        <f>VLOOKUP($K23,Emp!$A$2:$E$347,5,0)</f>
        <v>SINTO</v>
      </c>
      <c r="V23" s="225"/>
      <c r="W23" s="225"/>
      <c r="X23" s="225"/>
      <c r="Y23" s="209" t="str">
        <f t="array" ref="Y23">INDEX(RETAIL!$F:$F,MATCH(1,(RETAIL!$B:$B=B23)*(RETAIL!$N:$N=M23),0))</f>
        <v>40/VSL/25001416</v>
      </c>
      <c r="Z23" s="221">
        <f>_xlfn.XLOOKUP(Y23,RETAIL!F:F,RETAIL!G:G)</f>
        <v>46087</v>
      </c>
      <c r="AA23" s="227"/>
      <c r="AB23" s="137" t="e">
        <f>_xlfn.XLOOKUP(D23,[2]MAR!$F:$F,[2]MAR!$H:$H)</f>
        <v>#N/A</v>
      </c>
    </row>
    <row r="24" hidden="1" customHeight="1" spans="1:28">
      <c r="A24" s="209">
        <v>23</v>
      </c>
      <c r="B24" s="214" t="s">
        <v>393</v>
      </c>
      <c r="C24" s="214">
        <v>2566746837</v>
      </c>
      <c r="D24" s="137" t="s">
        <v>1463</v>
      </c>
      <c r="E24" s="137" t="s">
        <v>1473</v>
      </c>
      <c r="F24" s="137" t="s">
        <v>397</v>
      </c>
      <c r="G24" s="204" t="s">
        <v>363</v>
      </c>
      <c r="H24" s="137">
        <v>616714</v>
      </c>
      <c r="I24" s="137" t="s">
        <v>366</v>
      </c>
      <c r="K24" s="203" t="s">
        <v>169</v>
      </c>
      <c r="L24" s="210" t="str">
        <f>VLOOKUP($K24,Emp!$A$2:$E$347,2,0)</f>
        <v>SIVAPRAKASH K S</v>
      </c>
      <c r="M24" s="210" t="str">
        <f>VLOOKUP($K24,Emp!$A$2:$E$347,3,0)</f>
        <v>THRISSUR</v>
      </c>
      <c r="N24" s="210" t="str">
        <f>VLOOKUP($K24,Emp!$A$2:$E$347,4,0)</f>
        <v>ARENA</v>
      </c>
      <c r="O24" s="206">
        <v>46087</v>
      </c>
      <c r="P24" s="206">
        <v>46087</v>
      </c>
      <c r="Q24" s="137">
        <f>H24*R24</f>
        <v>8017.282</v>
      </c>
      <c r="R24" s="207">
        <v>0.013</v>
      </c>
      <c r="S24" s="221" t="s">
        <v>368</v>
      </c>
      <c r="T24" s="221" t="s">
        <v>356</v>
      </c>
      <c r="U24" s="210" t="str">
        <f>VLOOKUP($K24,Emp!$A$2:$E$347,5,0)</f>
        <v>SINTO</v>
      </c>
      <c r="V24" s="225"/>
      <c r="W24" s="225"/>
      <c r="X24" s="225"/>
      <c r="Y24" s="209" t="str">
        <f t="array" ref="Y24">INDEX(RETAIL!$F:$F,MATCH(1,(RETAIL!$B:$B=B24)*(RETAIL!$N:$N=M24),0))</f>
        <v>40/VSL/25001415</v>
      </c>
      <c r="Z24" s="221">
        <f>_xlfn.XLOOKUP(Y24,RETAIL!F:F,RETAIL!G:G)</f>
        <v>46087</v>
      </c>
      <c r="AA24" s="227"/>
      <c r="AB24" s="137" t="e">
        <f>_xlfn.XLOOKUP(D24,[2]MAR!$F:$F,[2]MAR!$H:$H)</f>
        <v>#N/A</v>
      </c>
    </row>
    <row r="25" hidden="1" customHeight="1" spans="1:28">
      <c r="A25" s="209">
        <v>24</v>
      </c>
      <c r="B25" s="214" t="s">
        <v>458</v>
      </c>
      <c r="C25" s="214">
        <v>2567473596</v>
      </c>
      <c r="D25" s="137" t="s">
        <v>1463</v>
      </c>
      <c r="E25" s="137" t="s">
        <v>1474</v>
      </c>
      <c r="F25" s="137" t="s">
        <v>462</v>
      </c>
      <c r="G25" s="204" t="s">
        <v>463</v>
      </c>
      <c r="H25" s="137">
        <v>1000000</v>
      </c>
      <c r="I25" s="137" t="s">
        <v>466</v>
      </c>
      <c r="J25" s="137" t="s">
        <v>1475</v>
      </c>
      <c r="K25" s="203" t="s">
        <v>238</v>
      </c>
      <c r="L25" s="210" t="str">
        <f>VLOOKUP($K25,Emp!$A$2:$E$347,2,0)</f>
        <v>SACHIN</v>
      </c>
      <c r="M25" s="210" t="str">
        <f>VLOOKUP($K25,Emp!$A$2:$E$347,3,0)</f>
        <v>KODUNGALLUR</v>
      </c>
      <c r="N25" s="210" t="str">
        <f>VLOOKUP($K25,Emp!$A$2:$E$347,4,0)</f>
        <v>ARENA</v>
      </c>
      <c r="O25" s="206">
        <v>46087</v>
      </c>
      <c r="P25" s="206">
        <v>46087</v>
      </c>
      <c r="Q25" s="137">
        <f>H25*R25</f>
        <v>12500</v>
      </c>
      <c r="R25" s="207">
        <v>0.0125</v>
      </c>
      <c r="S25" s="221" t="s">
        <v>368</v>
      </c>
      <c r="T25" s="221" t="s">
        <v>356</v>
      </c>
      <c r="U25" s="210" t="str">
        <f>VLOOKUP($K25,Emp!$A$2:$E$347,5,0)</f>
        <v>JINEESH</v>
      </c>
      <c r="V25" s="225"/>
      <c r="W25" s="225"/>
      <c r="X25" s="225"/>
      <c r="Y25" s="209" t="str">
        <f t="array" ref="Y25">INDEX(RETAIL!$F:$F,MATCH(1,(RETAIL!$B:$B=B25)*(RETAIL!$N:$N=M25),0))</f>
        <v>72/VSL/25000154</v>
      </c>
      <c r="Z25" s="221">
        <f>_xlfn.XLOOKUP(Y25,RETAIL!F:F,RETAIL!G:G)</f>
        <v>46088</v>
      </c>
      <c r="AA25" s="227"/>
      <c r="AB25" s="137" t="e">
        <f>_xlfn.XLOOKUP(D25,[2]MAR!$F:$F,[2]MAR!$H:$H)</f>
        <v>#N/A</v>
      </c>
    </row>
    <row r="26" hidden="1" customHeight="1" spans="1:28">
      <c r="A26" s="209">
        <v>25</v>
      </c>
      <c r="B26" s="214" t="s">
        <v>621</v>
      </c>
      <c r="C26" s="214">
        <v>2567515064</v>
      </c>
      <c r="D26" s="137" t="s">
        <v>1463</v>
      </c>
      <c r="E26" s="137" t="s">
        <v>1476</v>
      </c>
      <c r="F26" s="137" t="s">
        <v>625</v>
      </c>
      <c r="G26" s="204" t="s">
        <v>532</v>
      </c>
      <c r="H26" s="137">
        <v>500000</v>
      </c>
      <c r="I26" s="137" t="s">
        <v>366</v>
      </c>
      <c r="J26" s="137" t="s">
        <v>1477</v>
      </c>
      <c r="K26" s="203" t="s">
        <v>64</v>
      </c>
      <c r="L26" s="210" t="str">
        <f>VLOOKUP($K26,Emp!$A$2:$E$347,2,0)</f>
        <v>BHAGIESH</v>
      </c>
      <c r="M26" s="210" t="str">
        <f>VLOOKUP($K26,Emp!$A$2:$E$347,3,0)</f>
        <v>CHAVAKKAD</v>
      </c>
      <c r="N26" s="210" t="str">
        <f>VLOOKUP($K26,Emp!$A$2:$E$347,4,0)</f>
        <v>ARENA</v>
      </c>
      <c r="O26" s="206">
        <v>46087</v>
      </c>
      <c r="P26" s="206">
        <v>46087</v>
      </c>
      <c r="Q26" s="137">
        <f>H26*R26</f>
        <v>6500</v>
      </c>
      <c r="R26" s="207">
        <v>0.013</v>
      </c>
      <c r="S26" s="221" t="s">
        <v>368</v>
      </c>
      <c r="T26" s="221" t="s">
        <v>356</v>
      </c>
      <c r="U26" s="210" t="str">
        <f>VLOOKUP($K26,Emp!$A$2:$E$347,5,0)</f>
        <v>SINTO</v>
      </c>
      <c r="V26" s="225"/>
      <c r="W26" s="225"/>
      <c r="X26" s="225"/>
      <c r="Y26" s="209" t="str">
        <f t="array" ref="Y26">INDEX(RETAIL!$F:$F,MATCH(1,(RETAIL!$B:$B=B26)*(RETAIL!$N:$N=M26),0))</f>
        <v>40/VSL/25001443</v>
      </c>
      <c r="Z26" s="221">
        <f>_xlfn.XLOOKUP(Y26,RETAIL!F:F,RETAIL!G:G)</f>
        <v>46093</v>
      </c>
      <c r="AA26" s="227"/>
      <c r="AB26" s="137" t="e">
        <f>_xlfn.XLOOKUP(D26,[2]MAR!$F:$F,[2]MAR!$H:$H)</f>
        <v>#N/A</v>
      </c>
    </row>
    <row r="27" hidden="1" customHeight="1" spans="1:28">
      <c r="A27" s="209">
        <v>26</v>
      </c>
      <c r="B27" s="214" t="s">
        <v>508</v>
      </c>
      <c r="C27" s="214">
        <v>2567354817</v>
      </c>
      <c r="D27" s="137" t="s">
        <v>1478</v>
      </c>
      <c r="E27" s="137" t="s">
        <v>1479</v>
      </c>
      <c r="F27" s="137" t="s">
        <v>1480</v>
      </c>
      <c r="G27" s="204" t="s">
        <v>363</v>
      </c>
      <c r="H27" s="137">
        <v>540000</v>
      </c>
      <c r="I27" s="137" t="s">
        <v>366</v>
      </c>
      <c r="J27" s="137" t="s">
        <v>1481</v>
      </c>
      <c r="K27" s="203" t="s">
        <v>75</v>
      </c>
      <c r="L27" s="210" t="str">
        <f>VLOOKUP($K27,Emp!$A$2:$E$347,2,0)</f>
        <v>NOUFAL T A</v>
      </c>
      <c r="M27" s="210" t="str">
        <f>VLOOKUP($K27,Emp!$A$2:$E$347,3,0)</f>
        <v>EDAPPALLY</v>
      </c>
      <c r="N27" s="210" t="str">
        <f>VLOOKUP($K27,Emp!$A$2:$E$347,4,0)</f>
        <v>ARENA</v>
      </c>
      <c r="O27" s="206">
        <v>46087</v>
      </c>
      <c r="P27" s="206">
        <v>46088</v>
      </c>
      <c r="Q27" s="137">
        <f>H27*R27</f>
        <v>7020</v>
      </c>
      <c r="R27" s="207">
        <v>0.013</v>
      </c>
      <c r="S27" s="221" t="s">
        <v>368</v>
      </c>
      <c r="T27" s="221" t="s">
        <v>10</v>
      </c>
      <c r="U27" s="210" t="str">
        <f>VLOOKUP($K27,Emp!$A$2:$E$347,5,0)</f>
        <v>SIVAPRASAD</v>
      </c>
      <c r="V27" s="225"/>
      <c r="W27" s="225"/>
      <c r="X27" s="225"/>
      <c r="Y27" s="209" t="str">
        <f t="array" ref="Y27">INDEX(RETAIL!$F:$F,MATCH(1,(RETAIL!$B:$B=B27)*(RETAIL!$N:$N=M27),0))</f>
        <v>40/VSL/25001428</v>
      </c>
      <c r="Z27" s="221">
        <f>_xlfn.XLOOKUP(Y27,RETAIL!F:F,RETAIL!G:G)</f>
        <v>46090</v>
      </c>
      <c r="AA27" s="227" t="s">
        <v>559</v>
      </c>
      <c r="AB27" s="137" t="str">
        <f>_xlfn.XLOOKUP(D27,[2]MAR!$F:$F,[2]MAR!$H:$H)</f>
        <v>DISBURSED</v>
      </c>
    </row>
    <row r="28" hidden="1" customHeight="1" spans="1:28">
      <c r="A28" s="209">
        <v>27</v>
      </c>
      <c r="B28" s="214" t="s">
        <v>472</v>
      </c>
      <c r="C28" s="214">
        <v>2567435685</v>
      </c>
      <c r="D28" s="137" t="s">
        <v>1482</v>
      </c>
      <c r="E28" s="137" t="s">
        <v>1483</v>
      </c>
      <c r="F28" s="137" t="s">
        <v>476</v>
      </c>
      <c r="G28" s="204" t="s">
        <v>477</v>
      </c>
      <c r="H28" s="137">
        <v>929746</v>
      </c>
      <c r="I28" s="137" t="s">
        <v>437</v>
      </c>
      <c r="K28" s="203" t="s">
        <v>166</v>
      </c>
      <c r="L28" s="210" t="str">
        <f>VLOOKUP($K28,Emp!$A$2:$E$347,2,0)</f>
        <v>JESTIN UTHUP JOHN</v>
      </c>
      <c r="M28" s="210" t="str">
        <f>VLOOKUP($K28,Emp!$A$2:$E$347,3,0)</f>
        <v>PIRAVOM</v>
      </c>
      <c r="N28" s="210" t="str">
        <f>VLOOKUP($K28,Emp!$A$2:$E$347,4,0)</f>
        <v>ARENA</v>
      </c>
      <c r="O28" s="206">
        <v>46088</v>
      </c>
      <c r="P28" s="206">
        <v>46088</v>
      </c>
      <c r="S28" s="221" t="s">
        <v>368</v>
      </c>
      <c r="T28" s="221" t="s">
        <v>10</v>
      </c>
      <c r="U28" s="210" t="str">
        <f>VLOOKUP($K28,Emp!$A$2:$E$347,5,0)</f>
        <v>AMAL</v>
      </c>
      <c r="V28" s="225"/>
      <c r="W28" s="225"/>
      <c r="X28" s="225"/>
      <c r="Y28" s="209" t="str">
        <f t="array" ref="Y28">INDEX(RETAIL!$F:$F,MATCH(1,(RETAIL!$B:$B=B28)*(RETAIL!$N:$N=M28),0))</f>
        <v>118/VSL25000097</v>
      </c>
      <c r="Z28" s="221">
        <f>_xlfn.XLOOKUP(Y28,RETAIL!F:F,RETAIL!G:G)</f>
        <v>46088</v>
      </c>
      <c r="AA28" s="227" t="s">
        <v>559</v>
      </c>
      <c r="AB28" s="137" t="str">
        <f>_xlfn.XLOOKUP(D28,[2]MAR!$F:$F,[2]MAR!$H:$H)</f>
        <v>DISBURSED</v>
      </c>
    </row>
    <row r="29" hidden="1" customHeight="1" spans="1:28">
      <c r="A29" s="209">
        <v>28</v>
      </c>
      <c r="B29" s="214" t="s">
        <v>947</v>
      </c>
      <c r="C29" s="214">
        <v>2567546544</v>
      </c>
      <c r="D29" s="137">
        <v>19506097</v>
      </c>
      <c r="E29" s="137">
        <v>17729962</v>
      </c>
      <c r="F29" s="137" t="s">
        <v>952</v>
      </c>
      <c r="G29" s="204" t="s">
        <v>363</v>
      </c>
      <c r="H29" s="215">
        <v>480250</v>
      </c>
      <c r="I29" s="137" t="s">
        <v>457</v>
      </c>
      <c r="K29" s="203" t="s">
        <v>81</v>
      </c>
      <c r="L29" s="210" t="str">
        <f>VLOOKUP($K29,Emp!$A$2:$E$347,2,0)</f>
        <v>REJIM GEORGE</v>
      </c>
      <c r="M29" s="210" t="str">
        <f>VLOOKUP($K29,Emp!$A$2:$E$347,3,0)</f>
        <v>FORTKOCHI</v>
      </c>
      <c r="N29" s="210" t="str">
        <f>VLOOKUP($K29,Emp!$A$2:$E$347,4,0)</f>
        <v>ARENA</v>
      </c>
      <c r="O29" s="206">
        <v>46088</v>
      </c>
      <c r="P29" s="206">
        <v>46093</v>
      </c>
      <c r="S29" s="221" t="s">
        <v>368</v>
      </c>
      <c r="T29" s="221" t="s">
        <v>10</v>
      </c>
      <c r="U29" s="210" t="str">
        <f>VLOOKUP($K29,Emp!$A$2:$E$347,5,0)</f>
        <v>SIVAPRASAD</v>
      </c>
      <c r="V29" s="225"/>
      <c r="W29" s="225"/>
      <c r="X29" s="225"/>
      <c r="Y29" s="209" t="str">
        <f t="array" ref="Y29">INDEX(RETAIL!$F:$F,MATCH(1,(RETAIL!$B:$B=B29)*(RETAIL!$N:$N=M29),0))</f>
        <v>40/VSL/25001477</v>
      </c>
      <c r="Z29" s="221">
        <f>_xlfn.XLOOKUP(Y29,RETAIL!F:F,RETAIL!G:G)</f>
        <v>46100</v>
      </c>
      <c r="AA29" s="227" t="s">
        <v>559</v>
      </c>
      <c r="AB29" s="228" t="s">
        <v>368</v>
      </c>
    </row>
    <row r="30" hidden="1" customHeight="1" spans="1:28">
      <c r="A30" s="209">
        <v>29</v>
      </c>
      <c r="B30" s="214" t="s">
        <v>484</v>
      </c>
      <c r="C30" s="214">
        <v>2567497252</v>
      </c>
      <c r="D30" s="137" t="s">
        <v>1463</v>
      </c>
      <c r="E30" s="137" t="s">
        <v>1484</v>
      </c>
      <c r="F30" s="137" t="s">
        <v>488</v>
      </c>
      <c r="G30" s="213" t="s">
        <v>489</v>
      </c>
      <c r="H30" s="137">
        <v>300000</v>
      </c>
      <c r="I30" s="137" t="s">
        <v>492</v>
      </c>
      <c r="J30" s="137" t="s">
        <v>1485</v>
      </c>
      <c r="K30" s="203" t="s">
        <v>101</v>
      </c>
      <c r="L30" s="210" t="str">
        <f>VLOOKUP($K30,Emp!$A$2:$E$347,2,0)</f>
        <v>BINOY RAJ</v>
      </c>
      <c r="M30" s="210" t="str">
        <f>VLOOKUP($K30,Emp!$A$2:$E$347,3,0)</f>
        <v>KODUNGALLUR</v>
      </c>
      <c r="N30" s="210" t="str">
        <f>VLOOKUP($K30,Emp!$A$2:$E$347,4,0)</f>
        <v>ARENA</v>
      </c>
      <c r="O30" s="206">
        <v>46087</v>
      </c>
      <c r="P30" s="206">
        <v>46088</v>
      </c>
      <c r="Q30" s="137">
        <f>H30*R30</f>
        <v>3900</v>
      </c>
      <c r="R30" s="207">
        <v>0.013</v>
      </c>
      <c r="S30" s="221" t="s">
        <v>368</v>
      </c>
      <c r="T30" s="221" t="s">
        <v>356</v>
      </c>
      <c r="U30" s="210" t="str">
        <f>VLOOKUP($K30,Emp!$A$2:$E$347,5,0)</f>
        <v>JINEESH</v>
      </c>
      <c r="V30" s="225"/>
      <c r="W30" s="225"/>
      <c r="X30" s="225"/>
      <c r="Y30" s="209" t="str">
        <f t="array" ref="Y30">INDEX(RETAIL!$F:$F,MATCH(1,(RETAIL!$B:$B=B30)*(RETAIL!$N:$N=M30),0))</f>
        <v>40/VSL/25001431</v>
      </c>
      <c r="Z30" s="221">
        <f>_xlfn.XLOOKUP(Y30,RETAIL!F:F,RETAIL!G:G)</f>
        <v>46090</v>
      </c>
      <c r="AA30" s="227"/>
      <c r="AB30" s="137" t="e">
        <f>_xlfn.XLOOKUP(D30,[2]MAR!$F:$F,[2]MAR!$H:$H)</f>
        <v>#N/A</v>
      </c>
    </row>
    <row r="31" hidden="1" customHeight="1" spans="1:28">
      <c r="A31" s="209">
        <v>30</v>
      </c>
      <c r="B31" s="214" t="s">
        <v>527</v>
      </c>
      <c r="C31" s="214">
        <v>2567445237</v>
      </c>
      <c r="D31" s="137">
        <v>19499583</v>
      </c>
      <c r="E31" s="137">
        <v>17720624</v>
      </c>
      <c r="F31" s="137" t="s">
        <v>1486</v>
      </c>
      <c r="G31" s="204" t="s">
        <v>532</v>
      </c>
      <c r="H31" s="137">
        <v>575000</v>
      </c>
      <c r="I31" s="137" t="s">
        <v>457</v>
      </c>
      <c r="K31" s="203" t="s">
        <v>157</v>
      </c>
      <c r="L31" s="210" t="str">
        <f>VLOOKUP($K31,Emp!$A$2:$E$347,2,0)</f>
        <v>SIJO VARGHESE GEORGE</v>
      </c>
      <c r="M31" s="210" t="str">
        <f>VLOOKUP($K31,Emp!$A$2:$E$347,3,0)</f>
        <v>PERUMBAVOOR</v>
      </c>
      <c r="N31" s="210" t="str">
        <f>VLOOKUP($K31,Emp!$A$2:$E$347,4,0)</f>
        <v>ARENA</v>
      </c>
      <c r="O31" s="206">
        <v>46088</v>
      </c>
      <c r="P31" s="206">
        <v>46088</v>
      </c>
      <c r="S31" s="221" t="s">
        <v>368</v>
      </c>
      <c r="T31" s="221" t="s">
        <v>10</v>
      </c>
      <c r="U31" s="210" t="str">
        <f>VLOOKUP($K31,Emp!$A$2:$E$347,5,0)</f>
        <v>SALMAN</v>
      </c>
      <c r="V31" s="225"/>
      <c r="W31" s="225"/>
      <c r="X31" s="225"/>
      <c r="Y31" s="209" t="str">
        <f t="array" ref="Y31">INDEX(RETAIL!$F:$F,MATCH(1,(RETAIL!$B:$B=B31)*(RETAIL!$N:$N=M31),0))</f>
        <v>126/VSL/25000113</v>
      </c>
      <c r="Z31" s="221">
        <f>_xlfn.XLOOKUP(Y31,RETAIL!F:F,RETAIL!G:G)</f>
        <v>46090</v>
      </c>
      <c r="AA31" s="227" t="s">
        <v>1444</v>
      </c>
      <c r="AB31" s="137" t="str">
        <f>_xlfn.XLOOKUP(D31,[2]MAR!$F:$F,[2]MAR!$H:$H)</f>
        <v>DISBURSED</v>
      </c>
    </row>
    <row r="32" hidden="1" customHeight="1" spans="1:28">
      <c r="A32" s="209">
        <v>31</v>
      </c>
      <c r="B32" s="214" t="s">
        <v>430</v>
      </c>
      <c r="C32" s="214">
        <v>2567480248</v>
      </c>
      <c r="D32" s="137" t="s">
        <v>1487</v>
      </c>
      <c r="E32" s="137" t="s">
        <v>1488</v>
      </c>
      <c r="F32" s="137" t="s">
        <v>1489</v>
      </c>
      <c r="G32" s="204" t="s">
        <v>434</v>
      </c>
      <c r="H32" s="137">
        <v>447746</v>
      </c>
      <c r="I32" s="137" t="s">
        <v>437</v>
      </c>
      <c r="K32" s="203" t="s">
        <v>113</v>
      </c>
      <c r="L32" s="210" t="str">
        <f>VLOOKUP($K32,Emp!$A$2:$E$347,2,0)</f>
        <v>ANAND K V</v>
      </c>
      <c r="M32" s="210" t="str">
        <f>VLOOKUP($K32,Emp!$A$2:$E$347,3,0)</f>
        <v>KOLENCHERY</v>
      </c>
      <c r="N32" s="210" t="str">
        <f>VLOOKUP($K32,Emp!$A$2:$E$347,4,0)</f>
        <v>ARENA</v>
      </c>
      <c r="O32" s="206">
        <v>46088</v>
      </c>
      <c r="P32" s="206">
        <v>46090</v>
      </c>
      <c r="S32" s="221" t="s">
        <v>368</v>
      </c>
      <c r="T32" s="221" t="s">
        <v>10</v>
      </c>
      <c r="U32" s="210" t="str">
        <f>VLOOKUP($K32,Emp!$A$2:$E$347,5,0)</f>
        <v>AMAL</v>
      </c>
      <c r="V32" s="225"/>
      <c r="W32" s="225"/>
      <c r="X32" s="225"/>
      <c r="Y32" s="209" t="str">
        <f t="array" ref="Y32">INDEX(RETAIL!$F:$F,MATCH(1,(RETAIL!$B:$B=B32)*(RETAIL!$N:$N=M32),0))</f>
        <v>40/VSL/25001423</v>
      </c>
      <c r="Z32" s="221">
        <f>_xlfn.XLOOKUP(Y32,RETAIL!F:F,RETAIL!G:G)</f>
        <v>46088</v>
      </c>
      <c r="AA32" s="227" t="s">
        <v>559</v>
      </c>
      <c r="AB32" s="137" t="str">
        <f>_xlfn.XLOOKUP(D32,[2]MAR!$F:$F,[2]MAR!$H:$H)</f>
        <v>DISBURSED</v>
      </c>
    </row>
    <row r="33" hidden="1" customHeight="1" spans="1:28">
      <c r="A33" s="209">
        <v>32</v>
      </c>
      <c r="B33" s="214" t="s">
        <v>534</v>
      </c>
      <c r="C33" s="214">
        <v>2567479764</v>
      </c>
      <c r="D33" s="137">
        <v>19483942</v>
      </c>
      <c r="E33" s="137">
        <v>17696880</v>
      </c>
      <c r="F33" s="137" t="s">
        <v>538</v>
      </c>
      <c r="G33" s="204" t="s">
        <v>532</v>
      </c>
      <c r="H33" s="137">
        <v>590000</v>
      </c>
      <c r="I33" s="137" t="s">
        <v>457</v>
      </c>
      <c r="K33" s="203" t="s">
        <v>114</v>
      </c>
      <c r="L33" s="210" t="str">
        <f>VLOOKUP($K33,Emp!$A$2:$E$347,2,0)</f>
        <v>ANAND K V</v>
      </c>
      <c r="M33" s="210" t="str">
        <f>VLOOKUP($K33,Emp!$A$2:$E$347,3,0)</f>
        <v>KOLENCHERY</v>
      </c>
      <c r="N33" s="210" t="str">
        <f>VLOOKUP($K33,Emp!$A$2:$E$347,4,0)</f>
        <v>ARENA</v>
      </c>
      <c r="O33" s="206">
        <v>46088</v>
      </c>
      <c r="P33" s="206">
        <v>46091</v>
      </c>
      <c r="S33" s="221" t="s">
        <v>368</v>
      </c>
      <c r="T33" s="221" t="s">
        <v>10</v>
      </c>
      <c r="U33" s="210" t="str">
        <f>VLOOKUP($K33,Emp!$A$2:$E$347,5,0)</f>
        <v>AMAL</v>
      </c>
      <c r="V33" s="225"/>
      <c r="W33" s="225"/>
      <c r="X33" s="225"/>
      <c r="Y33" s="209" t="str">
        <f t="array" ref="Y33">INDEX(RETAIL!$F:$F,MATCH(1,(RETAIL!$B:$B=B33)*(RETAIL!$N:$N=M33),0))</f>
        <v>255/VSL/25000100</v>
      </c>
      <c r="Z33" s="221">
        <f>_xlfn.XLOOKUP(Y33,RETAIL!F:F,RETAIL!G:G)</f>
        <v>46091</v>
      </c>
      <c r="AA33" s="227" t="s">
        <v>559</v>
      </c>
      <c r="AB33" s="137" t="str">
        <f>_xlfn.XLOOKUP(D33,[2]MAR!$F:$F,[2]MAR!$H:$H)</f>
        <v>DISBURSED</v>
      </c>
    </row>
    <row r="34" hidden="1" customHeight="1" spans="1:28">
      <c r="A34" s="209">
        <v>33</v>
      </c>
      <c r="D34" s="415" t="s">
        <v>1490</v>
      </c>
      <c r="F34" s="137" t="s">
        <v>1491</v>
      </c>
      <c r="G34" s="204" t="s">
        <v>363</v>
      </c>
      <c r="H34" s="212">
        <v>400000</v>
      </c>
      <c r="I34" s="137" t="s">
        <v>553</v>
      </c>
      <c r="K34" s="203" t="s">
        <v>67</v>
      </c>
      <c r="L34" s="210" t="str">
        <f>VLOOKUP($K34,Emp!$A$2:$E$347,2,0)</f>
        <v>ABHILASH K P</v>
      </c>
      <c r="M34" s="210" t="str">
        <f>VLOOKUP($K34,Emp!$A$2:$E$347,3,0)</f>
        <v>EDAPPALLY</v>
      </c>
      <c r="N34" s="210" t="str">
        <f>VLOOKUP($K34,Emp!$A$2:$E$347,4,0)</f>
        <v>ARENA</v>
      </c>
      <c r="O34" s="206">
        <v>46091</v>
      </c>
      <c r="S34" s="206" t="s">
        <v>300</v>
      </c>
      <c r="T34" s="221" t="s">
        <v>1430</v>
      </c>
      <c r="U34" s="210" t="str">
        <f>VLOOKUP($K34,Emp!$A$2:$E$347,5,0)</f>
        <v>SIVAPRASAD</v>
      </c>
      <c r="V34" s="225"/>
      <c r="W34" s="225"/>
      <c r="X34" s="225"/>
      <c r="Y34" s="209" t="e">
        <f t="array" ref="Y34">INDEX(RETAIL!$F:$F,MATCH(1,(RETAIL!$B:$B=B34)*(RETAIL!$N:$N=M34),0))</f>
        <v>#N/A</v>
      </c>
      <c r="Z34" s="221" t="e">
        <f>_xlfn.XLOOKUP(Y34,RETAIL!F:F,RETAIL!G:G)</f>
        <v>#N/A</v>
      </c>
      <c r="AA34" s="227"/>
      <c r="AB34" s="137" t="e">
        <f>_xlfn.XLOOKUP(D34,[2]MAR!$F:$F,[2]MAR!$H:$H)</f>
        <v>#N/A</v>
      </c>
    </row>
    <row r="35" hidden="1" customHeight="1" spans="1:28">
      <c r="A35" s="209">
        <v>34</v>
      </c>
      <c r="D35" s="137">
        <v>169183768</v>
      </c>
      <c r="F35" s="137" t="s">
        <v>1492</v>
      </c>
      <c r="G35" s="213" t="s">
        <v>489</v>
      </c>
      <c r="H35" s="212">
        <v>400000</v>
      </c>
      <c r="I35" s="137" t="s">
        <v>507</v>
      </c>
      <c r="K35" s="203" t="s">
        <v>86</v>
      </c>
      <c r="L35" s="210" t="str">
        <f>VLOOKUP($K35,Emp!$A$2:$E$347,2,0)</f>
        <v>REJIM GEORGE</v>
      </c>
      <c r="M35" s="210" t="str">
        <f>VLOOKUP($K35,Emp!$A$2:$E$347,3,0)</f>
        <v>FORTKOCHI</v>
      </c>
      <c r="N35" s="210" t="str">
        <f>VLOOKUP($K35,Emp!$A$2:$E$347,4,0)</f>
        <v>ARENA</v>
      </c>
      <c r="O35" s="206">
        <v>46091</v>
      </c>
      <c r="S35" s="206" t="s">
        <v>300</v>
      </c>
      <c r="T35" s="221" t="s">
        <v>1430</v>
      </c>
      <c r="U35" s="210" t="str">
        <f>VLOOKUP($K35,Emp!$A$2:$E$347,5,0)</f>
        <v>SIVAPRASAD</v>
      </c>
      <c r="V35" s="225"/>
      <c r="W35" s="225"/>
      <c r="X35" s="225"/>
      <c r="Y35" s="209" t="e">
        <f t="array" ref="Y35">INDEX(RETAIL!$F:$F,MATCH(1,(RETAIL!$B:$B=B35)*(RETAIL!$N:$N=M35),0))</f>
        <v>#N/A</v>
      </c>
      <c r="Z35" s="221" t="e">
        <f>_xlfn.XLOOKUP(Y35,RETAIL!F:F,RETAIL!G:G)</f>
        <v>#N/A</v>
      </c>
      <c r="AA35" s="227"/>
      <c r="AB35" s="137" t="str">
        <f>_xlfn.XLOOKUP(D35,[2]MAR!$F:$F,[2]MAR!$H:$H)</f>
        <v>SANCTIONED</v>
      </c>
    </row>
    <row r="36" hidden="1" customHeight="1" spans="1:28">
      <c r="A36" s="209">
        <v>35</v>
      </c>
      <c r="D36" s="137">
        <v>47940205</v>
      </c>
      <c r="F36" s="137" t="s">
        <v>1493</v>
      </c>
      <c r="G36" s="204" t="s">
        <v>477</v>
      </c>
      <c r="H36" s="212">
        <v>400000</v>
      </c>
      <c r="I36" s="137" t="s">
        <v>386</v>
      </c>
      <c r="K36" s="203" t="s">
        <v>67</v>
      </c>
      <c r="L36" s="210" t="str">
        <f>VLOOKUP($K36,Emp!$A$2:$E$347,2,0)</f>
        <v>ABHILASH K P</v>
      </c>
      <c r="M36" s="210" t="str">
        <f>VLOOKUP($K36,Emp!$A$2:$E$347,3,0)</f>
        <v>EDAPPALLY</v>
      </c>
      <c r="N36" s="210" t="str">
        <f>VLOOKUP($K36,Emp!$A$2:$E$347,4,0)</f>
        <v>ARENA</v>
      </c>
      <c r="O36" s="206">
        <v>46091</v>
      </c>
      <c r="S36" s="206" t="s">
        <v>300</v>
      </c>
      <c r="T36" s="221" t="s">
        <v>1430</v>
      </c>
      <c r="U36" s="210" t="str">
        <f>VLOOKUP($K36,Emp!$A$2:$E$347,5,0)</f>
        <v>SIVAPRASAD</v>
      </c>
      <c r="V36" s="225"/>
      <c r="W36" s="225"/>
      <c r="X36" s="225"/>
      <c r="Y36" s="209" t="e">
        <f t="array" ref="Y36">INDEX(RETAIL!$F:$F,MATCH(1,(RETAIL!$B:$B=B36)*(RETAIL!$N:$N=M36),0))</f>
        <v>#N/A</v>
      </c>
      <c r="Z36" s="221" t="e">
        <f>_xlfn.XLOOKUP(Y36,RETAIL!F:F,RETAIL!G:G)</f>
        <v>#N/A</v>
      </c>
      <c r="AA36" s="227"/>
      <c r="AB36" s="137" t="str">
        <f>_xlfn.XLOOKUP(D36,[2]MAR!$F:$F,[2]MAR!$H:$H)</f>
        <v>SANCTIONED</v>
      </c>
    </row>
    <row r="37" hidden="1" customHeight="1" spans="1:28">
      <c r="A37" s="209">
        <v>36</v>
      </c>
      <c r="B37" s="214" t="s">
        <v>894</v>
      </c>
      <c r="C37" s="214">
        <v>2567547876</v>
      </c>
      <c r="D37" s="137">
        <v>19516231</v>
      </c>
      <c r="E37" s="137">
        <v>17745522</v>
      </c>
      <c r="F37" s="137" t="s">
        <v>898</v>
      </c>
      <c r="G37" s="204" t="s">
        <v>443</v>
      </c>
      <c r="H37" s="137">
        <v>635000</v>
      </c>
      <c r="I37" s="137" t="s">
        <v>457</v>
      </c>
      <c r="K37" s="203" t="s">
        <v>97</v>
      </c>
      <c r="L37" s="210" t="str">
        <f>VLOOKUP($K37,Emp!$A$2:$E$347,2,0)</f>
        <v>VIBIN I B</v>
      </c>
      <c r="M37" s="210" t="str">
        <f>VLOOKUP($K37,Emp!$A$2:$E$347,3,0)</f>
        <v>KAIPAMANGALAM</v>
      </c>
      <c r="N37" s="210" t="str">
        <f>VLOOKUP($K37,Emp!$A$2:$E$347,4,0)</f>
        <v>ARENA</v>
      </c>
      <c r="O37" s="206">
        <v>46092</v>
      </c>
      <c r="P37" s="206">
        <v>46092</v>
      </c>
      <c r="S37" s="206" t="s">
        <v>368</v>
      </c>
      <c r="T37" s="221" t="s">
        <v>10</v>
      </c>
      <c r="U37" s="210" t="str">
        <f>VLOOKUP($K37,Emp!$A$2:$E$347,5,0)</f>
        <v>JINEESH</v>
      </c>
      <c r="V37" s="225"/>
      <c r="W37" s="225"/>
      <c r="X37" s="225"/>
      <c r="Y37" s="209" t="str">
        <f t="array" ref="Y37">INDEX(RETAIL!$F:$F,MATCH(1,(RETAIL!$B:$B=B37)*(RETAIL!$N:$N=M37),0))</f>
        <v>40/VSL/25001471</v>
      </c>
      <c r="Z37" s="221">
        <f>_xlfn.XLOOKUP(Y37,RETAIL!F:F,RETAIL!G:G)</f>
        <v>46099</v>
      </c>
      <c r="AA37" s="227" t="s">
        <v>559</v>
      </c>
      <c r="AB37" s="228" t="s">
        <v>368</v>
      </c>
    </row>
    <row r="38" hidden="1" customHeight="1" spans="1:28">
      <c r="A38" s="209">
        <v>37</v>
      </c>
      <c r="B38" s="214" t="s">
        <v>547</v>
      </c>
      <c r="C38" s="214">
        <v>2567368472</v>
      </c>
      <c r="D38" s="415" t="s">
        <v>1494</v>
      </c>
      <c r="E38" s="137" t="s">
        <v>1495</v>
      </c>
      <c r="F38" s="137" t="s">
        <v>551</v>
      </c>
      <c r="G38" s="204" t="s">
        <v>363</v>
      </c>
      <c r="H38" s="137">
        <v>537330</v>
      </c>
      <c r="I38" s="137" t="s">
        <v>553</v>
      </c>
      <c r="K38" s="203" t="s">
        <v>172</v>
      </c>
      <c r="L38" s="210" t="str">
        <f>VLOOKUP($K38,Emp!$A$2:$E$347,2,0)</f>
        <v>SIVAPRAKASH K S</v>
      </c>
      <c r="M38" s="210" t="str">
        <f>VLOOKUP($K38,Emp!$A$2:$E$347,3,0)</f>
        <v>THRISSUR</v>
      </c>
      <c r="N38" s="210" t="str">
        <f>VLOOKUP($K38,Emp!$A$2:$E$347,4,0)</f>
        <v>ARENA</v>
      </c>
      <c r="O38" s="206">
        <v>46091</v>
      </c>
      <c r="P38" s="206">
        <v>46092</v>
      </c>
      <c r="S38" s="206" t="s">
        <v>368</v>
      </c>
      <c r="T38" s="221" t="s">
        <v>10</v>
      </c>
      <c r="U38" s="210" t="str">
        <f>VLOOKUP($K38,Emp!$A$2:$E$347,5,0)</f>
        <v>SINTO</v>
      </c>
      <c r="V38" s="225"/>
      <c r="W38" s="225"/>
      <c r="X38" s="225"/>
      <c r="Y38" s="209" t="str">
        <f t="array" ref="Y38">INDEX(RETAIL!$F:$F,MATCH(1,(RETAIL!$B:$B=B38)*(RETAIL!$N:$N=M38),0))</f>
        <v>40/VSL/25001433</v>
      </c>
      <c r="Z38" s="221">
        <f>_xlfn.XLOOKUP(Y38,RETAIL!F:F,RETAIL!G:G)</f>
        <v>46091</v>
      </c>
      <c r="AA38" s="227" t="s">
        <v>559</v>
      </c>
      <c r="AB38" s="137" t="str">
        <f>_xlfn.XLOOKUP(D38,[2]MAR!$F:$F,[2]MAR!$H:$H)</f>
        <v>DISBURSED</v>
      </c>
    </row>
    <row r="39" hidden="1" customHeight="1" spans="1:28">
      <c r="A39" s="209">
        <v>38</v>
      </c>
      <c r="B39" s="214" t="s">
        <v>584</v>
      </c>
      <c r="C39" s="214">
        <v>2567479082</v>
      </c>
      <c r="D39" s="137" t="s">
        <v>1496</v>
      </c>
      <c r="E39" s="137" t="s">
        <v>1496</v>
      </c>
      <c r="F39" s="137" t="s">
        <v>588</v>
      </c>
      <c r="G39" s="213" t="s">
        <v>489</v>
      </c>
      <c r="H39" s="137">
        <v>668159</v>
      </c>
      <c r="I39" s="137" t="s">
        <v>590</v>
      </c>
      <c r="J39" s="137" t="s">
        <v>1497</v>
      </c>
      <c r="K39" s="203" t="s">
        <v>64</v>
      </c>
      <c r="L39" s="210" t="str">
        <f>VLOOKUP($K39,Emp!$A$2:$E$347,2,0)</f>
        <v>BHAGIESH</v>
      </c>
      <c r="M39" s="210" t="str">
        <f>VLOOKUP($K39,Emp!$A$2:$E$347,3,0)</f>
        <v>CHAVAKKAD</v>
      </c>
      <c r="N39" s="210" t="str">
        <f>VLOOKUP($K39,Emp!$A$2:$E$347,4,0)</f>
        <v>ARENA</v>
      </c>
      <c r="O39" s="206">
        <v>46091</v>
      </c>
      <c r="P39" s="206">
        <v>46092</v>
      </c>
      <c r="Q39" s="137">
        <f>H39*R39</f>
        <v>13363.18</v>
      </c>
      <c r="R39" s="207">
        <v>0.02</v>
      </c>
      <c r="S39" s="206" t="s">
        <v>368</v>
      </c>
      <c r="T39" s="221" t="s">
        <v>10</v>
      </c>
      <c r="U39" s="210" t="str">
        <f>VLOOKUP($K39,Emp!$A$2:$E$347,5,0)</f>
        <v>SINTO</v>
      </c>
      <c r="V39" s="225"/>
      <c r="W39" s="225"/>
      <c r="X39" s="225"/>
      <c r="Y39" s="209" t="str">
        <f t="array" ref="Y39">INDEX(RETAIL!$F:$F,MATCH(1,(RETAIL!$B:$B=B39)*(RETAIL!$N:$N=M39),0))</f>
        <v>28/VSL/25000111</v>
      </c>
      <c r="Z39" s="221">
        <f>_xlfn.XLOOKUP(Y39,RETAIL!F:F,RETAIL!G:G)</f>
        <v>46093</v>
      </c>
      <c r="AA39" s="227" t="s">
        <v>559</v>
      </c>
      <c r="AB39" s="137" t="str">
        <f>_xlfn.XLOOKUP(D39,[2]MAR!$F:$F,[2]MAR!$H:$H)</f>
        <v>DISBURSED</v>
      </c>
    </row>
    <row r="40" hidden="1" customHeight="1" spans="1:28">
      <c r="A40" s="209">
        <v>39</v>
      </c>
      <c r="B40" s="214" t="s">
        <v>634</v>
      </c>
      <c r="C40" s="214">
        <v>2567561397</v>
      </c>
      <c r="D40" s="137" t="s">
        <v>1463</v>
      </c>
      <c r="E40" s="137" t="s">
        <v>1498</v>
      </c>
      <c r="F40" s="137" t="s">
        <v>1499</v>
      </c>
      <c r="G40" s="204" t="s">
        <v>639</v>
      </c>
      <c r="H40" s="137">
        <v>619835</v>
      </c>
      <c r="I40" s="137" t="s">
        <v>366</v>
      </c>
      <c r="J40" s="137" t="s">
        <v>1500</v>
      </c>
      <c r="K40" s="203" t="s">
        <v>189</v>
      </c>
      <c r="L40" s="210" t="str">
        <f>VLOOKUP($K40,Emp!$A$2:$E$347,2,0)</f>
        <v>KASI VISWANATH</v>
      </c>
      <c r="M40" s="210" t="str">
        <f>VLOOKUP($K40,Emp!$A$2:$E$347,3,0)</f>
        <v>KAIPAMANGALAM</v>
      </c>
      <c r="N40" s="210" t="str">
        <f>VLOOKUP($K40,Emp!$A$2:$E$347,4,0)</f>
        <v>ARENA</v>
      </c>
      <c r="O40" s="206">
        <v>46091</v>
      </c>
      <c r="P40" s="206">
        <v>46092</v>
      </c>
      <c r="Q40" s="137">
        <f>H40*R40</f>
        <v>8057.855</v>
      </c>
      <c r="R40" s="207">
        <v>0.013</v>
      </c>
      <c r="S40" s="206" t="s">
        <v>368</v>
      </c>
      <c r="T40" s="206" t="s">
        <v>356</v>
      </c>
      <c r="U40" s="210" t="str">
        <f>VLOOKUP($K40,Emp!$A$2:$E$347,5,0)</f>
        <v>JINEESH</v>
      </c>
      <c r="V40" s="225"/>
      <c r="W40" s="225"/>
      <c r="X40" s="225"/>
      <c r="Y40" s="209" t="str">
        <f t="array" ref="Y40">INDEX(RETAIL!$F:$F,MATCH(1,(RETAIL!$B:$B=B40)*(RETAIL!$N:$N=M40),0))</f>
        <v>77/VSL/25000161</v>
      </c>
      <c r="Z40" s="221">
        <f>_xlfn.XLOOKUP(Y40,RETAIL!F:F,RETAIL!G:G)</f>
        <v>46093</v>
      </c>
      <c r="AA40" s="227"/>
      <c r="AB40" s="137" t="e">
        <f>_xlfn.XLOOKUP(D40,[2]MAR!$F:$F,[2]MAR!$H:$H)</f>
        <v>#N/A</v>
      </c>
    </row>
    <row r="41" hidden="1" customHeight="1" spans="1:28">
      <c r="A41" s="209">
        <v>40</v>
      </c>
      <c r="D41" s="137">
        <v>169219584</v>
      </c>
      <c r="F41" s="137" t="s">
        <v>1501</v>
      </c>
      <c r="G41" s="211" t="s">
        <v>489</v>
      </c>
      <c r="H41" s="212">
        <v>400000</v>
      </c>
      <c r="I41" s="137" t="s">
        <v>507</v>
      </c>
      <c r="K41" s="203" t="s">
        <v>90</v>
      </c>
      <c r="L41" s="210" t="str">
        <f>VLOOKUP($K41,Emp!$A$2:$E$347,2,0)</f>
        <v>RATISH K R</v>
      </c>
      <c r="M41" s="210" t="str">
        <f>VLOOKUP($K41,Emp!$A$2:$E$347,3,0)</f>
        <v>KADAVANTHRA</v>
      </c>
      <c r="N41" s="210" t="str">
        <f>VLOOKUP($K41,Emp!$A$2:$E$347,4,0)</f>
        <v>ARENA</v>
      </c>
      <c r="O41" s="206">
        <v>46092</v>
      </c>
      <c r="S41" s="206" t="s">
        <v>300</v>
      </c>
      <c r="T41" s="221" t="s">
        <v>1430</v>
      </c>
      <c r="U41" s="210" t="str">
        <f>VLOOKUP($K41,Emp!$A$2:$E$347,5,0)</f>
        <v>SALMAN</v>
      </c>
      <c r="V41" s="225"/>
      <c r="W41" s="225"/>
      <c r="X41" s="225"/>
      <c r="Y41" s="209" t="e">
        <f t="array" ref="Y41">INDEX(RETAIL!$F:$F,MATCH(1,(RETAIL!$B:$B=B41)*(RETAIL!$N:$N=M41),0))</f>
        <v>#N/A</v>
      </c>
      <c r="Z41" s="221" t="e">
        <f>_xlfn.XLOOKUP(Y41,RETAIL!F:F,RETAIL!G:G)</f>
        <v>#N/A</v>
      </c>
      <c r="AA41" s="227"/>
      <c r="AB41" s="137" t="str">
        <f>_xlfn.XLOOKUP(D41,[2]MAR!$F:$F,[2]MAR!$H:$H)</f>
        <v>SANCTIONED</v>
      </c>
    </row>
    <row r="42" hidden="1" customHeight="1" spans="1:28">
      <c r="A42" s="209">
        <v>41</v>
      </c>
      <c r="B42" s="214" t="s">
        <v>641</v>
      </c>
      <c r="C42" s="214">
        <v>2567533245</v>
      </c>
      <c r="D42" s="137" t="s">
        <v>1463</v>
      </c>
      <c r="E42" s="137" t="s">
        <v>1502</v>
      </c>
      <c r="F42" s="137" t="s">
        <v>645</v>
      </c>
      <c r="G42" s="204" t="s">
        <v>353</v>
      </c>
      <c r="H42" s="137">
        <v>1699700</v>
      </c>
      <c r="I42" s="137" t="s">
        <v>648</v>
      </c>
      <c r="K42" s="203" t="s">
        <v>248</v>
      </c>
      <c r="L42" s="210" t="str">
        <f>VLOOKUP($K42,Emp!$A$2:$E$347,2,0)</f>
        <v>JESTIN UTHUP JOHN</v>
      </c>
      <c r="M42" s="210" t="str">
        <f>VLOOKUP($K42,Emp!$A$2:$E$347,3,0)</f>
        <v>PIRAVOM</v>
      </c>
      <c r="N42" s="210" t="str">
        <f>VLOOKUP($K42,Emp!$A$2:$E$347,4,0)</f>
        <v>ARENA</v>
      </c>
      <c r="O42" s="206">
        <v>46092</v>
      </c>
      <c r="P42" s="206">
        <v>46092</v>
      </c>
      <c r="Q42" s="137">
        <f>H42*R42</f>
        <v>42492.5</v>
      </c>
      <c r="R42" s="207">
        <v>0.025</v>
      </c>
      <c r="S42" s="206" t="s">
        <v>368</v>
      </c>
      <c r="T42" s="221" t="s">
        <v>356</v>
      </c>
      <c r="U42" s="210" t="str">
        <f>VLOOKUP($K42,Emp!$A$2:$E$347,5,0)</f>
        <v>AMAL</v>
      </c>
      <c r="V42" s="225"/>
      <c r="W42" s="225"/>
      <c r="X42" s="225"/>
      <c r="Y42" s="209" t="str">
        <f t="array" ref="Y42">INDEX(RETAIL!$F:$F,MATCH(1,(RETAIL!$B:$B=B42)*(RETAIL!$N:$N=M42),0))</f>
        <v>118/VSL25000100</v>
      </c>
      <c r="Z42" s="221">
        <f>_xlfn.XLOOKUP(Y42,RETAIL!F:F,RETAIL!G:G)</f>
        <v>46094</v>
      </c>
      <c r="AA42" s="227"/>
      <c r="AB42" s="137" t="e">
        <f>_xlfn.XLOOKUP(D42,[2]MAR!$F:$F,[2]MAR!$H:$H)</f>
        <v>#N/A</v>
      </c>
    </row>
    <row r="43" hidden="1" customHeight="1" spans="1:28">
      <c r="A43" s="209">
        <v>42</v>
      </c>
      <c r="B43" s="214" t="s">
        <v>668</v>
      </c>
      <c r="C43" s="214">
        <v>2567544011</v>
      </c>
      <c r="D43" s="137">
        <v>169116591</v>
      </c>
      <c r="E43" s="137">
        <v>169116591</v>
      </c>
      <c r="F43" s="137" t="s">
        <v>673</v>
      </c>
      <c r="G43" s="213" t="s">
        <v>489</v>
      </c>
      <c r="H43" s="137">
        <v>300000</v>
      </c>
      <c r="I43" s="137" t="s">
        <v>507</v>
      </c>
      <c r="K43" s="203" t="s">
        <v>251</v>
      </c>
      <c r="L43" s="210" t="str">
        <f>VLOOKUP($K43,Emp!$A$2:$E$347,2,0)</f>
        <v>VIBIN I B</v>
      </c>
      <c r="M43" s="210" t="str">
        <f>VLOOKUP($K43,Emp!$A$2:$E$347,3,0)</f>
        <v>KAIPAMANGALAM</v>
      </c>
      <c r="N43" s="210" t="str">
        <f>VLOOKUP($K43,Emp!$A$2:$E$347,4,0)</f>
        <v>STUDIO</v>
      </c>
      <c r="O43" s="206">
        <v>46092</v>
      </c>
      <c r="P43" s="206">
        <v>46093</v>
      </c>
      <c r="S43" s="206" t="s">
        <v>368</v>
      </c>
      <c r="T43" s="221" t="s">
        <v>10</v>
      </c>
      <c r="U43" s="210" t="str">
        <f>VLOOKUP($K43,Emp!$A$2:$E$347,5,0)</f>
        <v>JINEESH</v>
      </c>
      <c r="V43" s="225"/>
      <c r="W43" s="225"/>
      <c r="X43" s="225"/>
      <c r="Y43" s="209" t="str">
        <f t="array" ref="Y43">INDEX(RETAIL!$F:$F,MATCH(1,(RETAIL!$B:$B=B43)*(RETAIL!$N:$N=M43),0))</f>
        <v>40/VSL/25001447</v>
      </c>
      <c r="Z43" s="221">
        <f>_xlfn.XLOOKUP(Y43,RETAIL!F:F,RETAIL!G:G)</f>
        <v>46094</v>
      </c>
      <c r="AA43" s="227" t="s">
        <v>1444</v>
      </c>
      <c r="AB43" s="137" t="str">
        <f>_xlfn.XLOOKUP(D43,[2]MAR!$F:$F,[2]MAR!$H:$H)</f>
        <v>DISBURSED</v>
      </c>
    </row>
    <row r="44" hidden="1" customHeight="1" spans="1:28">
      <c r="A44" s="209">
        <v>43</v>
      </c>
      <c r="B44" s="214" t="s">
        <v>573</v>
      </c>
      <c r="C44" s="214">
        <v>2567045600</v>
      </c>
      <c r="D44" s="137" t="s">
        <v>1503</v>
      </c>
      <c r="E44" s="137" t="s">
        <v>1504</v>
      </c>
      <c r="F44" s="137" t="s">
        <v>577</v>
      </c>
      <c r="G44" s="204" t="s">
        <v>443</v>
      </c>
      <c r="H44" s="215">
        <v>500000</v>
      </c>
      <c r="I44" s="137" t="s">
        <v>366</v>
      </c>
      <c r="J44" s="137" t="s">
        <v>1505</v>
      </c>
      <c r="K44" s="203" t="s">
        <v>68</v>
      </c>
      <c r="L44" s="210" t="str">
        <f>VLOOKUP($K44,Emp!$A$2:$E$347,2,0)</f>
        <v>MANU SASI</v>
      </c>
      <c r="M44" s="210" t="str">
        <f>VLOOKUP($K44,Emp!$A$2:$E$347,3,0)</f>
        <v>EDAPPALLY</v>
      </c>
      <c r="N44" s="210" t="str">
        <f>VLOOKUP($K44,Emp!$A$2:$E$347,4,0)</f>
        <v>ARENA</v>
      </c>
      <c r="O44" s="206">
        <v>46092</v>
      </c>
      <c r="P44" s="206">
        <v>46093</v>
      </c>
      <c r="Q44" s="137">
        <f>H44*R44</f>
        <v>6500</v>
      </c>
      <c r="R44" s="207">
        <v>0.013</v>
      </c>
      <c r="S44" s="206" t="s">
        <v>368</v>
      </c>
      <c r="T44" s="221" t="s">
        <v>1430</v>
      </c>
      <c r="U44" s="210" t="str">
        <f>VLOOKUP($K44,Emp!$A$2:$E$347,5,0)</f>
        <v>SIVAPRASAD</v>
      </c>
      <c r="V44" s="225"/>
      <c r="W44" s="225"/>
      <c r="X44" s="225"/>
      <c r="Y44" s="209" t="str">
        <f t="array" ref="Y44">INDEX(RETAIL!$F:$F,MATCH(1,(RETAIL!$B:$B=B44)*(RETAIL!$N:$N=M44),0))</f>
        <v>40/VSL/25001435</v>
      </c>
      <c r="Z44" s="221">
        <f>_xlfn.XLOOKUP(Y44,RETAIL!F:F,RETAIL!G:G)</f>
        <v>46092</v>
      </c>
      <c r="AA44" s="227"/>
      <c r="AB44" s="137" t="str">
        <f>_xlfn.XLOOKUP(D44,[2]MAR!$F:$F,[2]MAR!$H:$H)</f>
        <v>APPLIED</v>
      </c>
    </row>
    <row r="45" hidden="1" customHeight="1" spans="1:28">
      <c r="A45" s="209">
        <v>44</v>
      </c>
      <c r="D45" s="137" t="s">
        <v>1506</v>
      </c>
      <c r="F45" s="137" t="s">
        <v>1507</v>
      </c>
      <c r="G45" s="217" t="s">
        <v>683</v>
      </c>
      <c r="H45" s="212">
        <v>400000</v>
      </c>
      <c r="I45" s="137" t="s">
        <v>1508</v>
      </c>
      <c r="K45" s="203" t="s">
        <v>218</v>
      </c>
      <c r="L45" s="210" t="str">
        <f>VLOOKUP($K45,Emp!$A$2:$E$347,2,0)</f>
        <v>ELDHO A JACOB</v>
      </c>
      <c r="M45" s="210" t="str">
        <f>VLOOKUP($K45,Emp!$A$2:$E$347,3,0)</f>
        <v>ANGAMALY</v>
      </c>
      <c r="N45" s="210" t="str">
        <f>VLOOKUP($K45,Emp!$A$2:$E$347,4,0)</f>
        <v>ARENA</v>
      </c>
      <c r="O45" s="206">
        <v>46093</v>
      </c>
      <c r="S45" s="206" t="s">
        <v>300</v>
      </c>
      <c r="T45" s="221" t="s">
        <v>1430</v>
      </c>
      <c r="U45" s="210" t="str">
        <f>VLOOKUP($K45,Emp!$A$2:$E$347,5,0)</f>
        <v>SALMAN</v>
      </c>
      <c r="V45" s="225"/>
      <c r="W45" s="225"/>
      <c r="X45" s="225"/>
      <c r="Y45" s="209" t="e">
        <f t="array" ref="Y45">INDEX(RETAIL!$F:$F,MATCH(1,(RETAIL!$B:$B=B45)*(RETAIL!$N:$N=M45),0))</f>
        <v>#N/A</v>
      </c>
      <c r="Z45" s="221" t="e">
        <f>_xlfn.XLOOKUP(Y45,RETAIL!F:F,RETAIL!G:G)</f>
        <v>#N/A</v>
      </c>
      <c r="AA45" s="227"/>
      <c r="AB45" s="137" t="str">
        <f>_xlfn.XLOOKUP(D45,[2]MAR!$F:$F,[2]MAR!$H:$H)</f>
        <v>SANCTIONED</v>
      </c>
    </row>
    <row r="46" hidden="1" customHeight="1" spans="1:28">
      <c r="A46" s="209">
        <v>45</v>
      </c>
      <c r="B46" s="214" t="s">
        <v>714</v>
      </c>
      <c r="C46" s="214">
        <v>2567580598</v>
      </c>
      <c r="D46" s="137" t="s">
        <v>1509</v>
      </c>
      <c r="E46" s="137" t="s">
        <v>1510</v>
      </c>
      <c r="F46" s="137" t="s">
        <v>718</v>
      </c>
      <c r="G46" s="204" t="s">
        <v>363</v>
      </c>
      <c r="H46" s="215">
        <v>550000</v>
      </c>
      <c r="I46" s="137" t="s">
        <v>366</v>
      </c>
      <c r="J46" s="137" t="s">
        <v>1505</v>
      </c>
      <c r="K46" s="203" t="s">
        <v>70</v>
      </c>
      <c r="L46" s="210" t="str">
        <f>VLOOKUP($K46,Emp!$A$2:$E$347,2,0)</f>
        <v>MANU SASI</v>
      </c>
      <c r="M46" s="210" t="str">
        <f>VLOOKUP($K46,Emp!$A$2:$E$347,3,0)</f>
        <v>EDAPPALLY</v>
      </c>
      <c r="N46" s="210" t="str">
        <f>VLOOKUP($K46,Emp!$A$2:$E$347,4,0)</f>
        <v>ARENA</v>
      </c>
      <c r="O46" s="206">
        <v>46093</v>
      </c>
      <c r="P46" s="206">
        <v>46094</v>
      </c>
      <c r="Q46" s="137">
        <f>H46*R46</f>
        <v>7150</v>
      </c>
      <c r="R46" s="207">
        <v>0.013</v>
      </c>
      <c r="S46" s="206" t="s">
        <v>368</v>
      </c>
      <c r="T46" s="221" t="s">
        <v>1430</v>
      </c>
      <c r="U46" s="210" t="str">
        <f>VLOOKUP($K46,Emp!$A$2:$E$347,5,0)</f>
        <v>SIVAPRASAD</v>
      </c>
      <c r="V46" s="225"/>
      <c r="W46" s="225"/>
      <c r="X46" s="225"/>
      <c r="Y46" s="209" t="str">
        <f t="array" ref="Y46">INDEX(RETAIL!$F:$F,MATCH(1,(RETAIL!$B:$B=B46)*(RETAIL!$N:$N=M46),0))</f>
        <v>40/VSL/25001455</v>
      </c>
      <c r="Z46" s="221">
        <f>_xlfn.XLOOKUP(Y46,RETAIL!F:F,RETAIL!G:G)</f>
        <v>46094</v>
      </c>
      <c r="AA46" s="227"/>
      <c r="AB46" s="137" t="str">
        <f>_xlfn.XLOOKUP(D46,[2]MAR!$F:$F,[2]MAR!$H:$H)</f>
        <v>APPLIED</v>
      </c>
    </row>
    <row r="47" hidden="1" customHeight="1" spans="1:28">
      <c r="A47" s="209">
        <v>46</v>
      </c>
      <c r="B47" s="214" t="s">
        <v>814</v>
      </c>
      <c r="C47" s="214">
        <v>2567639079</v>
      </c>
      <c r="D47" s="137" t="s">
        <v>1511</v>
      </c>
      <c r="E47" s="137" t="s">
        <v>1512</v>
      </c>
      <c r="F47" s="137" t="s">
        <v>1513</v>
      </c>
      <c r="G47" s="204" t="s">
        <v>463</v>
      </c>
      <c r="H47" s="215">
        <v>685000</v>
      </c>
      <c r="I47" s="137" t="s">
        <v>612</v>
      </c>
      <c r="K47" s="203" t="s">
        <v>65</v>
      </c>
      <c r="L47" s="210" t="str">
        <f>VLOOKUP($K47,Emp!$A$2:$E$347,2,0)</f>
        <v>ABHILASH K P</v>
      </c>
      <c r="M47" s="210" t="str">
        <f>VLOOKUP($K47,Emp!$A$2:$E$347,3,0)</f>
        <v>EDAPPALLY</v>
      </c>
      <c r="N47" s="210" t="str">
        <f>VLOOKUP($K47,Emp!$A$2:$E$347,4,0)</f>
        <v>ARENA</v>
      </c>
      <c r="O47" s="206">
        <v>46093</v>
      </c>
      <c r="P47" s="206">
        <v>46094</v>
      </c>
      <c r="S47" s="206" t="s">
        <v>368</v>
      </c>
      <c r="T47" s="221" t="s">
        <v>1430</v>
      </c>
      <c r="U47" s="210" t="str">
        <f>VLOOKUP($K47,Emp!$A$2:$E$347,5,0)</f>
        <v>SIVAPRASAD</v>
      </c>
      <c r="V47" s="225"/>
      <c r="W47" s="225"/>
      <c r="X47" s="225"/>
      <c r="Y47" s="209" t="str">
        <f t="array" ref="Y47">INDEX(RETAIL!$F:$F,MATCH(1,(RETAIL!$B:$B=B47)*(RETAIL!$N:$N=M47),0))</f>
        <v>40/VSL/25001463</v>
      </c>
      <c r="Z47" s="221">
        <f>_xlfn.XLOOKUP(Y47,RETAIL!F:F,RETAIL!G:G)</f>
        <v>46097</v>
      </c>
      <c r="AA47" s="227"/>
      <c r="AB47" s="137" t="str">
        <f>_xlfn.XLOOKUP(D47,[2]MAR!$F:$F,[2]MAR!$H:$H)</f>
        <v>UNDER PROCESS</v>
      </c>
    </row>
    <row r="48" hidden="1" customHeight="1" spans="1:28">
      <c r="A48" s="209">
        <v>47</v>
      </c>
      <c r="B48" s="214" t="s">
        <v>597</v>
      </c>
      <c r="C48" s="214">
        <v>2566498468</v>
      </c>
      <c r="D48" s="137" t="s">
        <v>1463</v>
      </c>
      <c r="E48" s="137" t="s">
        <v>1514</v>
      </c>
      <c r="F48" s="137" t="s">
        <v>1515</v>
      </c>
      <c r="G48" s="204" t="s">
        <v>443</v>
      </c>
      <c r="H48" s="137">
        <v>732393</v>
      </c>
      <c r="I48" s="137" t="s">
        <v>366</v>
      </c>
      <c r="J48" s="137" t="s">
        <v>1516</v>
      </c>
      <c r="K48" s="203" t="s">
        <v>170</v>
      </c>
      <c r="L48" s="210" t="str">
        <f>VLOOKUP($K48,Emp!$A$2:$E$347,2,0)</f>
        <v>SIVAPRAKASH K S</v>
      </c>
      <c r="M48" s="210" t="str">
        <f>VLOOKUP($K48,Emp!$A$2:$E$347,3,0)</f>
        <v>THRISSUR</v>
      </c>
      <c r="N48" s="210" t="str">
        <f>VLOOKUP($K48,Emp!$A$2:$E$347,4,0)</f>
        <v>ARENA</v>
      </c>
      <c r="O48" s="206">
        <v>46092</v>
      </c>
      <c r="P48" s="206">
        <v>46093</v>
      </c>
      <c r="Q48" s="137">
        <f>H48*R48</f>
        <v>9521.109</v>
      </c>
      <c r="R48" s="207">
        <v>0.013</v>
      </c>
      <c r="S48" s="206" t="s">
        <v>368</v>
      </c>
      <c r="T48" s="206" t="s">
        <v>356</v>
      </c>
      <c r="U48" s="210" t="str">
        <f>VLOOKUP($K48,Emp!$A$2:$E$347,5,0)</f>
        <v>SINTO</v>
      </c>
      <c r="V48" s="225"/>
      <c r="W48" s="225"/>
      <c r="X48" s="225"/>
      <c r="Y48" s="209" t="str">
        <f t="array" ref="Y48">INDEX(RETAIL!$F:$F,MATCH(1,(RETAIL!$B:$B=B48)*(RETAIL!$N:$N=M48),0))</f>
        <v>40/VSL/25001439</v>
      </c>
      <c r="Z48" s="221">
        <f>_xlfn.XLOOKUP(Y48,RETAIL!F:F,RETAIL!G:G)</f>
        <v>46093</v>
      </c>
      <c r="AA48" s="227"/>
      <c r="AB48" s="137" t="e">
        <f>_xlfn.XLOOKUP(D48,[2]MAR!$F:$F,[2]MAR!$H:$H)</f>
        <v>#N/A</v>
      </c>
    </row>
    <row r="49" hidden="1" customHeight="1" spans="1:28">
      <c r="A49" s="209">
        <v>48</v>
      </c>
      <c r="B49" s="214" t="s">
        <v>541</v>
      </c>
      <c r="C49" s="214">
        <v>2567527116</v>
      </c>
      <c r="D49" s="137">
        <v>19486276</v>
      </c>
      <c r="E49" s="137">
        <v>17700689</v>
      </c>
      <c r="F49" s="137" t="s">
        <v>546</v>
      </c>
      <c r="G49" s="204" t="s">
        <v>363</v>
      </c>
      <c r="H49" s="137">
        <v>524800</v>
      </c>
      <c r="I49" s="137" t="s">
        <v>457</v>
      </c>
      <c r="K49" s="203" t="s">
        <v>189</v>
      </c>
      <c r="L49" s="210" t="str">
        <f>VLOOKUP($K49,Emp!$A$2:$E$347,2,0)</f>
        <v>KASI VISWANATH</v>
      </c>
      <c r="M49" s="210" t="str">
        <f>VLOOKUP($K49,Emp!$A$2:$E$347,3,0)</f>
        <v>KAIPAMANGALAM</v>
      </c>
      <c r="N49" s="210" t="str">
        <f>VLOOKUP($K49,Emp!$A$2:$E$347,4,0)</f>
        <v>ARENA</v>
      </c>
      <c r="O49" s="206">
        <v>46092</v>
      </c>
      <c r="P49" s="206">
        <v>46093</v>
      </c>
      <c r="S49" s="206" t="s">
        <v>368</v>
      </c>
      <c r="T49" s="221" t="s">
        <v>10</v>
      </c>
      <c r="U49" s="210" t="str">
        <f>VLOOKUP($K49,Emp!$A$2:$E$347,5,0)</f>
        <v>JINEESH</v>
      </c>
      <c r="V49" s="225"/>
      <c r="W49" s="225"/>
      <c r="X49" s="225"/>
      <c r="Y49" s="209" t="str">
        <f t="array" ref="Y49">INDEX(RETAIL!$F:$F,MATCH(1,(RETAIL!$B:$B=B49)*(RETAIL!$N:$N=M49),0))</f>
        <v>40/VSL/25001432</v>
      </c>
      <c r="Z49" s="221">
        <f>_xlfn.XLOOKUP(Y49,RETAIL!F:F,RETAIL!G:G)</f>
        <v>46091</v>
      </c>
      <c r="AA49" s="227" t="s">
        <v>559</v>
      </c>
      <c r="AB49" s="137" t="str">
        <f>_xlfn.XLOOKUP(D49,[2]MAR!$F:$F,[2]MAR!$H:$H)</f>
        <v>DISBURSED</v>
      </c>
    </row>
    <row r="50" hidden="1" customHeight="1" spans="1:28">
      <c r="A50" s="209">
        <v>49</v>
      </c>
      <c r="B50" s="214" t="s">
        <v>785</v>
      </c>
      <c r="C50" s="214">
        <v>2567569135</v>
      </c>
      <c r="D50" s="214" t="s">
        <v>1517</v>
      </c>
      <c r="E50" s="137" t="s">
        <v>1518</v>
      </c>
      <c r="F50" s="137" t="s">
        <v>789</v>
      </c>
      <c r="G50" s="204" t="s">
        <v>477</v>
      </c>
      <c r="H50" s="137">
        <v>899700</v>
      </c>
      <c r="I50" s="137" t="s">
        <v>648</v>
      </c>
      <c r="K50" s="203" t="s">
        <v>160</v>
      </c>
      <c r="L50" s="210" t="str">
        <f>VLOOKUP($K50,Emp!$A$2:$E$347,2,0)</f>
        <v>SIJO VARGHESE GEORGE</v>
      </c>
      <c r="M50" s="210" t="str">
        <f>VLOOKUP($K50,Emp!$A$2:$E$347,3,0)</f>
        <v>PERUMBAVOOR</v>
      </c>
      <c r="N50" s="210" t="str">
        <f>VLOOKUP($K50,Emp!$A$2:$E$347,4,0)</f>
        <v>ARENA</v>
      </c>
      <c r="O50" s="206">
        <v>46092</v>
      </c>
      <c r="P50" s="206">
        <v>46094</v>
      </c>
      <c r="Q50" s="137">
        <f>H50*R50</f>
        <v>22492.5</v>
      </c>
      <c r="R50" s="207">
        <v>0.025</v>
      </c>
      <c r="S50" s="206" t="s">
        <v>368</v>
      </c>
      <c r="T50" s="221" t="s">
        <v>1430</v>
      </c>
      <c r="U50" s="210" t="str">
        <f>VLOOKUP($K50,Emp!$A$2:$E$347,5,0)</f>
        <v>SALMAN</v>
      </c>
      <c r="V50" s="225"/>
      <c r="W50" s="225"/>
      <c r="X50" s="225"/>
      <c r="Y50" s="209" t="str">
        <f t="array" ref="Y50">INDEX(RETAIL!$F:$F,MATCH(1,(RETAIL!$B:$B=B50)*(RETAIL!$N:$N=M50),0))</f>
        <v>126/VSL/25000116</v>
      </c>
      <c r="Z50" s="221">
        <f>_xlfn.XLOOKUP(Y50,RETAIL!F:F,RETAIL!G:G)</f>
        <v>46097</v>
      </c>
      <c r="AA50" s="227"/>
      <c r="AB50" s="137" t="str">
        <f>_xlfn.XLOOKUP(D50,[2]MAR!$F:$F,[2]MAR!$H:$H)</f>
        <v>APPLIED</v>
      </c>
    </row>
    <row r="51" hidden="1" customHeight="1" spans="1:28">
      <c r="A51" s="209">
        <v>50</v>
      </c>
      <c r="B51" s="214" t="s">
        <v>761</v>
      </c>
      <c r="C51" s="214">
        <v>2567602958</v>
      </c>
      <c r="D51" s="137">
        <v>19550552</v>
      </c>
      <c r="E51" s="137">
        <v>17798703</v>
      </c>
      <c r="F51" s="137" t="s">
        <v>765</v>
      </c>
      <c r="G51" s="204" t="s">
        <v>443</v>
      </c>
      <c r="H51" s="137">
        <v>583000</v>
      </c>
      <c r="I51" s="137" t="s">
        <v>457</v>
      </c>
      <c r="K51" s="203" t="s">
        <v>95</v>
      </c>
      <c r="L51" s="210" t="str">
        <f>VLOOKUP($K51,Emp!$A$2:$E$347,2,0)</f>
        <v>KASI VISWANATH</v>
      </c>
      <c r="M51" s="210" t="str">
        <f>VLOOKUP($K51,Emp!$A$2:$E$347,3,0)</f>
        <v>KAIPAMANGALAM</v>
      </c>
      <c r="N51" s="210" t="str">
        <f>VLOOKUP($K51,Emp!$A$2:$E$347,4,0)</f>
        <v>ARENA</v>
      </c>
      <c r="O51" s="206">
        <v>46094</v>
      </c>
      <c r="P51" s="206">
        <v>46094</v>
      </c>
      <c r="Q51" s="137">
        <v>9051</v>
      </c>
      <c r="R51" s="207">
        <f>Q51/H51</f>
        <v>0.01552487135506</v>
      </c>
      <c r="S51" s="206" t="s">
        <v>368</v>
      </c>
      <c r="T51" s="221" t="s">
        <v>10</v>
      </c>
      <c r="U51" s="210" t="str">
        <f>VLOOKUP($K51,Emp!$A$2:$E$347,5,0)</f>
        <v>JINEESH</v>
      </c>
      <c r="V51" s="225"/>
      <c r="W51" s="225"/>
      <c r="X51" s="225"/>
      <c r="Y51" s="209" t="str">
        <f t="array" ref="Y51">INDEX(RETAIL!$F:$F,MATCH(1,(RETAIL!$B:$B=B51)*(RETAIL!$N:$N=M51),0))</f>
        <v>77/VSL/25000162</v>
      </c>
      <c r="Z51" s="221">
        <f>_xlfn.XLOOKUP(Y51,RETAIL!F:F,RETAIL!G:G)</f>
        <v>46095</v>
      </c>
      <c r="AA51" s="227" t="s">
        <v>559</v>
      </c>
      <c r="AB51" s="228" t="s">
        <v>368</v>
      </c>
    </row>
    <row r="52" hidden="1" customHeight="1" spans="1:28">
      <c r="A52" s="209">
        <v>51</v>
      </c>
      <c r="B52" s="214" t="s">
        <v>862</v>
      </c>
      <c r="C52" s="214">
        <v>2567136986</v>
      </c>
      <c r="D52" s="137" t="s">
        <v>1519</v>
      </c>
      <c r="E52" s="137" t="s">
        <v>1520</v>
      </c>
      <c r="F52" s="137" t="s">
        <v>866</v>
      </c>
      <c r="G52" s="204" t="s">
        <v>363</v>
      </c>
      <c r="H52" s="137">
        <v>544000</v>
      </c>
      <c r="I52" s="137" t="s">
        <v>366</v>
      </c>
      <c r="J52" s="137" t="s">
        <v>1521</v>
      </c>
      <c r="K52" s="203" t="s">
        <v>68</v>
      </c>
      <c r="L52" s="210" t="str">
        <f>VLOOKUP($K52,Emp!$A$2:$E$347,2,0)</f>
        <v>MANU SASI</v>
      </c>
      <c r="M52" s="210" t="str">
        <f>VLOOKUP($K52,Emp!$A$2:$E$347,3,0)</f>
        <v>EDAPPALLY</v>
      </c>
      <c r="N52" s="210" t="str">
        <f>VLOOKUP($K52,Emp!$A$2:$E$347,4,0)</f>
        <v>ARENA</v>
      </c>
      <c r="O52" s="206">
        <v>46094</v>
      </c>
      <c r="P52" s="206">
        <v>46098</v>
      </c>
      <c r="Q52" s="137">
        <f>H52*R52</f>
        <v>7072</v>
      </c>
      <c r="R52" s="207">
        <v>0.013</v>
      </c>
      <c r="S52" s="206" t="s">
        <v>368</v>
      </c>
      <c r="T52" s="221" t="s">
        <v>1430</v>
      </c>
      <c r="U52" s="210" t="str">
        <f>VLOOKUP($K52,Emp!$A$2:$E$347,5,0)</f>
        <v>SIVAPRASAD</v>
      </c>
      <c r="V52" s="225"/>
      <c r="W52" s="225"/>
      <c r="X52" s="225"/>
      <c r="Y52" s="209" t="str">
        <f t="array" ref="Y52">INDEX(RETAIL!$F:$F,MATCH(1,(RETAIL!$B:$B=B52)*(RETAIL!$N:$N=M52),0))</f>
        <v>40/VSL/25001466</v>
      </c>
      <c r="Z52" s="221">
        <f>_xlfn.XLOOKUP(Y52,RETAIL!F:F,RETAIL!G:G)</f>
        <v>46098</v>
      </c>
      <c r="AA52" s="227"/>
      <c r="AB52" s="137" t="str">
        <f>_xlfn.XLOOKUP(D52,[2]MAR!$F:$F,[2]MAR!$H:$H)</f>
        <v>APPLIED</v>
      </c>
    </row>
    <row r="53" hidden="1" customHeight="1" spans="1:28">
      <c r="A53" s="209">
        <v>52</v>
      </c>
      <c r="B53" s="214" t="s">
        <v>751</v>
      </c>
      <c r="C53" s="214">
        <v>2567447050</v>
      </c>
      <c r="D53" s="137" t="s">
        <v>1522</v>
      </c>
      <c r="E53" s="137" t="s">
        <v>1523</v>
      </c>
      <c r="F53" s="137" t="s">
        <v>755</v>
      </c>
      <c r="G53" s="213" t="s">
        <v>489</v>
      </c>
      <c r="H53" s="215">
        <v>542566</v>
      </c>
      <c r="I53" s="137" t="s">
        <v>437</v>
      </c>
      <c r="K53" s="203" t="s">
        <v>80</v>
      </c>
      <c r="L53" s="210" t="str">
        <f>VLOOKUP($K53,Emp!$A$2:$E$347,2,0)</f>
        <v>SHEMEER A K</v>
      </c>
      <c r="M53" s="210" t="str">
        <f>VLOOKUP($K53,Emp!$A$2:$E$347,3,0)</f>
        <v>EDAPPALLY</v>
      </c>
      <c r="N53" s="210" t="str">
        <f>VLOOKUP($K53,Emp!$A$2:$E$347,4,0)</f>
        <v>ARENA</v>
      </c>
      <c r="O53" s="206">
        <v>46094</v>
      </c>
      <c r="P53" s="206">
        <v>46095</v>
      </c>
      <c r="Q53" s="137">
        <f>H53*R53</f>
        <v>8138.49</v>
      </c>
      <c r="R53" s="207">
        <v>0.015</v>
      </c>
      <c r="S53" s="206" t="s">
        <v>368</v>
      </c>
      <c r="T53" s="221" t="s">
        <v>10</v>
      </c>
      <c r="U53" s="210" t="str">
        <f>VLOOKUP($K53,Emp!$A$2:$E$347,5,0)</f>
        <v>SIVAPRASAD</v>
      </c>
      <c r="V53" s="225"/>
      <c r="W53" s="225"/>
      <c r="X53" s="225"/>
      <c r="Y53" s="209" t="str">
        <f t="array" ref="Y53">INDEX(RETAIL!$F:$F,MATCH(1,(RETAIL!$B:$B=B53)*(RETAIL!$N:$N=M53),0))</f>
        <v>40/VSL/25001458</v>
      </c>
      <c r="Z53" s="221">
        <f>_xlfn.XLOOKUP(Y53,RETAIL!F:F,RETAIL!G:G)</f>
        <v>46095</v>
      </c>
      <c r="AA53" s="227" t="s">
        <v>559</v>
      </c>
      <c r="AB53" s="137" t="str">
        <f>_xlfn.XLOOKUP(D53,[2]MAR!$F:$F,[2]MAR!$H:$H)</f>
        <v>DISBURSED</v>
      </c>
    </row>
    <row r="54" hidden="1" customHeight="1" spans="1:28">
      <c r="A54" s="209">
        <v>53</v>
      </c>
      <c r="B54" s="214" t="s">
        <v>425</v>
      </c>
      <c r="C54" s="214">
        <v>2567479499</v>
      </c>
      <c r="D54" s="137" t="s">
        <v>1524</v>
      </c>
      <c r="E54" s="137" t="s">
        <v>1525</v>
      </c>
      <c r="F54" s="137" t="s">
        <v>429</v>
      </c>
      <c r="G54" s="204" t="s">
        <v>363</v>
      </c>
      <c r="H54" s="215">
        <v>633086</v>
      </c>
      <c r="I54" s="137" t="s">
        <v>366</v>
      </c>
      <c r="J54" s="137" t="s">
        <v>13</v>
      </c>
      <c r="K54" s="203" t="s">
        <v>222</v>
      </c>
      <c r="L54" s="210" t="str">
        <f>VLOOKUP($K54,Emp!$A$2:$E$347,2,0)</f>
        <v>ELDHO A JACOB</v>
      </c>
      <c r="M54" s="210" t="str">
        <f>VLOOKUP($K54,Emp!$A$2:$E$347,3,0)</f>
        <v>ANGAMALY</v>
      </c>
      <c r="N54" s="210" t="str">
        <f>VLOOKUP($K54,Emp!$A$2:$E$347,4,0)</f>
        <v>ARENA</v>
      </c>
      <c r="O54" s="206">
        <v>46093</v>
      </c>
      <c r="P54" s="206">
        <v>46094</v>
      </c>
      <c r="Q54" s="137">
        <f>H54*R54</f>
        <v>8230.118</v>
      </c>
      <c r="R54" s="207">
        <v>0.013</v>
      </c>
      <c r="S54" s="206" t="s">
        <v>368</v>
      </c>
      <c r="T54" s="221" t="s">
        <v>1430</v>
      </c>
      <c r="U54" s="210" t="str">
        <f>VLOOKUP($K54,Emp!$A$2:$E$347,5,0)</f>
        <v>SALMAN</v>
      </c>
      <c r="V54" s="225"/>
      <c r="W54" s="225"/>
      <c r="X54" s="225"/>
      <c r="Y54" s="209" t="str">
        <f t="array" ref="Y54">INDEX(RETAIL!$F:$F,MATCH(1,(RETAIL!$B:$B=B54)*(RETAIL!$N:$N=M54),0))</f>
        <v>40/VSL/25001422</v>
      </c>
      <c r="Z54" s="221">
        <f>_xlfn.XLOOKUP(Y54,RETAIL!F:F,RETAIL!G:G)</f>
        <v>46088</v>
      </c>
      <c r="AA54" s="227"/>
      <c r="AB54" s="137" t="str">
        <f>_xlfn.XLOOKUP(D54,[2]MAR!$F:$F,[2]MAR!$H:$H)</f>
        <v>APPLIED</v>
      </c>
    </row>
    <row r="55" hidden="1" customHeight="1" spans="1:28">
      <c r="A55" s="209">
        <v>54</v>
      </c>
      <c r="D55" s="415" t="s">
        <v>1526</v>
      </c>
      <c r="F55" s="137" t="s">
        <v>1527</v>
      </c>
      <c r="G55" s="204" t="s">
        <v>363</v>
      </c>
      <c r="H55" s="212">
        <v>400000</v>
      </c>
      <c r="I55" s="137" t="s">
        <v>553</v>
      </c>
      <c r="K55" s="203" t="s">
        <v>85</v>
      </c>
      <c r="L55" s="210" t="str">
        <f>VLOOKUP($K55,Emp!$A$2:$E$347,2,0)</f>
        <v>REJIM GEORGE</v>
      </c>
      <c r="M55" s="210" t="str">
        <f>VLOOKUP($K55,Emp!$A$2:$E$347,3,0)</f>
        <v>FORTKOCHI</v>
      </c>
      <c r="N55" s="210" t="str">
        <f>VLOOKUP($K55,Emp!$A$2:$E$347,4,0)</f>
        <v>ARENA</v>
      </c>
      <c r="O55" s="206">
        <v>46094</v>
      </c>
      <c r="S55" s="206" t="s">
        <v>300</v>
      </c>
      <c r="T55" s="221" t="s">
        <v>1430</v>
      </c>
      <c r="U55" s="210" t="str">
        <f>VLOOKUP($K55,Emp!$A$2:$E$347,5,0)</f>
        <v>SIVAPRASAD</v>
      </c>
      <c r="V55" s="225"/>
      <c r="W55" s="225"/>
      <c r="X55" s="225"/>
      <c r="Y55" s="209" t="e">
        <f t="array" ref="Y55">INDEX(RETAIL!$F:$F,MATCH(1,(RETAIL!$B:$B=B55)*(RETAIL!$N:$N=M55),0))</f>
        <v>#N/A</v>
      </c>
      <c r="Z55" s="221" t="e">
        <f>_xlfn.XLOOKUP(Y55,RETAIL!F:F,RETAIL!G:G)</f>
        <v>#N/A</v>
      </c>
      <c r="AA55" s="227"/>
      <c r="AB55" s="137" t="e">
        <f>_xlfn.XLOOKUP(D55,[2]MAR!$F:$F,[2]MAR!$H:$H)</f>
        <v>#N/A</v>
      </c>
    </row>
    <row r="56" hidden="1" customHeight="1" spans="1:28">
      <c r="A56" s="209">
        <v>55</v>
      </c>
      <c r="B56" s="214" t="s">
        <v>719</v>
      </c>
      <c r="C56" s="214">
        <v>2567570592</v>
      </c>
      <c r="D56" s="137" t="s">
        <v>1463</v>
      </c>
      <c r="E56" s="137" t="s">
        <v>1528</v>
      </c>
      <c r="F56" s="137" t="s">
        <v>723</v>
      </c>
      <c r="G56" s="204" t="s">
        <v>363</v>
      </c>
      <c r="H56" s="137">
        <v>639186</v>
      </c>
      <c r="I56" s="137" t="s">
        <v>366</v>
      </c>
      <c r="J56" s="137" t="s">
        <v>1529</v>
      </c>
      <c r="K56" s="203" t="s">
        <v>169</v>
      </c>
      <c r="L56" s="210" t="str">
        <f>VLOOKUP($K56,Emp!$A$2:$E$347,2,0)</f>
        <v>SIVAPRAKASH K S</v>
      </c>
      <c r="M56" s="210" t="str">
        <f>VLOOKUP($K56,Emp!$A$2:$E$347,3,0)</f>
        <v>THRISSUR</v>
      </c>
      <c r="N56" s="210" t="str">
        <f>VLOOKUP($K56,Emp!$A$2:$E$347,4,0)</f>
        <v>ARENA</v>
      </c>
      <c r="O56" s="206">
        <v>46093</v>
      </c>
      <c r="P56" s="206">
        <v>46094</v>
      </c>
      <c r="Q56" s="137">
        <f>H56*R56</f>
        <v>8309.418</v>
      </c>
      <c r="R56" s="207">
        <v>0.013</v>
      </c>
      <c r="S56" s="206" t="s">
        <v>368</v>
      </c>
      <c r="T56" s="206" t="s">
        <v>356</v>
      </c>
      <c r="U56" s="210" t="str">
        <f>VLOOKUP($K56,Emp!$A$2:$E$347,5,0)</f>
        <v>SINTO</v>
      </c>
      <c r="V56" s="225"/>
      <c r="W56" s="225"/>
      <c r="X56" s="225"/>
      <c r="Y56" s="209" t="str">
        <f t="array" ref="Y56">INDEX(RETAIL!$F:$F,MATCH(1,(RETAIL!$B:$B=B56)*(RETAIL!$N:$N=M56),0))</f>
        <v>40/VSL/25001456</v>
      </c>
      <c r="Z56" s="221">
        <f>_xlfn.XLOOKUP(Y56,RETAIL!F:F,RETAIL!G:G)</f>
        <v>46094</v>
      </c>
      <c r="AA56" s="227"/>
      <c r="AB56" s="137" t="e">
        <f>_xlfn.XLOOKUP(D56,[2]MAR!$F:$F,[2]MAR!$H:$H)</f>
        <v>#N/A</v>
      </c>
    </row>
    <row r="57" hidden="1" customHeight="1" spans="1:28">
      <c r="A57" s="209">
        <v>56</v>
      </c>
      <c r="B57" s="214" t="s">
        <v>941</v>
      </c>
      <c r="C57" s="214">
        <v>2567692716</v>
      </c>
      <c r="D57" s="137">
        <v>19558752</v>
      </c>
      <c r="E57" s="137">
        <v>17810807</v>
      </c>
      <c r="F57" s="137" t="s">
        <v>1530</v>
      </c>
      <c r="G57" s="213" t="s">
        <v>489</v>
      </c>
      <c r="H57" s="137">
        <v>460000</v>
      </c>
      <c r="I57" s="137" t="s">
        <v>457</v>
      </c>
      <c r="K57" s="222" t="s">
        <v>192</v>
      </c>
      <c r="L57" s="210" t="str">
        <f>VLOOKUP($K57,Emp!$A$2:$E$347,2,0)</f>
        <v>KASI VISWANATH</v>
      </c>
      <c r="M57" s="210" t="str">
        <f>VLOOKUP($K57,Emp!$A$2:$E$347,3,0)</f>
        <v>KAIPAMANGALAM</v>
      </c>
      <c r="N57" s="210" t="str">
        <f>VLOOKUP($K57,Emp!$A$2:$E$347,4,0)</f>
        <v>ARENA</v>
      </c>
      <c r="O57" s="206">
        <v>46093</v>
      </c>
      <c r="P57" s="206">
        <v>46095</v>
      </c>
      <c r="Q57" s="137">
        <v>14304</v>
      </c>
      <c r="R57" s="207">
        <f>Q57/H57</f>
        <v>0.031095652173913</v>
      </c>
      <c r="S57" s="206" t="s">
        <v>368</v>
      </c>
      <c r="T57" s="221" t="s">
        <v>10</v>
      </c>
      <c r="U57" s="210" t="str">
        <f>VLOOKUP($K57,Emp!$A$2:$E$347,5,0)</f>
        <v>JINEESH</v>
      </c>
      <c r="V57" s="225"/>
      <c r="W57" s="225"/>
      <c r="X57" s="225"/>
      <c r="Y57" s="209" t="str">
        <f t="array" ref="Y57">INDEX(RETAIL!$F:$F,MATCH(1,(RETAIL!$B:$B=B57)*(RETAIL!$N:$N=M57),0))</f>
        <v>40/VSL/25001476</v>
      </c>
      <c r="Z57" s="221">
        <f>_xlfn.XLOOKUP(Y57,RETAIL!F:F,RETAIL!G:G)</f>
        <v>46100</v>
      </c>
      <c r="AA57" s="227" t="s">
        <v>1444</v>
      </c>
      <c r="AB57" s="137" t="str">
        <f>_xlfn.XLOOKUP(D57,[2]MAR!$F:$F,[2]MAR!$H:$H)</f>
        <v>DISBURSED</v>
      </c>
    </row>
    <row r="58" hidden="1" customHeight="1" spans="1:28">
      <c r="A58" s="209">
        <v>57</v>
      </c>
      <c r="B58" s="214" t="s">
        <v>867</v>
      </c>
      <c r="C58" s="214">
        <v>2567522339</v>
      </c>
      <c r="D58" s="137" t="s">
        <v>1531</v>
      </c>
      <c r="E58" s="137" t="s">
        <v>1532</v>
      </c>
      <c r="F58" s="137" t="s">
        <v>871</v>
      </c>
      <c r="G58" s="204" t="s">
        <v>477</v>
      </c>
      <c r="H58" s="215">
        <v>892566</v>
      </c>
      <c r="I58" s="137" t="s">
        <v>437</v>
      </c>
      <c r="K58" s="203" t="s">
        <v>161</v>
      </c>
      <c r="L58" s="210" t="str">
        <f>VLOOKUP($K58,Emp!$A$2:$E$347,2,0)</f>
        <v>SIJO VARGHESE GEORGE</v>
      </c>
      <c r="M58" s="210" t="str">
        <f>VLOOKUP($K58,Emp!$A$2:$E$347,3,0)</f>
        <v>PERUMBAVOOR</v>
      </c>
      <c r="N58" s="210" t="str">
        <f>VLOOKUP($K58,Emp!$A$2:$E$347,4,0)</f>
        <v>ARENA</v>
      </c>
      <c r="O58" s="206">
        <v>46095</v>
      </c>
      <c r="P58" s="206">
        <v>46099</v>
      </c>
      <c r="Q58" s="137">
        <f>H58*R58</f>
        <v>17851.32</v>
      </c>
      <c r="R58" s="207">
        <v>0.02</v>
      </c>
      <c r="S58" s="206" t="s">
        <v>368</v>
      </c>
      <c r="T58" s="221" t="s">
        <v>10</v>
      </c>
      <c r="U58" s="210" t="str">
        <f>VLOOKUP($K58,Emp!$A$2:$E$347,5,0)</f>
        <v>SALMAN</v>
      </c>
      <c r="V58" s="225"/>
      <c r="W58" s="225"/>
      <c r="X58" s="225"/>
      <c r="Y58" s="209" t="str">
        <f t="array" ref="Y58">INDEX(RETAIL!$F:$F,MATCH(1,(RETAIL!$B:$B=B58)*(RETAIL!$N:$N=M58),0))</f>
        <v>126/VSL/25000117</v>
      </c>
      <c r="Z58" s="221">
        <f>_xlfn.XLOOKUP(Y58,RETAIL!F:F,RETAIL!G:G)</f>
        <v>46099</v>
      </c>
      <c r="AA58" s="227" t="s">
        <v>559</v>
      </c>
      <c r="AB58" s="137" t="str">
        <f>_xlfn.XLOOKUP(D58,[2]MAR!$F:$F,[2]MAR!$H:$H)</f>
        <v>DISBURSED</v>
      </c>
    </row>
    <row r="59" hidden="1" customHeight="1" spans="1:28">
      <c r="A59" s="209">
        <v>58</v>
      </c>
      <c r="B59" s="214" t="s">
        <v>700</v>
      </c>
      <c r="C59" s="214">
        <v>2567530237</v>
      </c>
      <c r="D59" s="214" t="s">
        <v>1463</v>
      </c>
      <c r="E59" s="137" t="s">
        <v>1533</v>
      </c>
      <c r="F59" s="137" t="s">
        <v>705</v>
      </c>
      <c r="G59" s="213" t="s">
        <v>489</v>
      </c>
      <c r="H59" s="215">
        <v>404700</v>
      </c>
      <c r="I59" s="137" t="s">
        <v>648</v>
      </c>
      <c r="K59" s="203" t="s">
        <v>113</v>
      </c>
      <c r="L59" s="210" t="str">
        <f>VLOOKUP($K59,Emp!$A$2:$E$347,2,0)</f>
        <v>ANAND K V</v>
      </c>
      <c r="M59" s="210" t="str">
        <f>VLOOKUP($K59,Emp!$A$2:$E$347,3,0)</f>
        <v>KOLENCHERY</v>
      </c>
      <c r="N59" s="210" t="str">
        <f>VLOOKUP($K59,Emp!$A$2:$E$347,4,0)</f>
        <v>ARENA</v>
      </c>
      <c r="O59" s="206">
        <v>46095</v>
      </c>
      <c r="P59" s="206">
        <v>46097</v>
      </c>
      <c r="Q59" s="137">
        <f>H59*R59</f>
        <v>10117.5</v>
      </c>
      <c r="R59" s="207">
        <v>0.025</v>
      </c>
      <c r="S59" s="206" t="s">
        <v>368</v>
      </c>
      <c r="T59" s="221" t="s">
        <v>356</v>
      </c>
      <c r="U59" s="210" t="str">
        <f>VLOOKUP($K59,Emp!$A$2:$E$347,5,0)</f>
        <v>AMAL</v>
      </c>
      <c r="V59" s="225"/>
      <c r="W59" s="225"/>
      <c r="X59" s="225"/>
      <c r="Y59" s="209" t="str">
        <f t="array" ref="Y59">INDEX(RETAIL!$F:$F,MATCH(1,(RETAIL!$B:$B=B59)*(RETAIL!$N:$N=M59),0))</f>
        <v>40/VSL/25001453</v>
      </c>
      <c r="Z59" s="221">
        <f>_xlfn.XLOOKUP(Y59,RETAIL!F:F,RETAIL!G:G)</f>
        <v>46094</v>
      </c>
      <c r="AA59" s="227"/>
      <c r="AB59" s="137" t="e">
        <f>_xlfn.XLOOKUP(D59,[2]MAR!$F:$F,[2]MAR!$H:$H)</f>
        <v>#N/A</v>
      </c>
    </row>
    <row r="60" hidden="1" customHeight="1" spans="1:28">
      <c r="A60" s="209">
        <v>59</v>
      </c>
      <c r="B60" s="214" t="s">
        <v>771</v>
      </c>
      <c r="C60" s="214">
        <v>2567474135</v>
      </c>
      <c r="D60" s="214" t="s">
        <v>1534</v>
      </c>
      <c r="E60" s="137" t="s">
        <v>1535</v>
      </c>
      <c r="F60" s="137" t="s">
        <v>775</v>
      </c>
      <c r="G60" s="213" t="s">
        <v>489</v>
      </c>
      <c r="H60" s="215">
        <v>100000</v>
      </c>
      <c r="I60" s="137" t="s">
        <v>777</v>
      </c>
      <c r="K60" s="203" t="s">
        <v>119</v>
      </c>
      <c r="L60" s="210" t="str">
        <f>VLOOKUP($K60,Emp!$A$2:$E$347,2,0)</f>
        <v>ARUN BABU</v>
      </c>
      <c r="M60" s="210" t="str">
        <f>VLOOKUP($K60,Emp!$A$2:$E$347,3,0)</f>
        <v>KOOTHATTUKULAM</v>
      </c>
      <c r="N60" s="210" t="str">
        <f>VLOOKUP($K60,Emp!$A$2:$E$347,4,0)</f>
        <v>ARENA</v>
      </c>
      <c r="O60" s="206">
        <v>46095</v>
      </c>
      <c r="P60" s="206">
        <v>46097</v>
      </c>
      <c r="Q60" s="137">
        <v>1000</v>
      </c>
      <c r="R60" s="207">
        <f>Q60/H60</f>
        <v>0.01</v>
      </c>
      <c r="S60" s="206" t="s">
        <v>368</v>
      </c>
      <c r="T60" s="221" t="s">
        <v>1430</v>
      </c>
      <c r="U60" s="210" t="str">
        <f>VLOOKUP($K60,Emp!$A$2:$E$347,5,0)</f>
        <v>AMAL</v>
      </c>
      <c r="V60" s="225"/>
      <c r="W60" s="225"/>
      <c r="X60" s="225"/>
      <c r="Y60" s="209" t="str">
        <f t="array" ref="Y60">INDEX(RETAIL!$F:$F,MATCH(1,(RETAIL!$B:$B=B60)*(RETAIL!$N:$N=M60),0))</f>
        <v>88/VSL/25000180</v>
      </c>
      <c r="Z60" s="221">
        <f>_xlfn.XLOOKUP(Y60,RETAIL!F:F,RETAIL!G:G)</f>
        <v>46095</v>
      </c>
      <c r="AA60" s="227"/>
      <c r="AB60" s="137" t="str">
        <f>_xlfn.XLOOKUP(D60,[2]MAR!$F:$F,[2]MAR!$H:$H)</f>
        <v>CANCELLED</v>
      </c>
    </row>
    <row r="61" hidden="1" customHeight="1" spans="1:28">
      <c r="A61" s="209">
        <v>60</v>
      </c>
      <c r="B61" s="214" t="s">
        <v>737</v>
      </c>
      <c r="C61" s="214">
        <v>2567431225</v>
      </c>
      <c r="D61" s="137" t="s">
        <v>1463</v>
      </c>
      <c r="E61" s="137" t="s">
        <v>1536</v>
      </c>
      <c r="F61" s="137" t="s">
        <v>741</v>
      </c>
      <c r="G61" s="213" t="s">
        <v>489</v>
      </c>
      <c r="H61" s="215">
        <v>544700</v>
      </c>
      <c r="I61" s="137" t="s">
        <v>648</v>
      </c>
      <c r="K61" s="203" t="s">
        <v>64</v>
      </c>
      <c r="L61" s="210" t="str">
        <f>VLOOKUP($K61,Emp!$A$2:$E$347,2,0)</f>
        <v>BHAGIESH</v>
      </c>
      <c r="M61" s="210" t="str">
        <f>VLOOKUP($K61,Emp!$A$2:$E$347,3,0)</f>
        <v>CHAVAKKAD</v>
      </c>
      <c r="N61" s="210" t="str">
        <f>VLOOKUP($K61,Emp!$A$2:$E$347,4,0)</f>
        <v>ARENA</v>
      </c>
      <c r="O61" s="206">
        <v>46093</v>
      </c>
      <c r="P61" s="206">
        <v>46097</v>
      </c>
      <c r="Q61" s="137">
        <f>H61*R61</f>
        <v>13617.5</v>
      </c>
      <c r="R61" s="207">
        <v>0.025</v>
      </c>
      <c r="S61" s="206" t="s">
        <v>368</v>
      </c>
      <c r="T61" s="221" t="s">
        <v>356</v>
      </c>
      <c r="U61" s="210" t="str">
        <f>VLOOKUP($K61,Emp!$A$2:$E$347,5,0)</f>
        <v>SINTO</v>
      </c>
      <c r="V61" s="225"/>
      <c r="W61" s="225"/>
      <c r="X61" s="225"/>
      <c r="Y61" s="209" t="str">
        <f t="array" ref="Y61">INDEX(RETAIL!$F:$F,MATCH(1,(RETAIL!$B:$B=B61)*(RETAIL!$N:$N=M61),0))</f>
        <v>28/VSL/25000112</v>
      </c>
      <c r="Z61" s="221">
        <f>_xlfn.XLOOKUP(Y61,RETAIL!F:F,RETAIL!G:G)</f>
        <v>46095</v>
      </c>
      <c r="AA61" s="227"/>
      <c r="AB61" s="137" t="e">
        <f>_xlfn.XLOOKUP(D61,[2]MAR!$F:$F,[2]MAR!$H:$H)</f>
        <v>#N/A</v>
      </c>
    </row>
    <row r="62" hidden="1" customHeight="1" spans="1:28">
      <c r="A62" s="209">
        <v>61</v>
      </c>
      <c r="B62" s="214" t="s">
        <v>1011</v>
      </c>
      <c r="C62" s="214">
        <v>2566806016</v>
      </c>
      <c r="D62" s="137" t="s">
        <v>1537</v>
      </c>
      <c r="E62" s="137" t="s">
        <v>1538</v>
      </c>
      <c r="F62" s="137" t="s">
        <v>1015</v>
      </c>
      <c r="G62" s="213" t="s">
        <v>489</v>
      </c>
      <c r="H62" s="215">
        <v>700000</v>
      </c>
      <c r="I62" s="137" t="s">
        <v>1018</v>
      </c>
      <c r="J62" s="137" t="s">
        <v>1539</v>
      </c>
      <c r="K62" s="203" t="s">
        <v>68</v>
      </c>
      <c r="L62" s="210" t="str">
        <f>VLOOKUP($K62,Emp!$A$2:$E$347,2,0)</f>
        <v>MANU SASI</v>
      </c>
      <c r="M62" s="210" t="str">
        <f>VLOOKUP($K62,Emp!$A$2:$E$347,3,0)</f>
        <v>EDAPPALLY</v>
      </c>
      <c r="N62" s="210" t="str">
        <f>VLOOKUP($K62,Emp!$A$2:$E$347,4,0)</f>
        <v>ARENA</v>
      </c>
      <c r="O62" s="206">
        <v>46097</v>
      </c>
      <c r="P62" s="206">
        <v>46100</v>
      </c>
      <c r="Q62" s="137">
        <f>H62*R62</f>
        <v>9100</v>
      </c>
      <c r="R62" s="207">
        <v>0.013</v>
      </c>
      <c r="S62" s="206" t="s">
        <v>368</v>
      </c>
      <c r="T62" s="221" t="s">
        <v>10</v>
      </c>
      <c r="U62" s="210" t="str">
        <f>VLOOKUP($K62,Emp!$A$2:$E$347,5,0)</f>
        <v>SIVAPRASAD</v>
      </c>
      <c r="V62" s="225"/>
      <c r="W62" s="225"/>
      <c r="X62" s="225"/>
      <c r="Y62" s="209" t="str">
        <f t="array" ref="Y62">INDEX(RETAIL!$F:$F,MATCH(1,(RETAIL!$B:$B=B62)*(RETAIL!$N:$N=M62),0))</f>
        <v>40/VSL/25001484</v>
      </c>
      <c r="Z62" s="221">
        <f>_xlfn.XLOOKUP(Y62,RETAIL!F:F,RETAIL!G:G)</f>
        <v>46102</v>
      </c>
      <c r="AA62" s="227" t="s">
        <v>559</v>
      </c>
      <c r="AB62" s="137" t="str">
        <f>_xlfn.XLOOKUP(D62,[2]MAR!$F:$F,[2]MAR!$H:$H)</f>
        <v>DISBURSED</v>
      </c>
    </row>
    <row r="63" hidden="1" customHeight="1" spans="1:28">
      <c r="A63" s="209">
        <v>62</v>
      </c>
      <c r="B63" s="214" t="s">
        <v>808</v>
      </c>
      <c r="C63" s="214">
        <v>2567441049</v>
      </c>
      <c r="D63" s="137" t="s">
        <v>1540</v>
      </c>
      <c r="E63" s="137" t="s">
        <v>1541</v>
      </c>
      <c r="F63" s="137" t="s">
        <v>812</v>
      </c>
      <c r="G63" s="204" t="s">
        <v>532</v>
      </c>
      <c r="H63" s="215">
        <v>462000</v>
      </c>
      <c r="I63" s="137" t="s">
        <v>411</v>
      </c>
      <c r="K63" s="203" t="s">
        <v>75</v>
      </c>
      <c r="L63" s="210" t="str">
        <f>VLOOKUP($K63,Emp!$A$2:$E$347,2,0)</f>
        <v>NOUFAL T A</v>
      </c>
      <c r="M63" s="210" t="str">
        <f>VLOOKUP($K63,Emp!$A$2:$E$347,3,0)</f>
        <v>EDAPPALLY</v>
      </c>
      <c r="N63" s="210" t="str">
        <f>VLOOKUP($K63,Emp!$A$2:$E$347,4,0)</f>
        <v>ARENA</v>
      </c>
      <c r="O63" s="206">
        <v>46097</v>
      </c>
      <c r="P63" s="206">
        <v>46098</v>
      </c>
      <c r="S63" s="206" t="s">
        <v>368</v>
      </c>
      <c r="T63" s="221" t="s">
        <v>10</v>
      </c>
      <c r="U63" s="210" t="str">
        <f>VLOOKUP($K63,Emp!$A$2:$E$347,5,0)</f>
        <v>SIVAPRASAD</v>
      </c>
      <c r="V63" s="225"/>
      <c r="W63" s="225"/>
      <c r="X63" s="225"/>
      <c r="Y63" s="209" t="str">
        <f t="array" ref="Y63">INDEX(RETAIL!$F:$F,MATCH(1,(RETAIL!$B:$B=B63)*(RETAIL!$N:$N=M63),0))</f>
        <v>40/VSL/25001462</v>
      </c>
      <c r="Z63" s="221">
        <f>_xlfn.XLOOKUP(Y63,RETAIL!F:F,RETAIL!G:G)</f>
        <v>46097</v>
      </c>
      <c r="AA63" s="227" t="s">
        <v>1444</v>
      </c>
      <c r="AB63" s="137" t="str">
        <f>_xlfn.XLOOKUP(D63,[2]MAR!$F:$F,[2]MAR!$H:$H)</f>
        <v>DISBURSED</v>
      </c>
    </row>
    <row r="64" hidden="1" customHeight="1" spans="1:28">
      <c r="A64" s="209">
        <v>63</v>
      </c>
      <c r="B64" s="218" t="s">
        <v>1318</v>
      </c>
      <c r="C64" s="218">
        <v>2567067945</v>
      </c>
      <c r="D64" s="219">
        <v>169317863</v>
      </c>
      <c r="E64" s="219">
        <v>169488265</v>
      </c>
      <c r="F64" s="137" t="s">
        <v>1323</v>
      </c>
      <c r="G64" s="217" t="s">
        <v>489</v>
      </c>
      <c r="H64" s="215">
        <v>502536</v>
      </c>
      <c r="I64" s="137" t="s">
        <v>507</v>
      </c>
      <c r="K64" s="223" t="s">
        <v>87</v>
      </c>
      <c r="L64" s="210" t="str">
        <f>VLOOKUP($K64,Emp!$A$2:$E$347,2,0)</f>
        <v>RATISH K R</v>
      </c>
      <c r="M64" s="210" t="str">
        <f>VLOOKUP($K64,Emp!$A$2:$E$347,3,0)</f>
        <v>KADAVANTHRA</v>
      </c>
      <c r="N64" s="210" t="str">
        <f>VLOOKUP($K64,Emp!$A$2:$E$347,4,0)</f>
        <v>ARENA</v>
      </c>
      <c r="O64" s="206">
        <v>46097</v>
      </c>
      <c r="P64" s="206">
        <v>46109</v>
      </c>
      <c r="S64" s="206" t="s">
        <v>368</v>
      </c>
      <c r="T64" s="221" t="s">
        <v>1430</v>
      </c>
      <c r="U64" s="210" t="str">
        <f>VLOOKUP($K64,Emp!$A$2:$E$347,5,0)</f>
        <v>SALMAN</v>
      </c>
      <c r="V64" s="225"/>
      <c r="W64" s="225"/>
      <c r="X64" s="225"/>
      <c r="Y64" s="209" t="str">
        <f t="array" ref="Y64">INDEX(RETAIL!$F:$F,MATCH(1,(RETAIL!$B:$B=B64)*(RETAIL!$N:$N=M64),0))</f>
        <v>40/VSL/25001515</v>
      </c>
      <c r="Z64" s="221">
        <f>_xlfn.XLOOKUP(Y64,RETAIL!F:F,RETAIL!G:G)</f>
        <v>46109</v>
      </c>
      <c r="AA64" s="227"/>
      <c r="AB64" s="137" t="str">
        <f>_xlfn.XLOOKUP(D64,[2]MAR!$F:$F,[2]MAR!$H:$H)</f>
        <v>CANCELLED</v>
      </c>
    </row>
    <row r="65" hidden="1" customHeight="1" spans="1:28">
      <c r="A65" s="209">
        <v>64</v>
      </c>
      <c r="B65" s="214" t="s">
        <v>1126</v>
      </c>
      <c r="C65" s="214">
        <v>2566474051</v>
      </c>
      <c r="D65" s="137" t="s">
        <v>1542</v>
      </c>
      <c r="E65" s="137" t="s">
        <v>1543</v>
      </c>
      <c r="F65" s="137" t="s">
        <v>1130</v>
      </c>
      <c r="G65" s="217" t="s">
        <v>434</v>
      </c>
      <c r="H65" s="215">
        <v>200000</v>
      </c>
      <c r="I65" s="137" t="s">
        <v>612</v>
      </c>
      <c r="J65" s="137" t="s">
        <v>13</v>
      </c>
      <c r="K65" s="203" t="s">
        <v>218</v>
      </c>
      <c r="L65" s="210" t="str">
        <f>VLOOKUP($K65,Emp!$A$2:$E$347,2,0)</f>
        <v>ELDHO A JACOB</v>
      </c>
      <c r="M65" s="210" t="str">
        <f>VLOOKUP($K65,Emp!$A$2:$E$347,3,0)</f>
        <v>ANGAMALY</v>
      </c>
      <c r="N65" s="210" t="str">
        <f>VLOOKUP($K65,Emp!$A$2:$E$347,4,0)</f>
        <v>ARENA</v>
      </c>
      <c r="O65" s="206">
        <v>46097</v>
      </c>
      <c r="P65" s="206">
        <v>46099</v>
      </c>
      <c r="S65" s="206" t="s">
        <v>368</v>
      </c>
      <c r="T65" s="221" t="s">
        <v>1430</v>
      </c>
      <c r="U65" s="210" t="str">
        <f>VLOOKUP($K65,Emp!$A$2:$E$347,5,0)</f>
        <v>SALMAN</v>
      </c>
      <c r="V65" s="225"/>
      <c r="W65" s="225"/>
      <c r="X65" s="225"/>
      <c r="Y65" s="209" t="str">
        <f t="array" ref="Y65">INDEX(RETAIL!$F:$F,MATCH(1,(RETAIL!$B:$B=B65)*(RETAIL!$N:$N=M65),0))</f>
        <v>8/VSL/25000059</v>
      </c>
      <c r="Z65" s="221">
        <f>_xlfn.XLOOKUP(Y65,RETAIL!F:F,RETAIL!G:G)</f>
        <v>46105</v>
      </c>
      <c r="AA65" s="227"/>
      <c r="AB65" s="137" t="str">
        <f>_xlfn.XLOOKUP(D65,[2]MAR!$F:$F,[2]MAR!$H:$H)</f>
        <v>UNDER PROCESS</v>
      </c>
    </row>
    <row r="66" hidden="1" customHeight="1" spans="1:28">
      <c r="A66" s="209">
        <v>65</v>
      </c>
      <c r="D66" s="415" t="s">
        <v>1544</v>
      </c>
      <c r="E66" s="137" t="s">
        <v>1545</v>
      </c>
      <c r="F66" s="137" t="s">
        <v>1546</v>
      </c>
      <c r="G66" s="204" t="s">
        <v>363</v>
      </c>
      <c r="H66" s="137">
        <v>548350</v>
      </c>
      <c r="I66" s="137" t="s">
        <v>553</v>
      </c>
      <c r="K66" s="203" t="s">
        <v>214</v>
      </c>
      <c r="L66" s="210" t="str">
        <f>VLOOKUP($K66,Emp!$A$2:$E$347,2,0)</f>
        <v>VIBIN I B</v>
      </c>
      <c r="M66" s="210" t="str">
        <f>VLOOKUP($K66,Emp!$A$2:$E$347,3,0)</f>
        <v>KAIPAMANGALAM</v>
      </c>
      <c r="N66" s="210" t="str">
        <f>VLOOKUP($K66,Emp!$A$2:$E$347,4,0)</f>
        <v>ARENA</v>
      </c>
      <c r="O66" s="206">
        <v>46093</v>
      </c>
      <c r="P66" s="206">
        <v>46098</v>
      </c>
      <c r="S66" s="206" t="s">
        <v>368</v>
      </c>
      <c r="T66" s="221" t="s">
        <v>10</v>
      </c>
      <c r="U66" s="210" t="str">
        <f>VLOOKUP($K66,Emp!$A$2:$E$347,5,0)</f>
        <v>JINEESH</v>
      </c>
      <c r="V66" s="225"/>
      <c r="W66" s="225"/>
      <c r="X66" s="225"/>
      <c r="Y66" s="209" t="e">
        <f t="array" ref="Y66">INDEX(RETAIL!$F:$F,MATCH(1,(RETAIL!$B:$B=B66)*(RETAIL!$N:$N=M66),0))</f>
        <v>#N/A</v>
      </c>
      <c r="Z66" s="221" t="e">
        <f>_xlfn.XLOOKUP(Y66,RETAIL!F:F,RETAIL!G:G)</f>
        <v>#N/A</v>
      </c>
      <c r="AA66" s="227"/>
      <c r="AB66" s="137" t="str">
        <f>_xlfn.XLOOKUP(D66,[2]MAR!$F:$F,[2]MAR!$H:$H)</f>
        <v>DISBURSED</v>
      </c>
    </row>
    <row r="67" customHeight="1" spans="1:28">
      <c r="A67" s="209">
        <v>66</v>
      </c>
      <c r="B67" s="214" t="s">
        <v>778</v>
      </c>
      <c r="C67" s="214">
        <v>2566867952</v>
      </c>
      <c r="D67" s="137" t="s">
        <v>1547</v>
      </c>
      <c r="E67" s="137" t="s">
        <v>1548</v>
      </c>
      <c r="F67" s="137" t="s">
        <v>783</v>
      </c>
      <c r="G67" s="213" t="s">
        <v>489</v>
      </c>
      <c r="H67" s="137">
        <v>200000</v>
      </c>
      <c r="I67" s="137" t="s">
        <v>612</v>
      </c>
      <c r="J67" s="137" t="s">
        <v>1549</v>
      </c>
      <c r="K67" s="203" t="s">
        <v>157</v>
      </c>
      <c r="L67" s="210" t="str">
        <f>VLOOKUP($K67,Emp!$A$2:$E$347,2,0)</f>
        <v>SIJO VARGHESE GEORGE</v>
      </c>
      <c r="M67" s="210" t="str">
        <f>VLOOKUP($K67,Emp!$A$2:$E$347,3,0)</f>
        <v>PERUMBAVOOR</v>
      </c>
      <c r="N67" s="210" t="str">
        <f>VLOOKUP($K67,Emp!$A$2:$E$347,4,0)</f>
        <v>ARENA</v>
      </c>
      <c r="O67" s="206">
        <v>46093</v>
      </c>
      <c r="P67" s="206">
        <v>46098</v>
      </c>
      <c r="S67" s="206" t="s">
        <v>368</v>
      </c>
      <c r="T67" s="221" t="s">
        <v>10</v>
      </c>
      <c r="U67" s="210" t="str">
        <f>VLOOKUP($K67,Emp!$A$2:$E$347,5,0)</f>
        <v>SALMAN</v>
      </c>
      <c r="V67" s="225"/>
      <c r="W67" s="225"/>
      <c r="X67" s="225"/>
      <c r="Y67" s="209" t="str">
        <f t="array" ref="Y67">INDEX(RETAIL!$F:$F,MATCH(1,(RETAIL!$B:$B=B67)*(RETAIL!$N:$N=M67),0))</f>
        <v>126/VSL/25000115</v>
      </c>
      <c r="Z67" s="221">
        <f>_xlfn.XLOOKUP(Y67,RETAIL!F:F,RETAIL!G:G)</f>
        <v>46097</v>
      </c>
      <c r="AA67" s="227"/>
      <c r="AB67" s="137" t="str">
        <f>_xlfn.XLOOKUP(D67,[2]MAR!$F:$F,[2]MAR!$H:$H)</f>
        <v>SANCTIONED</v>
      </c>
    </row>
    <row r="68" hidden="1" customHeight="1" spans="1:28">
      <c r="A68" s="209">
        <v>67</v>
      </c>
      <c r="D68" s="415" t="s">
        <v>1550</v>
      </c>
      <c r="F68" s="137" t="s">
        <v>1551</v>
      </c>
      <c r="G68" s="204" t="s">
        <v>443</v>
      </c>
      <c r="H68" s="212">
        <v>400000</v>
      </c>
      <c r="I68" s="137" t="s">
        <v>553</v>
      </c>
      <c r="K68" s="203" t="s">
        <v>54</v>
      </c>
      <c r="L68" s="210" t="str">
        <f>VLOOKUP($K68,Emp!$A$2:$E$347,2,0)</f>
        <v>SHEMEER A K</v>
      </c>
      <c r="M68" s="210" t="str">
        <f>VLOOKUP($K68,Emp!$A$2:$E$347,3,0)</f>
        <v>EDAPPALLY</v>
      </c>
      <c r="N68" s="210" t="str">
        <f>VLOOKUP($K68,Emp!$A$2:$E$347,4,0)</f>
        <v>ARENA</v>
      </c>
      <c r="O68" s="206">
        <v>46098</v>
      </c>
      <c r="S68" s="206" t="s">
        <v>300</v>
      </c>
      <c r="T68" s="221" t="s">
        <v>1430</v>
      </c>
      <c r="U68" s="210" t="str">
        <f>VLOOKUP($K68,Emp!$A$2:$E$347,5,0)</f>
        <v>SIVAPRASAD</v>
      </c>
      <c r="V68" s="225"/>
      <c r="W68" s="225"/>
      <c r="X68" s="225"/>
      <c r="Y68" s="209" t="e">
        <f t="array" ref="Y68">INDEX(RETAIL!$F:$F,MATCH(1,(RETAIL!$B:$B=B68)*(RETAIL!$N:$N=M68),0))</f>
        <v>#N/A</v>
      </c>
      <c r="Z68" s="221" t="e">
        <f>_xlfn.XLOOKUP(Y68,RETAIL!F:F,RETAIL!G:G)</f>
        <v>#N/A</v>
      </c>
      <c r="AA68" s="227"/>
      <c r="AB68" s="137" t="e">
        <f>_xlfn.XLOOKUP(D68,[2]MAR!$F:$F,[2]MAR!$H:$H)</f>
        <v>#N/A</v>
      </c>
    </row>
    <row r="69" hidden="1" customHeight="1" spans="1:28">
      <c r="A69" s="209">
        <v>68</v>
      </c>
      <c r="B69" s="214" t="s">
        <v>912</v>
      </c>
      <c r="C69" s="214">
        <v>2567550041</v>
      </c>
      <c r="D69" s="137" t="s">
        <v>1463</v>
      </c>
      <c r="E69" s="137" t="s">
        <v>1463</v>
      </c>
      <c r="F69" s="137" t="s">
        <v>916</v>
      </c>
      <c r="G69" s="204" t="s">
        <v>532</v>
      </c>
      <c r="H69" s="137">
        <v>554300</v>
      </c>
      <c r="I69" s="137" t="s">
        <v>590</v>
      </c>
      <c r="J69" s="137" t="s">
        <v>11</v>
      </c>
      <c r="K69" s="203" t="s">
        <v>161</v>
      </c>
      <c r="L69" s="210" t="str">
        <f>VLOOKUP($K69,Emp!$A$2:$E$347,2,0)</f>
        <v>SIJO VARGHESE GEORGE</v>
      </c>
      <c r="M69" s="210" t="str">
        <f>VLOOKUP($K69,Emp!$A$2:$E$347,3,0)</f>
        <v>PERUMBAVOOR</v>
      </c>
      <c r="N69" s="210" t="str">
        <f>VLOOKUP($K69,Emp!$A$2:$E$347,4,0)</f>
        <v>ARENA</v>
      </c>
      <c r="O69" s="206">
        <v>46097</v>
      </c>
      <c r="P69" s="206">
        <v>46098</v>
      </c>
      <c r="Q69" s="137">
        <v>3000</v>
      </c>
      <c r="R69" s="207">
        <v>0.005</v>
      </c>
      <c r="S69" s="206" t="s">
        <v>368</v>
      </c>
      <c r="T69" s="206" t="s">
        <v>356</v>
      </c>
      <c r="U69" s="210" t="str">
        <f>VLOOKUP($K69,Emp!$A$2:$E$347,5,0)</f>
        <v>SALMAN</v>
      </c>
      <c r="V69" s="225"/>
      <c r="W69" s="225"/>
      <c r="X69" s="225"/>
      <c r="Y69" s="209" t="str">
        <f t="array" ref="Y69">INDEX(RETAIL!$F:$F,MATCH(1,(RETAIL!$B:$B=B69)*(RETAIL!$N:$N=M69),0))</f>
        <v>126/VSL/25000118</v>
      </c>
      <c r="Z69" s="221">
        <f>_xlfn.XLOOKUP(Y69,RETAIL!F:F,RETAIL!G:G)</f>
        <v>46100</v>
      </c>
      <c r="AA69" s="227"/>
      <c r="AB69" s="137" t="e">
        <f>_xlfn.XLOOKUP(D69,[2]MAR!$F:$F,[2]MAR!$H:$H)</f>
        <v>#N/A</v>
      </c>
    </row>
    <row r="70" hidden="1" customHeight="1" spans="1:28">
      <c r="A70" s="209">
        <v>69</v>
      </c>
      <c r="B70" s="214" t="s">
        <v>854</v>
      </c>
      <c r="C70" s="214">
        <v>2567485885</v>
      </c>
      <c r="D70" s="137">
        <v>167683677</v>
      </c>
      <c r="E70" s="415" t="s">
        <v>1552</v>
      </c>
      <c r="F70" s="137" t="s">
        <v>859</v>
      </c>
      <c r="G70" s="204" t="s">
        <v>619</v>
      </c>
      <c r="H70" s="137">
        <v>939800</v>
      </c>
      <c r="I70" s="137" t="s">
        <v>861</v>
      </c>
      <c r="K70" s="203" t="s">
        <v>67</v>
      </c>
      <c r="L70" s="210" t="str">
        <f>VLOOKUP($K70,Emp!$A$2:$E$347,2,0)</f>
        <v>ABHILASH K P</v>
      </c>
      <c r="M70" s="210" t="str">
        <f>VLOOKUP($K70,Emp!$A$2:$E$347,3,0)</f>
        <v>EDAPPALLY</v>
      </c>
      <c r="N70" s="210" t="str">
        <f>VLOOKUP($K70,Emp!$A$2:$E$347,4,0)</f>
        <v>ARENA</v>
      </c>
      <c r="O70" s="206">
        <v>46098</v>
      </c>
      <c r="P70" s="206">
        <v>46098</v>
      </c>
      <c r="S70" s="206" t="s">
        <v>368</v>
      </c>
      <c r="T70" s="221" t="s">
        <v>10</v>
      </c>
      <c r="U70" s="210" t="str">
        <f>VLOOKUP($K70,Emp!$A$2:$E$347,5,0)</f>
        <v>SIVAPRASAD</v>
      </c>
      <c r="V70" s="225"/>
      <c r="W70" s="225"/>
      <c r="X70" s="225"/>
      <c r="Y70" s="209" t="str">
        <f t="array" ref="Y70">INDEX(RETAIL!$F:$F,MATCH(1,(RETAIL!$B:$B=B70)*(RETAIL!$N:$N=M70),0))</f>
        <v>40/VSL/25001465</v>
      </c>
      <c r="Z70" s="221">
        <f>_xlfn.XLOOKUP(Y70,RETAIL!F:F,RETAIL!G:G)</f>
        <v>46098</v>
      </c>
      <c r="AA70" s="227" t="s">
        <v>559</v>
      </c>
      <c r="AB70" s="137" t="str">
        <f>_xlfn.XLOOKUP(D70,[2]MAR!$F:$F,[2]MAR!$H:$H)</f>
        <v>DISBURSED</v>
      </c>
    </row>
    <row r="71" hidden="1" customHeight="1" spans="1:28">
      <c r="A71" s="209">
        <v>70</v>
      </c>
      <c r="B71" s="214" t="s">
        <v>1024</v>
      </c>
      <c r="C71" s="214">
        <v>2567248837</v>
      </c>
      <c r="D71" s="137">
        <v>169362248</v>
      </c>
      <c r="E71" s="137">
        <v>169362248</v>
      </c>
      <c r="F71" s="137" t="s">
        <v>1553</v>
      </c>
      <c r="G71" s="204" t="s">
        <v>683</v>
      </c>
      <c r="H71" s="137">
        <v>605536</v>
      </c>
      <c r="I71" s="137" t="s">
        <v>507</v>
      </c>
      <c r="K71" s="203" t="s">
        <v>218</v>
      </c>
      <c r="L71" s="210" t="str">
        <f>VLOOKUP($K71,Emp!$A$2:$E$347,2,0)</f>
        <v>ELDHO A JACOB</v>
      </c>
      <c r="M71" s="210" t="str">
        <f>VLOOKUP($K71,Emp!$A$2:$E$347,3,0)</f>
        <v>ANGAMALY</v>
      </c>
      <c r="N71" s="210" t="str">
        <f>VLOOKUP($K71,Emp!$A$2:$E$347,4,0)</f>
        <v>ARENA</v>
      </c>
      <c r="O71" s="206">
        <v>46098</v>
      </c>
      <c r="P71" s="206">
        <v>46102</v>
      </c>
      <c r="S71" s="206" t="s">
        <v>368</v>
      </c>
      <c r="T71" s="221" t="s">
        <v>10</v>
      </c>
      <c r="U71" s="210" t="str">
        <f>VLOOKUP($K71,Emp!$A$2:$E$347,5,0)</f>
        <v>SALMAN</v>
      </c>
      <c r="V71" s="225"/>
      <c r="W71" s="225"/>
      <c r="X71" s="225"/>
      <c r="Y71" s="209" t="str">
        <f t="array" ref="Y71">INDEX(RETAIL!$F:$F,MATCH(1,(RETAIL!$B:$B=B71)*(RETAIL!$N:$N=M71),0))</f>
        <v>8/VSL/25000058</v>
      </c>
      <c r="Z71" s="221">
        <f>_xlfn.XLOOKUP(Y71,RETAIL!F:F,RETAIL!G:G)</f>
        <v>46102</v>
      </c>
      <c r="AA71" s="227" t="s">
        <v>1444</v>
      </c>
      <c r="AB71" s="137" t="str">
        <f>_xlfn.XLOOKUP(D71,[2]MAR!$F:$F,[2]MAR!$H:$H)</f>
        <v>DISBURSED</v>
      </c>
    </row>
    <row r="72" hidden="1" customHeight="1" spans="1:28">
      <c r="A72" s="209">
        <v>71</v>
      </c>
      <c r="B72" s="214" t="s">
        <v>820</v>
      </c>
      <c r="C72" s="214">
        <v>2566736333</v>
      </c>
      <c r="D72" s="137" t="s">
        <v>1554</v>
      </c>
      <c r="E72" s="137" t="s">
        <v>1555</v>
      </c>
      <c r="F72" s="137" t="s">
        <v>824</v>
      </c>
      <c r="G72" s="204" t="s">
        <v>532</v>
      </c>
      <c r="H72" s="137">
        <v>500000</v>
      </c>
      <c r="I72" s="137" t="s">
        <v>777</v>
      </c>
      <c r="K72" s="203" t="s">
        <v>108</v>
      </c>
      <c r="L72" s="210" t="str">
        <f>VLOOKUP($K72,Emp!$A$2:$E$347,2,0)</f>
        <v>RIJITH</v>
      </c>
      <c r="M72" s="210" t="str">
        <f>VLOOKUP($K72,Emp!$A$2:$E$347,3,0)</f>
        <v>STUDIO KDLR</v>
      </c>
      <c r="N72" s="210" t="str">
        <f>VLOOKUP($K72,Emp!$A$2:$E$347,4,0)</f>
        <v>STUDIO</v>
      </c>
      <c r="O72" s="206">
        <v>46097</v>
      </c>
      <c r="P72" s="206">
        <v>46098</v>
      </c>
      <c r="Q72" s="137">
        <v>10000</v>
      </c>
      <c r="R72" s="207">
        <f>Q72/H72</f>
        <v>0.02</v>
      </c>
      <c r="S72" s="206" t="s">
        <v>368</v>
      </c>
      <c r="T72" s="221" t="s">
        <v>10</v>
      </c>
      <c r="U72" s="210" t="str">
        <f>VLOOKUP($K72,Emp!$A$2:$E$347,5,0)</f>
        <v>JINEESH</v>
      </c>
      <c r="V72" s="225"/>
      <c r="W72" s="225"/>
      <c r="X72" s="225"/>
      <c r="Y72" s="209" t="str">
        <f t="array" ref="Y72">INDEX(RETAIL!$F:$F,MATCH(1,(RETAIL!$B:$B=B72)*(RETAIL!$N:$N=M72),0))</f>
        <v>72/VSL/25000155</v>
      </c>
      <c r="Z72" s="221">
        <f>_xlfn.XLOOKUP(Y72,RETAIL!F:F,RETAIL!G:G)</f>
        <v>46097</v>
      </c>
      <c r="AA72" s="227" t="s">
        <v>559</v>
      </c>
      <c r="AB72" s="228" t="s">
        <v>368</v>
      </c>
    </row>
    <row r="73" hidden="1" customHeight="1" spans="1:28">
      <c r="A73" s="209">
        <v>72</v>
      </c>
      <c r="B73" s="214" t="s">
        <v>959</v>
      </c>
      <c r="C73" s="214">
        <v>2567286964</v>
      </c>
      <c r="D73" s="137">
        <v>169073366</v>
      </c>
      <c r="E73" s="415" t="s">
        <v>1556</v>
      </c>
      <c r="F73" s="137" t="s">
        <v>963</v>
      </c>
      <c r="G73" s="204" t="s">
        <v>363</v>
      </c>
      <c r="H73" s="137">
        <v>501710</v>
      </c>
      <c r="I73" s="137" t="s">
        <v>861</v>
      </c>
      <c r="K73" s="203" t="s">
        <v>76</v>
      </c>
      <c r="L73" s="210" t="str">
        <f>VLOOKUP($K73,Emp!$A$2:$E$347,2,0)</f>
        <v>NOUFAL T A</v>
      </c>
      <c r="M73" s="210" t="str">
        <f>VLOOKUP($K73,Emp!$A$2:$E$347,3,0)</f>
        <v>EDAPPALLY</v>
      </c>
      <c r="N73" s="210" t="str">
        <f>VLOOKUP($K73,Emp!$A$2:$E$347,4,0)</f>
        <v>ARENA</v>
      </c>
      <c r="O73" s="206">
        <v>46098</v>
      </c>
      <c r="P73" s="206">
        <v>46100</v>
      </c>
      <c r="S73" s="206" t="s">
        <v>368</v>
      </c>
      <c r="T73" s="221" t="s">
        <v>10</v>
      </c>
      <c r="U73" s="210" t="str">
        <f>VLOOKUP($K73,Emp!$A$2:$E$347,5,0)</f>
        <v>SIVAPRASAD</v>
      </c>
      <c r="V73" s="225"/>
      <c r="W73" s="225"/>
      <c r="X73" s="225"/>
      <c r="Y73" s="209" t="str">
        <f t="array" ref="Y73">INDEX(RETAIL!$F:$F,MATCH(1,(RETAIL!$B:$B=B73)*(RETAIL!$N:$N=M73),0))</f>
        <v>40/VSL/25001479</v>
      </c>
      <c r="Z73" s="221">
        <f>_xlfn.XLOOKUP(Y73,RETAIL!F:F,RETAIL!G:G)</f>
        <v>46100</v>
      </c>
      <c r="AA73" s="227" t="s">
        <v>559</v>
      </c>
      <c r="AB73" s="137" t="str">
        <f>_xlfn.XLOOKUP(D73,[2]MAR!$F:$F,[2]MAR!$H:$H)</f>
        <v>DISBURSED</v>
      </c>
    </row>
    <row r="74" customHeight="1" spans="1:28">
      <c r="A74" s="209">
        <v>73</v>
      </c>
      <c r="B74" s="214" t="s">
        <v>899</v>
      </c>
      <c r="C74" s="214">
        <v>2567669378</v>
      </c>
      <c r="D74" s="416" t="s">
        <v>1557</v>
      </c>
      <c r="E74" s="137">
        <v>168422225</v>
      </c>
      <c r="F74" s="137" t="s">
        <v>904</v>
      </c>
      <c r="G74" s="204" t="s">
        <v>504</v>
      </c>
      <c r="H74" s="137">
        <v>593537</v>
      </c>
      <c r="I74" s="137" t="s">
        <v>507</v>
      </c>
      <c r="K74" s="203" t="s">
        <v>113</v>
      </c>
      <c r="L74" s="210" t="str">
        <f>VLOOKUP($K74,Emp!$A$2:$E$347,2,0)</f>
        <v>ANAND K V</v>
      </c>
      <c r="M74" s="210" t="str">
        <f>VLOOKUP($K74,Emp!$A$2:$E$347,3,0)</f>
        <v>KOLENCHERY</v>
      </c>
      <c r="N74" s="210" t="str">
        <f>VLOOKUP($K74,Emp!$A$2:$E$347,4,0)</f>
        <v>ARENA</v>
      </c>
      <c r="O74" s="206">
        <v>46098</v>
      </c>
      <c r="P74" s="206">
        <v>46099</v>
      </c>
      <c r="S74" s="206" t="s">
        <v>368</v>
      </c>
      <c r="T74" s="221" t="s">
        <v>10</v>
      </c>
      <c r="U74" s="210" t="str">
        <f>VLOOKUP($K74,Emp!$A$2:$E$347,5,0)</f>
        <v>AMAL</v>
      </c>
      <c r="V74" s="225"/>
      <c r="W74" s="225"/>
      <c r="X74" s="225"/>
      <c r="Y74" s="209" t="str">
        <f t="array" ref="Y74">INDEX(RETAIL!$F:$F,MATCH(1,(RETAIL!$B:$B=B74)*(RETAIL!$N:$N=M74),0))</f>
        <v>40/VSL/25001472</v>
      </c>
      <c r="Z74" s="221">
        <f>_xlfn.XLOOKUP(Y74,RETAIL!F:F,RETAIL!G:G)</f>
        <v>46099</v>
      </c>
      <c r="AA74" s="227"/>
      <c r="AB74" s="228" t="s">
        <v>1558</v>
      </c>
    </row>
    <row r="75" hidden="1" customHeight="1" spans="1:28">
      <c r="A75" s="209">
        <v>74</v>
      </c>
      <c r="B75" s="214" t="s">
        <v>1112</v>
      </c>
      <c r="C75" s="214">
        <v>2567770721</v>
      </c>
      <c r="D75" s="137" t="s">
        <v>1559</v>
      </c>
      <c r="E75" s="137" t="s">
        <v>1560</v>
      </c>
      <c r="F75" s="137" t="s">
        <v>1116</v>
      </c>
      <c r="G75" s="204" t="s">
        <v>532</v>
      </c>
      <c r="H75" s="137">
        <v>603246</v>
      </c>
      <c r="I75" s="137" t="s">
        <v>437</v>
      </c>
      <c r="K75" s="203" t="s">
        <v>165</v>
      </c>
      <c r="L75" s="210" t="str">
        <f>VLOOKUP($K75,Emp!$A$2:$E$347,2,0)</f>
        <v>JESTIN UTHUP JOHN</v>
      </c>
      <c r="M75" s="210" t="str">
        <f>VLOOKUP($K75,Emp!$A$2:$E$347,3,0)</f>
        <v>PIRAVOM</v>
      </c>
      <c r="N75" s="210" t="str">
        <f>VLOOKUP($K75,Emp!$A$2:$E$347,4,0)</f>
        <v>ARENA</v>
      </c>
      <c r="O75" s="206">
        <v>46098</v>
      </c>
      <c r="P75" s="206">
        <v>46099</v>
      </c>
      <c r="S75" s="206" t="s">
        <v>368</v>
      </c>
      <c r="T75" s="221" t="s">
        <v>1430</v>
      </c>
      <c r="U75" s="210" t="str">
        <f>VLOOKUP($K75,Emp!$A$2:$E$347,5,0)</f>
        <v>AMAL</v>
      </c>
      <c r="V75" s="225"/>
      <c r="W75" s="225"/>
      <c r="X75" s="225"/>
      <c r="Y75" s="209" t="str">
        <f t="array" ref="Y75">INDEX(RETAIL!$F:$F,MATCH(1,(RETAIL!$B:$B=B75)*(RETAIL!$N:$N=M75),0))</f>
        <v>40/VSL/25001497</v>
      </c>
      <c r="Z75" s="221">
        <f>_xlfn.XLOOKUP(Y75,RETAIL!F:F,RETAIL!G:G)</f>
        <v>46105</v>
      </c>
      <c r="AA75" s="227"/>
      <c r="AB75" s="137" t="e">
        <f>_xlfn.XLOOKUP(D75,[2]MAR!$F:$F,[2]MAR!$H:$H)</f>
        <v>#N/A</v>
      </c>
    </row>
    <row r="76" hidden="1" customHeight="1" spans="1:28">
      <c r="A76" s="209">
        <v>75</v>
      </c>
      <c r="B76" s="214" t="s">
        <v>1057</v>
      </c>
      <c r="C76" s="214">
        <v>2567182039</v>
      </c>
      <c r="D76" s="137">
        <v>19591986</v>
      </c>
      <c r="E76" s="137">
        <v>17862272</v>
      </c>
      <c r="F76" s="137" t="s">
        <v>1561</v>
      </c>
      <c r="G76" s="204" t="s">
        <v>363</v>
      </c>
      <c r="H76" s="137">
        <v>518232</v>
      </c>
      <c r="I76" s="137" t="s">
        <v>457</v>
      </c>
      <c r="K76" s="203" t="s">
        <v>192</v>
      </c>
      <c r="L76" s="210" t="str">
        <f>VLOOKUP($K76,Emp!$A$2:$E$347,2,0)</f>
        <v>KASI VISWANATH</v>
      </c>
      <c r="M76" s="210" t="str">
        <f>VLOOKUP($K76,Emp!$A$2:$E$347,3,0)</f>
        <v>KAIPAMANGALAM</v>
      </c>
      <c r="N76" s="210" t="str">
        <f>VLOOKUP($K76,Emp!$A$2:$E$347,4,0)</f>
        <v>ARENA</v>
      </c>
      <c r="O76" s="206">
        <v>46098</v>
      </c>
      <c r="P76" s="206">
        <v>46099</v>
      </c>
      <c r="S76" s="206" t="s">
        <v>368</v>
      </c>
      <c r="T76" s="221" t="s">
        <v>10</v>
      </c>
      <c r="U76" s="210" t="str">
        <f>VLOOKUP($K76,Emp!$A$2:$E$347,5,0)</f>
        <v>JINEESH</v>
      </c>
      <c r="V76" s="225"/>
      <c r="W76" s="225"/>
      <c r="X76" s="225"/>
      <c r="Y76" s="209" t="str">
        <f t="array" ref="Y76">INDEX(RETAIL!$F:$F,MATCH(1,(RETAIL!$B:$B=B76)*(RETAIL!$N:$N=M76),0))</f>
        <v>77/VSL/25000163</v>
      </c>
      <c r="Z76" s="221">
        <f>_xlfn.XLOOKUP(Y76,RETAIL!F:F,RETAIL!G:G)</f>
        <v>46104</v>
      </c>
      <c r="AA76" s="227" t="s">
        <v>1444</v>
      </c>
      <c r="AB76" s="137" t="str">
        <f>_xlfn.XLOOKUP(D76,[2]MAR!$F:$F,[2]MAR!$H:$H)</f>
        <v>DISBURSED</v>
      </c>
    </row>
    <row r="77" hidden="1" customHeight="1" spans="1:28">
      <c r="A77" s="209">
        <v>76</v>
      </c>
      <c r="B77" s="214" t="s">
        <v>872</v>
      </c>
      <c r="C77" s="214">
        <v>2567027980</v>
      </c>
      <c r="D77" s="137" t="s">
        <v>1562</v>
      </c>
      <c r="E77" s="137" t="s">
        <v>1563</v>
      </c>
      <c r="F77" s="137" t="s">
        <v>876</v>
      </c>
      <c r="G77" s="204" t="s">
        <v>363</v>
      </c>
      <c r="H77" s="137">
        <v>540000</v>
      </c>
      <c r="I77" s="137" t="s">
        <v>366</v>
      </c>
      <c r="J77" s="137" t="s">
        <v>1564</v>
      </c>
      <c r="K77" s="203" t="s">
        <v>177</v>
      </c>
      <c r="L77" s="210" t="str">
        <f>VLOOKUP($K77,Emp!$A$2:$E$347,2,0)</f>
        <v>PRANOOB V NAIR</v>
      </c>
      <c r="M77" s="210" t="str">
        <f>VLOOKUP($K77,Emp!$A$2:$E$347,3,0)</f>
        <v>TRIPPUNITHURA</v>
      </c>
      <c r="N77" s="210" t="str">
        <f>VLOOKUP($K77,Emp!$A$2:$E$347,4,0)</f>
        <v>ARENA</v>
      </c>
      <c r="O77" s="206">
        <v>46098</v>
      </c>
      <c r="P77" s="206">
        <v>46099</v>
      </c>
      <c r="Q77" s="137">
        <f>H77*R77</f>
        <v>7020</v>
      </c>
      <c r="R77" s="207">
        <v>0.013</v>
      </c>
      <c r="S77" s="206" t="s">
        <v>368</v>
      </c>
      <c r="T77" s="221" t="s">
        <v>1430</v>
      </c>
      <c r="U77" s="210" t="str">
        <f>VLOOKUP($K77,Emp!$A$2:$E$347,5,0)</f>
        <v>SIVAPRASAD</v>
      </c>
      <c r="V77" s="225"/>
      <c r="W77" s="225"/>
      <c r="X77" s="225"/>
      <c r="Y77" s="209" t="str">
        <f t="array" ref="Y77">INDEX(RETAIL!$F:$F,MATCH(1,(RETAIL!$B:$B=B77)*(RETAIL!$N:$N=M77),0))</f>
        <v>40/VSL/25001467</v>
      </c>
      <c r="Z77" s="221">
        <f>_xlfn.XLOOKUP(Y77,RETAIL!F:F,RETAIL!G:G)</f>
        <v>46099</v>
      </c>
      <c r="AA77" s="227"/>
      <c r="AB77" s="137" t="str">
        <f>_xlfn.XLOOKUP(D77,[2]MAR!$F:$F,[2]MAR!$H:$H)</f>
        <v>APPLIED</v>
      </c>
    </row>
    <row r="78" hidden="1" customHeight="1" spans="1:28">
      <c r="A78" s="209">
        <v>77</v>
      </c>
      <c r="B78" s="214" t="s">
        <v>848</v>
      </c>
      <c r="C78" s="214">
        <v>2567368230</v>
      </c>
      <c r="D78" s="137" t="s">
        <v>1565</v>
      </c>
      <c r="E78" s="137" t="s">
        <v>1566</v>
      </c>
      <c r="F78" s="137" t="s">
        <v>852</v>
      </c>
      <c r="G78" s="204" t="s">
        <v>353</v>
      </c>
      <c r="H78" s="137">
        <v>1125000</v>
      </c>
      <c r="I78" s="137" t="s">
        <v>612</v>
      </c>
      <c r="J78" s="137" t="s">
        <v>1567</v>
      </c>
      <c r="K78" s="203" t="s">
        <v>226</v>
      </c>
      <c r="L78" s="210" t="str">
        <f>VLOOKUP($K78,Emp!$A$2:$E$347,2,0)</f>
        <v>RATISH K R</v>
      </c>
      <c r="M78" s="210" t="str">
        <f>VLOOKUP($K78,Emp!$A$2:$E$347,3,0)</f>
        <v>KADAVANTHRA</v>
      </c>
      <c r="N78" s="210" t="str">
        <f>VLOOKUP($K78,Emp!$A$2:$E$347,4,0)</f>
        <v>ARENA</v>
      </c>
      <c r="O78" s="206">
        <v>46099</v>
      </c>
      <c r="P78" s="206">
        <v>46099</v>
      </c>
      <c r="S78" s="206" t="s">
        <v>368</v>
      </c>
      <c r="T78" s="221" t="s">
        <v>10</v>
      </c>
      <c r="U78" s="210" t="str">
        <f>VLOOKUP($K78,Emp!$A$2:$E$347,5,0)</f>
        <v>SALMAN</v>
      </c>
      <c r="V78" s="225"/>
      <c r="W78" s="225"/>
      <c r="X78" s="225"/>
      <c r="Y78" s="209" t="str">
        <f t="array" ref="Y78">INDEX(RETAIL!$F:$F,MATCH(1,(RETAIL!$B:$B=B78)*(RETAIL!$N:$N=M78),0))</f>
        <v>40/VSL/25001464</v>
      </c>
      <c r="Z78" s="221">
        <f>_xlfn.XLOOKUP(Y78,RETAIL!F:F,RETAIL!G:G)</f>
        <v>46098</v>
      </c>
      <c r="AA78" s="227" t="s">
        <v>559</v>
      </c>
      <c r="AB78" s="137" t="str">
        <f>_xlfn.XLOOKUP(D78,[2]MAR!$F:$F,[2]MAR!$H:$H)</f>
        <v>DISBURSED</v>
      </c>
    </row>
    <row r="79" hidden="1" customHeight="1" spans="1:28">
      <c r="A79" s="209">
        <v>78</v>
      </c>
      <c r="B79" s="214" t="s">
        <v>888</v>
      </c>
      <c r="C79" s="214">
        <v>2567314828</v>
      </c>
      <c r="D79" s="214" t="s">
        <v>1568</v>
      </c>
      <c r="E79" s="214" t="s">
        <v>1568</v>
      </c>
      <c r="F79" s="137" t="s">
        <v>1569</v>
      </c>
      <c r="G79" s="204" t="s">
        <v>434</v>
      </c>
      <c r="H79" s="137">
        <v>250000</v>
      </c>
      <c r="I79" s="137" t="s">
        <v>590</v>
      </c>
      <c r="J79" s="137" t="s">
        <v>31</v>
      </c>
      <c r="K79" s="203" t="s">
        <v>167</v>
      </c>
      <c r="L79" s="210" t="str">
        <f>VLOOKUP($K79,Emp!$A$2:$E$347,2,0)</f>
        <v>SIVAPRAKASH K S</v>
      </c>
      <c r="M79" s="210" t="str">
        <f>VLOOKUP($K79,Emp!$A$2:$E$347,3,0)</f>
        <v>THRISSUR</v>
      </c>
      <c r="N79" s="210" t="str">
        <f>VLOOKUP($K79,Emp!$A$2:$E$347,4,0)</f>
        <v>ARENA</v>
      </c>
      <c r="O79" s="206">
        <v>46099</v>
      </c>
      <c r="P79" s="206">
        <v>46100</v>
      </c>
      <c r="Q79" s="137">
        <v>7000</v>
      </c>
      <c r="R79" s="207">
        <f>Q79/H79</f>
        <v>0.028</v>
      </c>
      <c r="S79" s="206" t="s">
        <v>368</v>
      </c>
      <c r="T79" s="221" t="s">
        <v>10</v>
      </c>
      <c r="U79" s="210" t="str">
        <f>VLOOKUP($K79,Emp!$A$2:$E$347,5,0)</f>
        <v>SINTO</v>
      </c>
      <c r="V79" s="225"/>
      <c r="W79" s="225"/>
      <c r="X79" s="225"/>
      <c r="Y79" s="209" t="str">
        <f t="array" ref="Y79">INDEX(RETAIL!$F:$F,MATCH(1,(RETAIL!$B:$B=B79)*(RETAIL!$N:$N=M79),0))</f>
        <v>40/VSL/25001470</v>
      </c>
      <c r="Z79" s="221">
        <f>_xlfn.XLOOKUP(Y79,RETAIL!F:F,RETAIL!G:G)</f>
        <v>46099</v>
      </c>
      <c r="AA79" s="227" t="s">
        <v>1444</v>
      </c>
      <c r="AB79" s="137" t="str">
        <f>_xlfn.XLOOKUP(D79,[2]MAR!$F:$F,[2]MAR!$H:$H)</f>
        <v>DISBURSED</v>
      </c>
    </row>
    <row r="80" hidden="1" customHeight="1" spans="1:28">
      <c r="A80" s="209">
        <v>79</v>
      </c>
      <c r="B80" s="214" t="s">
        <v>917</v>
      </c>
      <c r="C80" s="214">
        <v>2567586386</v>
      </c>
      <c r="D80" s="137">
        <v>169274557</v>
      </c>
      <c r="E80" s="137">
        <v>169274557</v>
      </c>
      <c r="F80" s="137" t="s">
        <v>921</v>
      </c>
      <c r="G80" s="204" t="s">
        <v>504</v>
      </c>
      <c r="H80" s="137">
        <v>1251536</v>
      </c>
      <c r="I80" s="137" t="s">
        <v>507</v>
      </c>
      <c r="K80" s="203" t="s">
        <v>64</v>
      </c>
      <c r="L80" s="210" t="str">
        <f>VLOOKUP($K80,Emp!$A$2:$E$347,2,0)</f>
        <v>BHAGIESH</v>
      </c>
      <c r="M80" s="210" t="str">
        <f>VLOOKUP($K80,Emp!$A$2:$E$347,3,0)</f>
        <v>CHAVAKKAD</v>
      </c>
      <c r="N80" s="210" t="str">
        <f>VLOOKUP($K80,Emp!$A$2:$E$347,4,0)</f>
        <v>ARENA</v>
      </c>
      <c r="O80" s="206">
        <v>46099</v>
      </c>
      <c r="P80" s="206">
        <v>46100</v>
      </c>
      <c r="S80" s="206" t="s">
        <v>368</v>
      </c>
      <c r="T80" s="221" t="s">
        <v>10</v>
      </c>
      <c r="U80" s="210" t="str">
        <f>VLOOKUP($K80,Emp!$A$2:$E$347,5,0)</f>
        <v>SINTO</v>
      </c>
      <c r="V80" s="225"/>
      <c r="W80" s="225"/>
      <c r="X80" s="225"/>
      <c r="Y80" s="209" t="str">
        <f t="array" ref="Y80">INDEX(RETAIL!$F:$F,MATCH(1,(RETAIL!$B:$B=B80)*(RETAIL!$N:$N=M80),0))</f>
        <v>28/VSL/25000114</v>
      </c>
      <c r="Z80" s="221">
        <f>_xlfn.XLOOKUP(Y80,RETAIL!F:F,RETAIL!G:G)</f>
        <v>46100</v>
      </c>
      <c r="AA80" s="227" t="s">
        <v>559</v>
      </c>
      <c r="AB80" s="228" t="s">
        <v>368</v>
      </c>
    </row>
    <row r="81" hidden="1" customHeight="1" spans="1:28">
      <c r="A81" s="209">
        <v>80</v>
      </c>
      <c r="B81" s="214" t="s">
        <v>877</v>
      </c>
      <c r="C81" s="214">
        <v>2567583828</v>
      </c>
      <c r="D81" s="137" t="s">
        <v>1570</v>
      </c>
      <c r="E81" s="137" t="s">
        <v>1571</v>
      </c>
      <c r="F81" s="137" t="s">
        <v>882</v>
      </c>
      <c r="G81" s="204" t="s">
        <v>363</v>
      </c>
      <c r="H81" s="137">
        <v>273000</v>
      </c>
      <c r="I81" s="137" t="s">
        <v>411</v>
      </c>
      <c r="K81" s="203" t="s">
        <v>90</v>
      </c>
      <c r="L81" s="210" t="str">
        <f>VLOOKUP($K81,Emp!$A$2:$E$347,2,0)</f>
        <v>RATISH K R</v>
      </c>
      <c r="M81" s="210" t="str">
        <f>VLOOKUP($K81,Emp!$A$2:$E$347,3,0)</f>
        <v>KADAVANTHRA</v>
      </c>
      <c r="N81" s="210" t="str">
        <f>VLOOKUP($K81,Emp!$A$2:$E$347,4,0)</f>
        <v>ARENA</v>
      </c>
      <c r="O81" s="206">
        <v>46100</v>
      </c>
      <c r="P81" s="206">
        <v>46100</v>
      </c>
      <c r="S81" s="206" t="s">
        <v>368</v>
      </c>
      <c r="T81" s="221" t="s">
        <v>10</v>
      </c>
      <c r="U81" s="210" t="str">
        <f>VLOOKUP($K81,Emp!$A$2:$E$347,5,0)</f>
        <v>SALMAN</v>
      </c>
      <c r="V81" s="225"/>
      <c r="W81" s="225"/>
      <c r="X81" s="225"/>
      <c r="Y81" s="209" t="str">
        <f t="array" ref="Y81">INDEX(RETAIL!$F:$F,MATCH(1,(RETAIL!$B:$B=B81)*(RETAIL!$N:$N=M81),0))</f>
        <v>40/VSL/25001468</v>
      </c>
      <c r="Z81" s="221">
        <f>_xlfn.XLOOKUP(Y81,RETAIL!F:F,RETAIL!G:G)</f>
        <v>46099</v>
      </c>
      <c r="AA81" s="227" t="s">
        <v>559</v>
      </c>
      <c r="AB81" s="137" t="str">
        <f>_xlfn.XLOOKUP(D81,[2]MAR!$F:$F,[2]MAR!$H:$H)</f>
        <v>DISBURSED</v>
      </c>
    </row>
    <row r="82" hidden="1" customHeight="1" spans="1:28">
      <c r="A82" s="209">
        <v>81</v>
      </c>
      <c r="B82" s="214" t="s">
        <v>1084</v>
      </c>
      <c r="C82" s="214">
        <v>2567762057</v>
      </c>
      <c r="D82" s="137" t="s">
        <v>1572</v>
      </c>
      <c r="E82" s="137" t="s">
        <v>1573</v>
      </c>
      <c r="F82" s="137" t="s">
        <v>1574</v>
      </c>
      <c r="G82" s="204" t="s">
        <v>353</v>
      </c>
      <c r="H82" s="137">
        <v>1200000</v>
      </c>
      <c r="I82" s="137" t="s">
        <v>612</v>
      </c>
      <c r="J82" s="137" t="s">
        <v>1575</v>
      </c>
      <c r="K82" s="203" t="s">
        <v>132</v>
      </c>
      <c r="L82" s="210" t="str">
        <f>VLOOKUP($K82,Emp!$A$2:$E$347,2,0)</f>
        <v>SANDEEP P</v>
      </c>
      <c r="M82" s="210" t="str">
        <f>VLOOKUP($K82,Emp!$A$2:$E$347,3,0)</f>
        <v>NEXA COCHIN</v>
      </c>
      <c r="N82" s="210" t="str">
        <f>VLOOKUP($K82,Emp!$A$2:$E$347,4,0)</f>
        <v>NEXA COCHIN</v>
      </c>
      <c r="O82" s="206">
        <v>46099</v>
      </c>
      <c r="P82" s="206">
        <v>46100</v>
      </c>
      <c r="S82" s="206" t="s">
        <v>368</v>
      </c>
      <c r="T82" s="221" t="s">
        <v>1430</v>
      </c>
      <c r="U82" s="210" t="str">
        <f>VLOOKUP($K82,Emp!$A$2:$E$347,5,0)</f>
        <v>WILSON</v>
      </c>
      <c r="V82" s="225"/>
      <c r="W82" s="225"/>
      <c r="X82" s="225"/>
      <c r="Y82" s="209" t="str">
        <f t="array" ref="Y82">INDEX(RETAIL!$F:$F,MATCH(1,(RETAIL!$B:$B=B82)*(RETAIL!$N:$N=M82),0))</f>
        <v>40/VSL/25001491</v>
      </c>
      <c r="Z82" s="221">
        <f>_xlfn.XLOOKUP(Y82,RETAIL!F:F,RETAIL!G:G)</f>
        <v>46105</v>
      </c>
      <c r="AA82" s="227"/>
      <c r="AB82" s="137" t="str">
        <f>_xlfn.XLOOKUP(D82,[2]MAR!$F:$F,[2]MAR!$H:$H)</f>
        <v>APPLIED</v>
      </c>
    </row>
    <row r="83" hidden="1" customHeight="1" spans="1:28">
      <c r="A83" s="209">
        <v>82</v>
      </c>
      <c r="B83" s="214" t="s">
        <v>906</v>
      </c>
      <c r="C83" s="214">
        <v>2567412820</v>
      </c>
      <c r="D83" s="137" t="s">
        <v>1463</v>
      </c>
      <c r="E83" s="137">
        <v>169138358</v>
      </c>
      <c r="F83" s="137" t="s">
        <v>911</v>
      </c>
      <c r="G83" s="213" t="s">
        <v>489</v>
      </c>
      <c r="H83" s="215">
        <v>358536</v>
      </c>
      <c r="I83" s="137" t="s">
        <v>507</v>
      </c>
      <c r="K83" s="203" t="s">
        <v>117</v>
      </c>
      <c r="L83" s="210" t="str">
        <f>VLOOKUP($K83,Emp!$A$2:$E$347,2,0)</f>
        <v>ARUN BABU</v>
      </c>
      <c r="M83" s="210" t="str">
        <f>VLOOKUP($K83,Emp!$A$2:$E$347,3,0)</f>
        <v>KOOTHATTUKULAM</v>
      </c>
      <c r="N83" s="210" t="str">
        <f>VLOOKUP($K83,Emp!$A$2:$E$347,4,0)</f>
        <v>ARENA</v>
      </c>
      <c r="O83" s="206">
        <v>46099</v>
      </c>
      <c r="P83" s="206">
        <v>46100</v>
      </c>
      <c r="Q83" s="137">
        <f>H83*R83</f>
        <v>3585.36</v>
      </c>
      <c r="R83" s="207">
        <v>0.01</v>
      </c>
      <c r="S83" s="206" t="s">
        <v>368</v>
      </c>
      <c r="T83" s="221" t="s">
        <v>356</v>
      </c>
      <c r="U83" s="210" t="str">
        <f>VLOOKUP($K83,Emp!$A$2:$E$347,5,0)</f>
        <v>AMAL</v>
      </c>
      <c r="V83" s="225"/>
      <c r="W83" s="225"/>
      <c r="X83" s="225"/>
      <c r="Y83" s="209" t="str">
        <f t="array" ref="Y83">INDEX(RETAIL!$F:$F,MATCH(1,(RETAIL!$B:$B=B83)*(RETAIL!$N:$N=M83),0))</f>
        <v>88/VSL/25000181</v>
      </c>
      <c r="Z83" s="221">
        <f>_xlfn.XLOOKUP(Y83,RETAIL!F:F,RETAIL!G:G)</f>
        <v>46099</v>
      </c>
      <c r="AA83" s="227"/>
      <c r="AB83" s="137" t="e">
        <f>_xlfn.XLOOKUP(D83,[2]MAR!$F:$F,[2]MAR!$H:$H)</f>
        <v>#N/A</v>
      </c>
    </row>
    <row r="84" hidden="1" customHeight="1" spans="1:28">
      <c r="A84" s="209">
        <v>83</v>
      </c>
      <c r="B84" s="214" t="s">
        <v>953</v>
      </c>
      <c r="C84" s="214">
        <v>2567700889</v>
      </c>
      <c r="D84" s="137" t="s">
        <v>1576</v>
      </c>
      <c r="E84" s="137" t="s">
        <v>1577</v>
      </c>
      <c r="F84" s="137" t="s">
        <v>957</v>
      </c>
      <c r="G84" s="204" t="s">
        <v>353</v>
      </c>
      <c r="H84" s="215">
        <v>644100</v>
      </c>
      <c r="I84" s="137" t="s">
        <v>633</v>
      </c>
      <c r="J84" s="137" t="s">
        <v>11</v>
      </c>
      <c r="K84" s="203" t="s">
        <v>73</v>
      </c>
      <c r="L84" s="210" t="str">
        <f>VLOOKUP($K84,Emp!$A$2:$E$347,2,0)</f>
        <v>NOUFAL T A</v>
      </c>
      <c r="M84" s="210" t="str">
        <f>VLOOKUP($K84,Emp!$A$2:$E$347,3,0)</f>
        <v>EDAPPALLY</v>
      </c>
      <c r="N84" s="210" t="str">
        <f>VLOOKUP($K84,Emp!$A$2:$E$347,4,0)</f>
        <v>ARENA</v>
      </c>
      <c r="O84" s="206">
        <v>46100</v>
      </c>
      <c r="P84" s="206">
        <v>46100</v>
      </c>
      <c r="S84" s="206" t="s">
        <v>368</v>
      </c>
      <c r="T84" s="221" t="s">
        <v>10</v>
      </c>
      <c r="U84" s="210" t="str">
        <f>VLOOKUP($K84,Emp!$A$2:$E$347,5,0)</f>
        <v>SIVAPRASAD</v>
      </c>
      <c r="V84" s="225"/>
      <c r="W84" s="225"/>
      <c r="X84" s="225"/>
      <c r="Y84" s="209" t="str">
        <f t="array" ref="Y84">INDEX(RETAIL!$F:$F,MATCH(1,(RETAIL!$B:$B=B84)*(RETAIL!$N:$N=M84),0))</f>
        <v>40/VSL/25001478</v>
      </c>
      <c r="Z84" s="221">
        <f>_xlfn.XLOOKUP(Y84,RETAIL!F:F,RETAIL!G:G)</f>
        <v>46100</v>
      </c>
      <c r="AA84" s="227" t="s">
        <v>559</v>
      </c>
      <c r="AB84" s="137" t="str">
        <f>_xlfn.XLOOKUP(D84,[2]MAR!$F:$F,[2]MAR!$H:$H)</f>
        <v>DISBURSED</v>
      </c>
    </row>
    <row r="85" hidden="1" customHeight="1" spans="1:28">
      <c r="A85" s="209">
        <v>84</v>
      </c>
      <c r="B85" s="214" t="s">
        <v>1006</v>
      </c>
      <c r="C85" s="214">
        <v>2567550025</v>
      </c>
      <c r="D85" s="137" t="s">
        <v>1578</v>
      </c>
      <c r="E85" s="137" t="s">
        <v>1579</v>
      </c>
      <c r="F85" s="137" t="s">
        <v>1580</v>
      </c>
      <c r="G85" s="204" t="s">
        <v>363</v>
      </c>
      <c r="H85" s="137">
        <v>540000</v>
      </c>
      <c r="I85" s="137" t="s">
        <v>366</v>
      </c>
      <c r="J85" s="137" t="s">
        <v>1481</v>
      </c>
      <c r="K85" s="203" t="s">
        <v>68</v>
      </c>
      <c r="L85" s="210" t="str">
        <f>VLOOKUP($K85,Emp!$A$2:$E$347,2,0)</f>
        <v>MANU SASI</v>
      </c>
      <c r="M85" s="210" t="str">
        <f>VLOOKUP($K85,Emp!$A$2:$E$347,3,0)</f>
        <v>EDAPPALLY</v>
      </c>
      <c r="N85" s="210" t="str">
        <f>VLOOKUP($K85,Emp!$A$2:$E$347,4,0)</f>
        <v>ARENA</v>
      </c>
      <c r="O85" s="206">
        <v>46100</v>
      </c>
      <c r="P85" s="206">
        <v>46102</v>
      </c>
      <c r="Q85" s="137">
        <f>H85*R85</f>
        <v>7020</v>
      </c>
      <c r="R85" s="207">
        <v>0.013</v>
      </c>
      <c r="S85" s="206" t="s">
        <v>368</v>
      </c>
      <c r="T85" s="221" t="s">
        <v>1430</v>
      </c>
      <c r="U85" s="210" t="str">
        <f>VLOOKUP($K85,Emp!$A$2:$E$347,5,0)</f>
        <v>SIVAPRASAD</v>
      </c>
      <c r="V85" s="225"/>
      <c r="W85" s="225"/>
      <c r="X85" s="225"/>
      <c r="Y85" s="209" t="str">
        <f t="array" ref="Y85">INDEX(RETAIL!$F:$F,MATCH(1,(RETAIL!$B:$B=B85)*(RETAIL!$N:$N=M85),0))</f>
        <v>40/VSL/25001483</v>
      </c>
      <c r="Z85" s="221">
        <f>_xlfn.XLOOKUP(Y85,RETAIL!F:F,RETAIL!G:G)</f>
        <v>46102</v>
      </c>
      <c r="AA85" s="227"/>
      <c r="AB85" s="137" t="e">
        <f>_xlfn.XLOOKUP(D85,[2]MAR!$F:$F,[2]MAR!$H:$H)</f>
        <v>#N/A</v>
      </c>
    </row>
    <row r="86" hidden="1" customHeight="1" spans="1:28">
      <c r="A86" s="209">
        <v>85</v>
      </c>
      <c r="B86" s="214" t="s">
        <v>1150</v>
      </c>
      <c r="C86" s="214">
        <v>2566692451</v>
      </c>
      <c r="D86" s="137">
        <v>19616283</v>
      </c>
      <c r="E86" s="137">
        <v>17900609</v>
      </c>
      <c r="F86" s="137" t="s">
        <v>1581</v>
      </c>
      <c r="G86" s="204" t="s">
        <v>363</v>
      </c>
      <c r="H86" s="137">
        <v>424000</v>
      </c>
      <c r="I86" s="137" t="s">
        <v>457</v>
      </c>
      <c r="K86" s="203" t="s">
        <v>87</v>
      </c>
      <c r="L86" s="210" t="str">
        <f>VLOOKUP($K86,Emp!$A$2:$E$347,2,0)</f>
        <v>RATISH K R</v>
      </c>
      <c r="M86" s="210" t="str">
        <f>VLOOKUP($K86,Emp!$A$2:$E$347,3,0)</f>
        <v>KADAVANTHRA</v>
      </c>
      <c r="N86" s="210" t="str">
        <f>VLOOKUP($K86,Emp!$A$2:$E$347,4,0)</f>
        <v>ARENA</v>
      </c>
      <c r="O86" s="206">
        <v>46100</v>
      </c>
      <c r="P86" s="206">
        <v>46102</v>
      </c>
      <c r="Q86" s="137">
        <v>8480</v>
      </c>
      <c r="R86" s="207">
        <f>Q86/H86</f>
        <v>0.02</v>
      </c>
      <c r="S86" s="206" t="s">
        <v>368</v>
      </c>
      <c r="T86" s="221" t="s">
        <v>10</v>
      </c>
      <c r="U86" s="210" t="str">
        <f>VLOOKUP($K86,Emp!$A$2:$E$347,5,0)</f>
        <v>SALMAN</v>
      </c>
      <c r="V86" s="225"/>
      <c r="W86" s="225"/>
      <c r="X86" s="225"/>
      <c r="Y86" s="209" t="str">
        <f t="array" ref="Y86">INDEX(RETAIL!$F:$F,MATCH(1,(RETAIL!$B:$B=B86)*(RETAIL!$N:$N=M86),0))</f>
        <v>40/VSL/25001498</v>
      </c>
      <c r="Z86" s="221">
        <f>_xlfn.XLOOKUP(Y86,RETAIL!F:F,RETAIL!G:G)</f>
        <v>46106</v>
      </c>
      <c r="AA86" s="227" t="s">
        <v>559</v>
      </c>
      <c r="AB86" s="137" t="str">
        <f>_xlfn.XLOOKUP(D86,[2]MAR!$F:$F,[2]MAR!$H:$H)</f>
        <v>DISBURSED</v>
      </c>
    </row>
    <row r="87" hidden="1" customHeight="1" spans="1:28">
      <c r="A87" s="209">
        <v>86</v>
      </c>
      <c r="B87" s="214" t="s">
        <v>964</v>
      </c>
      <c r="C87" s="214">
        <v>2567545752</v>
      </c>
      <c r="D87" s="415" t="s">
        <v>1582</v>
      </c>
      <c r="E87" s="137" t="s">
        <v>1583</v>
      </c>
      <c r="F87" s="137" t="s">
        <v>968</v>
      </c>
      <c r="G87" s="204" t="s">
        <v>363</v>
      </c>
      <c r="H87" s="137">
        <v>547351</v>
      </c>
      <c r="I87" s="137" t="s">
        <v>553</v>
      </c>
      <c r="K87" s="203" t="s">
        <v>98</v>
      </c>
      <c r="L87" s="210" t="str">
        <f>VLOOKUP($K87,Emp!$A$2:$E$347,2,0)</f>
        <v>BINOY RAJ</v>
      </c>
      <c r="M87" s="210" t="str">
        <f>VLOOKUP($K87,Emp!$A$2:$E$347,3,0)</f>
        <v>KODUNGALLUR</v>
      </c>
      <c r="N87" s="210" t="str">
        <f>VLOOKUP($K87,Emp!$A$2:$E$347,4,0)</f>
        <v>ARENA</v>
      </c>
      <c r="O87" s="206">
        <v>46102</v>
      </c>
      <c r="P87" s="206">
        <v>46102</v>
      </c>
      <c r="S87" s="206" t="s">
        <v>368</v>
      </c>
      <c r="T87" s="221" t="s">
        <v>1430</v>
      </c>
      <c r="U87" s="210" t="str">
        <f>VLOOKUP($K87,Emp!$A$2:$E$347,5,0)</f>
        <v>JINEESH</v>
      </c>
      <c r="V87" s="225"/>
      <c r="W87" s="225"/>
      <c r="X87" s="225"/>
      <c r="Y87" s="209" t="str">
        <f t="array" ref="Y87">INDEX(RETAIL!$F:$F,MATCH(1,(RETAIL!$B:$B=B87)*(RETAIL!$N:$N=M87),0))</f>
        <v>72/VSL/25000156</v>
      </c>
      <c r="Z87" s="221">
        <f>_xlfn.XLOOKUP(Y87,RETAIL!F:F,RETAIL!G:G)</f>
        <v>46100</v>
      </c>
      <c r="AA87" s="227"/>
      <c r="AB87" s="137" t="e">
        <f>_xlfn.XLOOKUP(D87,[2]MAR!$F:$F,[2]MAR!$H:$H)</f>
        <v>#N/A</v>
      </c>
    </row>
    <row r="88" hidden="1" customHeight="1" spans="1:28">
      <c r="A88" s="209">
        <v>87</v>
      </c>
      <c r="B88" s="214" t="s">
        <v>928</v>
      </c>
      <c r="C88" s="214">
        <v>2567692920</v>
      </c>
      <c r="D88" s="137" t="s">
        <v>1463</v>
      </c>
      <c r="E88" s="137" t="s">
        <v>1584</v>
      </c>
      <c r="F88" s="137" t="s">
        <v>933</v>
      </c>
      <c r="G88" s="213" t="s">
        <v>489</v>
      </c>
      <c r="H88" s="137">
        <v>449410</v>
      </c>
      <c r="I88" s="137" t="s">
        <v>633</v>
      </c>
      <c r="J88" s="137" t="s">
        <v>27</v>
      </c>
      <c r="K88" s="203" t="s">
        <v>112</v>
      </c>
      <c r="L88" s="210" t="str">
        <f>VLOOKUP($K88,Emp!$A$2:$E$347,2,0)</f>
        <v>ANAND K V</v>
      </c>
      <c r="M88" s="210" t="str">
        <f>VLOOKUP($K88,Emp!$A$2:$E$347,3,0)</f>
        <v>KOLENCHERY</v>
      </c>
      <c r="N88" s="210" t="str">
        <f>VLOOKUP($K88,Emp!$A$2:$E$347,4,0)</f>
        <v>ARENA</v>
      </c>
      <c r="O88" s="206">
        <v>46100</v>
      </c>
      <c r="P88" s="206">
        <v>46102</v>
      </c>
      <c r="S88" s="206" t="s">
        <v>368</v>
      </c>
      <c r="T88" s="221" t="s">
        <v>356</v>
      </c>
      <c r="U88" s="210" t="str">
        <f>VLOOKUP($K88,Emp!$A$2:$E$347,5,0)</f>
        <v>AMAL</v>
      </c>
      <c r="V88" s="225"/>
      <c r="W88" s="225"/>
      <c r="X88" s="225"/>
      <c r="Y88" s="209" t="str">
        <f t="array" ref="Y88">INDEX(RETAIL!$F:$F,MATCH(1,(RETAIL!$B:$B=B88)*(RETAIL!$N:$N=M88),0))</f>
        <v>40/VSL/25001474</v>
      </c>
      <c r="Z88" s="221">
        <f>_xlfn.XLOOKUP(Y88,RETAIL!F:F,RETAIL!G:G)</f>
        <v>46100</v>
      </c>
      <c r="AA88" s="227"/>
      <c r="AB88" s="137" t="e">
        <f>_xlfn.XLOOKUP(D88,[2]MAR!$F:$F,[2]MAR!$H:$H)</f>
        <v>#N/A</v>
      </c>
    </row>
    <row r="89" hidden="1" customHeight="1" spans="1:28">
      <c r="A89" s="209">
        <v>88</v>
      </c>
      <c r="B89" s="214" t="s">
        <v>976</v>
      </c>
      <c r="C89" s="214">
        <v>2567417374</v>
      </c>
      <c r="D89" s="137" t="s">
        <v>1463</v>
      </c>
      <c r="E89" s="137" t="s">
        <v>1585</v>
      </c>
      <c r="F89" s="137" t="s">
        <v>979</v>
      </c>
      <c r="G89" s="204" t="s">
        <v>434</v>
      </c>
      <c r="H89" s="137">
        <v>301700</v>
      </c>
      <c r="I89" s="137" t="s">
        <v>648</v>
      </c>
      <c r="K89" s="203" t="s">
        <v>119</v>
      </c>
      <c r="L89" s="210" t="str">
        <f>VLOOKUP($K89,Emp!$A$2:$E$347,2,0)</f>
        <v>ARUN BABU</v>
      </c>
      <c r="M89" s="210" t="str">
        <f>VLOOKUP($K89,Emp!$A$2:$E$347,3,0)</f>
        <v>KOOTHATTUKULAM</v>
      </c>
      <c r="N89" s="210" t="str">
        <f>VLOOKUP($K89,Emp!$A$2:$E$347,4,0)</f>
        <v>ARENA</v>
      </c>
      <c r="O89" s="206">
        <v>46100</v>
      </c>
      <c r="P89" s="206">
        <v>46102</v>
      </c>
      <c r="Q89" s="137">
        <f t="shared" ref="Q89:Q95" si="0">H89*R89</f>
        <v>7542.5</v>
      </c>
      <c r="R89" s="207">
        <v>0.025</v>
      </c>
      <c r="S89" s="206" t="s">
        <v>368</v>
      </c>
      <c r="T89" s="221" t="s">
        <v>356</v>
      </c>
      <c r="U89" s="210" t="str">
        <f>VLOOKUP($K89,Emp!$A$2:$E$347,5,0)</f>
        <v>AMAL</v>
      </c>
      <c r="V89" s="225"/>
      <c r="W89" s="225"/>
      <c r="X89" s="225"/>
      <c r="Y89" s="209" t="str">
        <f t="array" ref="Y89">INDEX(RETAIL!$F:$F,MATCH(1,(RETAIL!$B:$B=B89)*(RETAIL!$N:$N=M89),0))</f>
        <v>88/VSL/25000182</v>
      </c>
      <c r="Z89" s="221">
        <f>_xlfn.XLOOKUP(Y89,RETAIL!F:F,RETAIL!G:G)</f>
        <v>46100</v>
      </c>
      <c r="AA89" s="227"/>
      <c r="AB89" s="137" t="e">
        <f>_xlfn.XLOOKUP(D89,[2]MAR!$F:$F,[2]MAR!$H:$H)</f>
        <v>#N/A</v>
      </c>
    </row>
    <row r="90" hidden="1" customHeight="1" spans="1:28">
      <c r="A90" s="209">
        <v>89</v>
      </c>
      <c r="B90" s="214" t="s">
        <v>1035</v>
      </c>
      <c r="C90" s="214">
        <v>2567728060</v>
      </c>
      <c r="D90" s="137">
        <v>19647051</v>
      </c>
      <c r="E90" s="137">
        <v>17949016</v>
      </c>
      <c r="F90" s="137" t="s">
        <v>1040</v>
      </c>
      <c r="G90" s="204" t="s">
        <v>489</v>
      </c>
      <c r="H90" s="137">
        <v>552000</v>
      </c>
      <c r="I90" s="137" t="s">
        <v>457</v>
      </c>
      <c r="K90" s="203" t="s">
        <v>250</v>
      </c>
      <c r="L90" s="210" t="str">
        <f>VLOOKUP($K90,Emp!$A$2:$E$347,2,0)</f>
        <v>SIVAPRAKASH K S</v>
      </c>
      <c r="M90" s="210" t="str">
        <f>VLOOKUP($K90,Emp!$A$2:$E$347,3,0)</f>
        <v>THRISSUR</v>
      </c>
      <c r="N90" s="210" t="str">
        <f>VLOOKUP($K90,Emp!$A$2:$E$347,4,0)</f>
        <v>ARENA</v>
      </c>
      <c r="O90" s="206">
        <v>46100</v>
      </c>
      <c r="P90" s="206">
        <v>46102</v>
      </c>
      <c r="S90" s="206" t="s">
        <v>368</v>
      </c>
      <c r="T90" s="221" t="s">
        <v>10</v>
      </c>
      <c r="U90" s="210" t="str">
        <f>VLOOKUP($K90,Emp!$A$2:$E$347,5,0)</f>
        <v>SINTO</v>
      </c>
      <c r="V90" s="225"/>
      <c r="W90" s="225"/>
      <c r="X90" s="225"/>
      <c r="Y90" s="209" t="str">
        <f t="array" ref="Y90">INDEX(RETAIL!$F:$F,MATCH(1,(RETAIL!$B:$B=B90)*(RETAIL!$N:$N=M90),0))</f>
        <v>40/VSL/25001487</v>
      </c>
      <c r="Z90" s="221">
        <f>_xlfn.XLOOKUP(Y90,RETAIL!F:F,RETAIL!G:G)</f>
        <v>46104</v>
      </c>
      <c r="AA90" s="227" t="s">
        <v>559</v>
      </c>
      <c r="AB90" s="137" t="str">
        <f>_xlfn.XLOOKUP(D90,[2]MAR!$F:$F,[2]MAR!$H:$H)</f>
        <v>DISBURSED</v>
      </c>
    </row>
    <row r="91" hidden="1" customHeight="1" spans="1:28">
      <c r="A91" s="209">
        <v>90</v>
      </c>
      <c r="B91" s="214" t="s">
        <v>1227</v>
      </c>
      <c r="C91" s="214">
        <v>2567463171</v>
      </c>
      <c r="D91" s="137">
        <v>48132975</v>
      </c>
      <c r="E91" s="137">
        <v>45024767262</v>
      </c>
      <c r="F91" s="137" t="s">
        <v>1230</v>
      </c>
      <c r="G91" s="204" t="s">
        <v>434</v>
      </c>
      <c r="H91" s="137">
        <v>325000</v>
      </c>
      <c r="I91" s="137" t="s">
        <v>386</v>
      </c>
      <c r="J91" s="137" t="s">
        <v>1586</v>
      </c>
      <c r="K91" s="203" t="s">
        <v>103</v>
      </c>
      <c r="L91" s="210" t="str">
        <f>VLOOKUP($K91,Emp!$A$2:$E$347,2,0)</f>
        <v>BINOY RAJ</v>
      </c>
      <c r="M91" s="210" t="str">
        <f>VLOOKUP($K91,Emp!$A$2:$E$347,3,0)</f>
        <v>KODUNGALLUR</v>
      </c>
      <c r="N91" s="210" t="str">
        <f>VLOOKUP($K91,Emp!$A$2:$E$347,4,0)</f>
        <v>ARENA</v>
      </c>
      <c r="O91" s="206">
        <v>46100</v>
      </c>
      <c r="P91" s="206">
        <v>46104</v>
      </c>
      <c r="Q91" s="137">
        <f t="shared" si="0"/>
        <v>6500</v>
      </c>
      <c r="R91" s="207">
        <v>0.02</v>
      </c>
      <c r="S91" s="206" t="s">
        <v>368</v>
      </c>
      <c r="T91" s="221" t="s">
        <v>10</v>
      </c>
      <c r="U91" s="210" t="str">
        <f>VLOOKUP($K91,Emp!$A$2:$E$347,5,0)</f>
        <v>JINEESH</v>
      </c>
      <c r="V91" s="225"/>
      <c r="W91" s="225"/>
      <c r="X91" s="225"/>
      <c r="Y91" s="209" t="str">
        <f t="array" ref="Y91">INDEX(RETAIL!$F:$F,MATCH(1,(RETAIL!$B:$B=B91)*(RETAIL!$N:$N=M91),0))</f>
        <v>72/VSL/25000158</v>
      </c>
      <c r="Z91" s="221">
        <f>_xlfn.XLOOKUP(Y91,RETAIL!F:F,RETAIL!G:G)</f>
        <v>46107</v>
      </c>
      <c r="AA91" s="227" t="s">
        <v>559</v>
      </c>
      <c r="AB91" s="137" t="str">
        <f>_xlfn.XLOOKUP(D91,[2]MAR!$F:$F,[2]MAR!$H:$H)</f>
        <v>DISBURSED</v>
      </c>
    </row>
    <row r="92" hidden="1" customHeight="1" spans="1:28">
      <c r="A92" s="209">
        <v>91</v>
      </c>
      <c r="B92" s="214" t="s">
        <v>1030</v>
      </c>
      <c r="C92" s="214">
        <v>2567330979</v>
      </c>
      <c r="D92" s="137">
        <v>169108695</v>
      </c>
      <c r="E92" s="137">
        <v>169108695</v>
      </c>
      <c r="F92" s="214" t="s">
        <v>1587</v>
      </c>
      <c r="G92" s="204" t="s">
        <v>532</v>
      </c>
      <c r="H92" s="137">
        <v>578536</v>
      </c>
      <c r="I92" s="137" t="s">
        <v>507</v>
      </c>
      <c r="K92" s="203" t="s">
        <v>136</v>
      </c>
      <c r="L92" s="210" t="str">
        <f>VLOOKUP($K92,Emp!$A$2:$E$347,2,0)</f>
        <v>GEORGE KUTTAN JOY</v>
      </c>
      <c r="M92" s="210" t="str">
        <f>VLOOKUP($K92,Emp!$A$2:$E$347,3,0)</f>
        <v>NEXA COCHIN</v>
      </c>
      <c r="N92" s="210" t="str">
        <f>VLOOKUP($K92,Emp!$A$2:$E$347,4,0)</f>
        <v>NEXA COCHIN</v>
      </c>
      <c r="O92" s="206">
        <v>46100</v>
      </c>
      <c r="P92" s="206">
        <v>46104</v>
      </c>
      <c r="S92" s="206" t="s">
        <v>368</v>
      </c>
      <c r="T92" s="221" t="s">
        <v>10</v>
      </c>
      <c r="U92" s="210" t="str">
        <f>VLOOKUP($K92,Emp!$A$2:$E$347,5,0)</f>
        <v>WILSON</v>
      </c>
      <c r="V92" s="225"/>
      <c r="W92" s="225"/>
      <c r="X92" s="225"/>
      <c r="Y92" s="209" t="str">
        <f t="array" ref="Y92">INDEX(RETAIL!$F:$F,MATCH(1,(RETAIL!$B:$B=B92)*(RETAIL!$N:$N=M92),0))</f>
        <v>40/VSL/25001486</v>
      </c>
      <c r="Z92" s="221">
        <f>_xlfn.XLOOKUP(Y92,RETAIL!F:F,RETAIL!G:G)</f>
        <v>46104</v>
      </c>
      <c r="AA92" s="227" t="s">
        <v>1444</v>
      </c>
      <c r="AB92" s="137" t="str">
        <f>_xlfn.XLOOKUP(D92,[2]MAR!$F:$F,[2]MAR!$H:$H)</f>
        <v>DISBURSED</v>
      </c>
    </row>
    <row r="93" hidden="1" customHeight="1" spans="1:28">
      <c r="A93" s="209">
        <v>92</v>
      </c>
      <c r="B93" s="218" t="s">
        <v>1379</v>
      </c>
      <c r="C93" s="218">
        <v>2567845023</v>
      </c>
      <c r="D93" s="137" t="s">
        <v>1588</v>
      </c>
      <c r="E93" s="137" t="s">
        <v>1589</v>
      </c>
      <c r="F93" s="137" t="s">
        <v>1383</v>
      </c>
      <c r="G93" s="204" t="s">
        <v>363</v>
      </c>
      <c r="H93" s="137">
        <v>548186</v>
      </c>
      <c r="I93" s="137" t="s">
        <v>366</v>
      </c>
      <c r="J93" s="137" t="s">
        <v>1590</v>
      </c>
      <c r="K93" s="203" t="s">
        <v>176</v>
      </c>
      <c r="L93" s="210" t="str">
        <f>VLOOKUP($K93,Emp!$A$2:$E$347,2,0)</f>
        <v>PRANOOB V NAIR</v>
      </c>
      <c r="M93" s="210" t="str">
        <f>VLOOKUP($K93,Emp!$A$2:$E$347,3,0)</f>
        <v>TRIPPUNITHURA</v>
      </c>
      <c r="N93" s="210" t="str">
        <f>VLOOKUP($K93,Emp!$A$2:$E$347,4,0)</f>
        <v>ARENA</v>
      </c>
      <c r="O93" s="206">
        <v>46104</v>
      </c>
      <c r="P93" s="206">
        <v>46108</v>
      </c>
      <c r="Q93" s="137">
        <f t="shared" si="0"/>
        <v>7126.418</v>
      </c>
      <c r="R93" s="207">
        <v>0.013</v>
      </c>
      <c r="S93" s="206" t="s">
        <v>368</v>
      </c>
      <c r="T93" s="221" t="s">
        <v>1430</v>
      </c>
      <c r="U93" s="210" t="str">
        <f>VLOOKUP($K93,Emp!$A$2:$E$347,5,0)</f>
        <v>SIVAPRASAD</v>
      </c>
      <c r="V93" s="225"/>
      <c r="W93" s="225"/>
      <c r="X93" s="225"/>
      <c r="Y93" s="209" t="str">
        <f t="array" ref="Y93">INDEX(RETAIL!$F:$F,MATCH(1,(RETAIL!$B:$B=B93)*(RETAIL!$N:$N=M93),0))</f>
        <v>40/VSL/25001528</v>
      </c>
      <c r="Z93" s="221">
        <f>_xlfn.XLOOKUP(Y93,RETAIL!F:F,RETAIL!G:G)</f>
        <v>46109</v>
      </c>
      <c r="AA93" s="227"/>
      <c r="AB93" s="137" t="str">
        <f>_xlfn.XLOOKUP(D93,[2]MAR!$F:$F,[2]MAR!$H:$H)</f>
        <v>APPLIED</v>
      </c>
    </row>
    <row r="94" hidden="1" customHeight="1" spans="1:28">
      <c r="A94" s="209">
        <v>93</v>
      </c>
      <c r="D94" s="137" t="s">
        <v>1591</v>
      </c>
      <c r="E94" s="137" t="s">
        <v>1592</v>
      </c>
      <c r="F94" s="137" t="s">
        <v>1593</v>
      </c>
      <c r="G94" s="204" t="s">
        <v>619</v>
      </c>
      <c r="H94" s="56">
        <v>1000000</v>
      </c>
      <c r="I94" s="137" t="s">
        <v>366</v>
      </c>
      <c r="J94" s="137" t="s">
        <v>1453</v>
      </c>
      <c r="K94" s="203" t="s">
        <v>252</v>
      </c>
      <c r="L94" s="210" t="str">
        <f>VLOOKUP($K94,Emp!$A$2:$E$347,2,0)</f>
        <v>SHEMEER A K</v>
      </c>
      <c r="M94" s="210" t="str">
        <f>VLOOKUP($K94,Emp!$A$2:$E$347,3,0)</f>
        <v>EDAPPALLY</v>
      </c>
      <c r="N94" s="210" t="str">
        <f>VLOOKUP($K94,Emp!$A$2:$E$347,4,0)</f>
        <v>ARENA</v>
      </c>
      <c r="O94" s="206">
        <v>46104</v>
      </c>
      <c r="P94" s="206">
        <v>46109</v>
      </c>
      <c r="Q94" s="137">
        <f t="shared" si="0"/>
        <v>13000</v>
      </c>
      <c r="R94" s="207">
        <v>0.013</v>
      </c>
      <c r="S94" s="206" t="s">
        <v>368</v>
      </c>
      <c r="T94" s="221" t="s">
        <v>1430</v>
      </c>
      <c r="U94" s="210" t="str">
        <f>VLOOKUP($K94,Emp!$A$2:$E$347,5,0)</f>
        <v>SIVAPRASAD</v>
      </c>
      <c r="V94" s="225"/>
      <c r="W94" s="225"/>
      <c r="X94" s="225"/>
      <c r="Y94" s="209" t="e">
        <f t="array" ref="Y94">INDEX(RETAIL!$F:$F,MATCH(1,(RETAIL!$B:$B=B94)*(RETAIL!$N:$N=M94),0))</f>
        <v>#N/A</v>
      </c>
      <c r="Z94" s="221" t="e">
        <f>_xlfn.XLOOKUP(Y94,RETAIL!F:F,RETAIL!G:G)</f>
        <v>#N/A</v>
      </c>
      <c r="AA94" s="227"/>
      <c r="AB94" s="137" t="str">
        <f>_xlfn.XLOOKUP(D94,[2]MAR!$F:$F,[2]MAR!$H:$H)</f>
        <v>APPLIED</v>
      </c>
    </row>
    <row r="95" hidden="1" customHeight="1" spans="1:28">
      <c r="A95" s="209">
        <v>94</v>
      </c>
      <c r="D95" s="137" t="s">
        <v>1594</v>
      </c>
      <c r="E95" s="137" t="s">
        <v>1595</v>
      </c>
      <c r="F95" s="137" t="s">
        <v>1596</v>
      </c>
      <c r="G95" s="204" t="s">
        <v>532</v>
      </c>
      <c r="H95" s="215">
        <v>537674</v>
      </c>
      <c r="I95" s="137" t="s">
        <v>1018</v>
      </c>
      <c r="J95" s="137" t="s">
        <v>1597</v>
      </c>
      <c r="K95" s="203" t="s">
        <v>176</v>
      </c>
      <c r="L95" s="210" t="str">
        <f>VLOOKUP($K95,Emp!$A$2:$E$347,2,0)</f>
        <v>PRANOOB V NAIR</v>
      </c>
      <c r="M95" s="210" t="str">
        <f>VLOOKUP($K95,Emp!$A$2:$E$347,3,0)</f>
        <v>TRIPPUNITHURA</v>
      </c>
      <c r="N95" s="210" t="str">
        <f>VLOOKUP($K95,Emp!$A$2:$E$347,4,0)</f>
        <v>ARENA</v>
      </c>
      <c r="O95" s="206">
        <v>46104</v>
      </c>
      <c r="P95" s="206">
        <v>46108</v>
      </c>
      <c r="Q95" s="137">
        <f t="shared" si="0"/>
        <v>6989.762</v>
      </c>
      <c r="R95" s="207">
        <v>0.013</v>
      </c>
      <c r="S95" s="206" t="s">
        <v>368</v>
      </c>
      <c r="T95" s="221" t="s">
        <v>1430</v>
      </c>
      <c r="U95" s="210" t="str">
        <f>VLOOKUP($K95,Emp!$A$2:$E$347,5,0)</f>
        <v>SIVAPRASAD</v>
      </c>
      <c r="V95" s="225"/>
      <c r="W95" s="225"/>
      <c r="X95" s="225"/>
      <c r="Y95" s="209" t="e">
        <f t="array" ref="Y95">INDEX(RETAIL!$F:$F,MATCH(1,(RETAIL!$B:$B=B95)*(RETAIL!$N:$N=M95),0))</f>
        <v>#N/A</v>
      </c>
      <c r="Z95" s="221" t="e">
        <f>_xlfn.XLOOKUP(Y95,RETAIL!F:F,RETAIL!G:G)</f>
        <v>#N/A</v>
      </c>
      <c r="AA95" s="227"/>
      <c r="AB95" s="137" t="str">
        <f>_xlfn.XLOOKUP(D95,[2]MAR!$F:$F,[2]MAR!$H:$H)</f>
        <v>APPLIED</v>
      </c>
    </row>
    <row r="96" hidden="1" customHeight="1" spans="1:28">
      <c r="A96" s="209">
        <v>95</v>
      </c>
      <c r="B96" s="214" t="s">
        <v>1046</v>
      </c>
      <c r="C96" s="214">
        <v>2567470471</v>
      </c>
      <c r="D96" s="137" t="s">
        <v>1598</v>
      </c>
      <c r="E96" s="137" t="s">
        <v>1599</v>
      </c>
      <c r="F96" s="137" t="s">
        <v>1049</v>
      </c>
      <c r="G96" s="204" t="s">
        <v>683</v>
      </c>
      <c r="H96" s="137">
        <v>450000</v>
      </c>
      <c r="I96" s="137" t="s">
        <v>612</v>
      </c>
      <c r="J96" s="137" t="s">
        <v>1600</v>
      </c>
      <c r="K96" s="203" t="s">
        <v>68</v>
      </c>
      <c r="L96" s="210" t="str">
        <f>VLOOKUP($K96,Emp!$A$2:$E$347,2,0)</f>
        <v>MANU SASI</v>
      </c>
      <c r="M96" s="210" t="str">
        <f>VLOOKUP($K96,Emp!$A$2:$E$347,3,0)</f>
        <v>EDAPPALLY</v>
      </c>
      <c r="N96" s="210" t="str">
        <f>VLOOKUP($K96,Emp!$A$2:$E$347,4,0)</f>
        <v>ARENA</v>
      </c>
      <c r="O96" s="206">
        <v>46100</v>
      </c>
      <c r="P96" s="206">
        <v>46104</v>
      </c>
      <c r="S96" s="206" t="s">
        <v>368</v>
      </c>
      <c r="T96" s="221" t="s">
        <v>10</v>
      </c>
      <c r="U96" s="210" t="str">
        <f>VLOOKUP($K96,Emp!$A$2:$E$347,5,0)</f>
        <v>SIVAPRASAD</v>
      </c>
      <c r="V96" s="225"/>
      <c r="W96" s="225"/>
      <c r="X96" s="225"/>
      <c r="Y96" s="209" t="str">
        <f t="array" ref="Y96">INDEX(RETAIL!$F:$F,MATCH(1,(RETAIL!$B:$B=B96)*(RETAIL!$N:$N=M96),0))</f>
        <v>40/VSL/25001489</v>
      </c>
      <c r="Z96" s="221">
        <f>_xlfn.XLOOKUP(Y96,RETAIL!F:F,RETAIL!G:G)</f>
        <v>46104</v>
      </c>
      <c r="AA96" s="227" t="s">
        <v>559</v>
      </c>
      <c r="AB96" s="137" t="str">
        <f>_xlfn.XLOOKUP(D96,[2]MAR!$F:$F,[2]MAR!$H:$H)</f>
        <v>DISBURSED</v>
      </c>
    </row>
    <row r="97" hidden="1" customHeight="1" spans="1:28">
      <c r="A97" s="209">
        <v>96</v>
      </c>
      <c r="B97" s="214" t="s">
        <v>785</v>
      </c>
      <c r="C97" s="214">
        <v>2567235354</v>
      </c>
      <c r="D97" s="137" t="s">
        <v>1601</v>
      </c>
      <c r="E97" s="137" t="s">
        <v>1602</v>
      </c>
      <c r="F97" s="137" t="s">
        <v>984</v>
      </c>
      <c r="G97" s="204" t="s">
        <v>434</v>
      </c>
      <c r="H97" s="137">
        <v>450000</v>
      </c>
      <c r="I97" s="137" t="s">
        <v>492</v>
      </c>
      <c r="J97" s="137" t="s">
        <v>1603</v>
      </c>
      <c r="K97" s="203" t="s">
        <v>113</v>
      </c>
      <c r="L97" s="210" t="str">
        <f>VLOOKUP($K97,Emp!$A$2:$E$347,2,0)</f>
        <v>ANAND K V</v>
      </c>
      <c r="M97" s="210" t="str">
        <f>VLOOKUP($K97,Emp!$A$2:$E$347,3,0)</f>
        <v>KOLENCHERY</v>
      </c>
      <c r="N97" s="210" t="str">
        <f>VLOOKUP($K97,Emp!$A$2:$E$347,4,0)</f>
        <v>ARENA</v>
      </c>
      <c r="O97" s="206">
        <v>46100</v>
      </c>
      <c r="P97" s="206">
        <v>46104</v>
      </c>
      <c r="S97" s="206" t="s">
        <v>368</v>
      </c>
      <c r="T97" s="221" t="s">
        <v>10</v>
      </c>
      <c r="U97" s="210" t="str">
        <f>VLOOKUP($K97,Emp!$A$2:$E$347,5,0)</f>
        <v>AMAL</v>
      </c>
      <c r="V97" s="225"/>
      <c r="W97" s="225"/>
      <c r="X97" s="225"/>
      <c r="Y97" s="209" t="str">
        <f t="array" ref="Y97">INDEX(RETAIL!$F:$F,MATCH(1,(RETAIL!$B:$B=B97)*(RETAIL!$N:$N=M97),0))</f>
        <v>255/VSL/25000102</v>
      </c>
      <c r="Z97" s="221">
        <f>_xlfn.XLOOKUP(Y97,RETAIL!F:F,RETAIL!G:G)</f>
        <v>46102</v>
      </c>
      <c r="AA97" s="227" t="s">
        <v>1444</v>
      </c>
      <c r="AB97" s="137" t="str">
        <f>_xlfn.XLOOKUP(D97,[2]MAR!$F:$F,[2]MAR!$H:$H)</f>
        <v>DISBURSED</v>
      </c>
    </row>
    <row r="98" hidden="1" customHeight="1" spans="1:28">
      <c r="A98" s="209">
        <v>97</v>
      </c>
      <c r="B98" s="214" t="s">
        <v>1216</v>
      </c>
      <c r="C98" s="214">
        <v>2567808397</v>
      </c>
      <c r="D98" s="415" t="s">
        <v>1604</v>
      </c>
      <c r="E98" s="137" t="s">
        <v>1605</v>
      </c>
      <c r="F98" s="137" t="s">
        <v>1606</v>
      </c>
      <c r="G98" s="204" t="s">
        <v>363</v>
      </c>
      <c r="H98" s="137">
        <v>537330</v>
      </c>
      <c r="I98" s="137" t="s">
        <v>553</v>
      </c>
      <c r="K98" s="203" t="s">
        <v>236</v>
      </c>
      <c r="L98" s="210" t="str">
        <f>VLOOKUP($K98,Emp!$A$2:$E$347,2,0)</f>
        <v>BHAGIESH</v>
      </c>
      <c r="M98" s="210" t="str">
        <f>VLOOKUP($K98,Emp!$A$2:$E$347,3,0)</f>
        <v>CHAVAKKAD</v>
      </c>
      <c r="N98" s="210" t="str">
        <f>VLOOKUP($K98,Emp!$A$2:$E$347,4,0)</f>
        <v>ARENA</v>
      </c>
      <c r="O98" s="206">
        <v>46100</v>
      </c>
      <c r="P98" s="206">
        <v>46105</v>
      </c>
      <c r="S98" s="206" t="s">
        <v>368</v>
      </c>
      <c r="T98" s="221" t="s">
        <v>10</v>
      </c>
      <c r="U98" s="210" t="str">
        <f>VLOOKUP($K98,Emp!$A$2:$E$347,5,0)</f>
        <v>SINTO</v>
      </c>
      <c r="V98" s="225"/>
      <c r="W98" s="225"/>
      <c r="X98" s="225"/>
      <c r="Y98" s="209" t="str">
        <f t="array" ref="Y98">INDEX(RETAIL!$F:$F,MATCH(1,(RETAIL!$B:$B=B98)*(RETAIL!$N:$N=M98),0))</f>
        <v>40/VSL/25001507</v>
      </c>
      <c r="Z98" s="221">
        <f>_xlfn.XLOOKUP(Y98,RETAIL!F:F,RETAIL!G:G)</f>
        <v>46107</v>
      </c>
      <c r="AA98" s="227" t="s">
        <v>1444</v>
      </c>
      <c r="AB98" s="137" t="str">
        <f>_xlfn.XLOOKUP(D98,[2]MAR!$F:$F,[2]MAR!$H:$H)</f>
        <v>DISBURSED</v>
      </c>
    </row>
    <row r="99" hidden="1" customHeight="1" spans="1:28">
      <c r="A99" s="209">
        <v>98</v>
      </c>
      <c r="B99" s="214" t="s">
        <v>923</v>
      </c>
      <c r="C99" s="214">
        <v>2566911359</v>
      </c>
      <c r="D99" s="137" t="s">
        <v>1463</v>
      </c>
      <c r="E99" s="137" t="s">
        <v>1607</v>
      </c>
      <c r="F99" s="137" t="s">
        <v>927</v>
      </c>
      <c r="G99" s="204" t="s">
        <v>639</v>
      </c>
      <c r="H99" s="137">
        <v>682435</v>
      </c>
      <c r="I99" s="137" t="s">
        <v>366</v>
      </c>
      <c r="J99" s="137" t="s">
        <v>1608</v>
      </c>
      <c r="K99" s="203" t="s">
        <v>237</v>
      </c>
      <c r="L99" s="210" t="str">
        <f>VLOOKUP($K99,Emp!$A$2:$E$347,2,0)</f>
        <v>BHAGIESH</v>
      </c>
      <c r="M99" s="210" t="str">
        <f>VLOOKUP($K99,Emp!$A$2:$E$347,3,0)</f>
        <v>CHAVAKKAD</v>
      </c>
      <c r="N99" s="210" t="str">
        <f>VLOOKUP($K99,Emp!$A$2:$E$347,4,0)</f>
        <v>ARENA</v>
      </c>
      <c r="O99" s="206">
        <v>46100</v>
      </c>
      <c r="P99" s="206">
        <v>46105</v>
      </c>
      <c r="Q99" s="137">
        <f>H99*R99</f>
        <v>8871.655</v>
      </c>
      <c r="R99" s="207">
        <v>0.013</v>
      </c>
      <c r="S99" s="206" t="s">
        <v>368</v>
      </c>
      <c r="T99" s="221" t="s">
        <v>356</v>
      </c>
      <c r="U99" s="210" t="str">
        <f>VLOOKUP($K99,Emp!$A$2:$E$347,5,0)</f>
        <v>SINTO</v>
      </c>
      <c r="V99" s="225"/>
      <c r="W99" s="225"/>
      <c r="X99" s="225"/>
      <c r="Y99" s="209" t="str">
        <f t="array" ref="Y99">INDEX(RETAIL!$F:$F,MATCH(1,(RETAIL!$B:$B=B99)*(RETAIL!$N:$N=M99),0))</f>
        <v>28/VSL/25000115</v>
      </c>
      <c r="Z99" s="221">
        <f>_xlfn.XLOOKUP(Y99,RETAIL!F:F,RETAIL!G:G)</f>
        <v>46100</v>
      </c>
      <c r="AA99" s="227"/>
      <c r="AB99" s="137" t="e">
        <f>_xlfn.XLOOKUP(D99,[2]MAR!$F:$F,[2]MAR!$H:$H)</f>
        <v>#N/A</v>
      </c>
    </row>
    <row r="100" hidden="1" customHeight="1" spans="1:28">
      <c r="A100" s="209">
        <v>99</v>
      </c>
      <c r="B100" s="214" t="s">
        <v>1074</v>
      </c>
      <c r="C100" s="214">
        <v>2567751123</v>
      </c>
      <c r="D100" s="137">
        <v>19657134</v>
      </c>
      <c r="E100" s="137">
        <v>17965077</v>
      </c>
      <c r="F100" s="137" t="s">
        <v>1078</v>
      </c>
      <c r="G100" s="204" t="s">
        <v>353</v>
      </c>
      <c r="H100" s="137">
        <v>1033000</v>
      </c>
      <c r="I100" s="137" t="s">
        <v>457</v>
      </c>
      <c r="K100" s="203" t="s">
        <v>161</v>
      </c>
      <c r="L100" s="210" t="str">
        <f>VLOOKUP($K100,Emp!$A$2:$E$347,2,0)</f>
        <v>SIJO VARGHESE GEORGE</v>
      </c>
      <c r="M100" s="210" t="str">
        <f>VLOOKUP($K100,Emp!$A$2:$E$347,3,0)</f>
        <v>PERUMBAVOOR</v>
      </c>
      <c r="N100" s="210" t="str">
        <f>VLOOKUP($K100,Emp!$A$2:$E$347,4,0)</f>
        <v>ARENA</v>
      </c>
      <c r="O100" s="206">
        <v>46105</v>
      </c>
      <c r="P100" s="206">
        <v>46105</v>
      </c>
      <c r="S100" s="206" t="s">
        <v>368</v>
      </c>
      <c r="T100" s="221" t="s">
        <v>10</v>
      </c>
      <c r="U100" s="210" t="str">
        <f>VLOOKUP($K100,Emp!$A$2:$E$347,5,0)</f>
        <v>SALMAN</v>
      </c>
      <c r="V100" s="225"/>
      <c r="W100" s="225"/>
      <c r="X100" s="225"/>
      <c r="Y100" s="209" t="str">
        <f t="array" ref="Y100">INDEX(RETAIL!$F:$F,MATCH(1,(RETAIL!$B:$B=B100)*(RETAIL!$N:$N=M100),0))</f>
        <v>126/VSL/25000120</v>
      </c>
      <c r="Z100" s="221">
        <f>_xlfn.XLOOKUP(Y100,RETAIL!F:F,RETAIL!G:G)</f>
        <v>46105</v>
      </c>
      <c r="AA100" s="227" t="s">
        <v>559</v>
      </c>
      <c r="AB100" s="137" t="str">
        <f>_xlfn.XLOOKUP(D100,[2]MAR!$F:$F,[2]MAR!$H:$H)</f>
        <v>DISBURSED</v>
      </c>
    </row>
    <row r="101" hidden="1" customHeight="1" spans="1:28">
      <c r="A101" s="209">
        <v>100</v>
      </c>
      <c r="B101" s="214" t="s">
        <v>1188</v>
      </c>
      <c r="C101" s="214">
        <v>2567217890</v>
      </c>
      <c r="D101" s="137" t="s">
        <v>1609</v>
      </c>
      <c r="E101" s="137" t="s">
        <v>1610</v>
      </c>
      <c r="F101" s="56" t="s">
        <v>1192</v>
      </c>
      <c r="G101" s="204" t="s">
        <v>353</v>
      </c>
      <c r="H101" s="137">
        <v>502566</v>
      </c>
      <c r="I101" s="137" t="s">
        <v>437</v>
      </c>
      <c r="K101" s="203" t="s">
        <v>161</v>
      </c>
      <c r="L101" s="210" t="str">
        <f>VLOOKUP($K101,Emp!$A$2:$E$347,2,0)</f>
        <v>SIJO VARGHESE GEORGE</v>
      </c>
      <c r="M101" s="210" t="str">
        <f>VLOOKUP($K101,Emp!$A$2:$E$347,3,0)</f>
        <v>PERUMBAVOOR</v>
      </c>
      <c r="N101" s="210" t="str">
        <f>VLOOKUP($K101,Emp!$A$2:$E$347,4,0)</f>
        <v>ARENA</v>
      </c>
      <c r="O101" s="206">
        <v>46105</v>
      </c>
      <c r="P101" s="206">
        <v>46106</v>
      </c>
      <c r="Q101" s="137">
        <f>H101*R101</f>
        <v>10051.32</v>
      </c>
      <c r="R101" s="207">
        <v>0.02</v>
      </c>
      <c r="S101" s="206" t="s">
        <v>368</v>
      </c>
      <c r="T101" s="221" t="s">
        <v>10</v>
      </c>
      <c r="U101" s="210" t="str">
        <f>VLOOKUP($K101,Emp!$A$2:$E$347,5,0)</f>
        <v>SALMAN</v>
      </c>
      <c r="V101" s="225"/>
      <c r="W101" s="225"/>
      <c r="X101" s="225"/>
      <c r="Y101" s="209" t="str">
        <f t="array" ref="Y101">INDEX(RETAIL!$F:$F,MATCH(1,(RETAIL!$B:$B=B101)*(RETAIL!$N:$N=M101),0))</f>
        <v>126/VSL/25000121</v>
      </c>
      <c r="Z101" s="221">
        <f>_xlfn.XLOOKUP(Y101,RETAIL!F:F,RETAIL!G:G)</f>
        <v>46107</v>
      </c>
      <c r="AA101" s="227" t="s">
        <v>559</v>
      </c>
      <c r="AB101" s="137" t="str">
        <f>_xlfn.XLOOKUP(D101,[2]MAR!$F:$F,[2]MAR!$H:$H)</f>
        <v>DISBURSED</v>
      </c>
    </row>
    <row r="102" hidden="1" customHeight="1" spans="1:28">
      <c r="A102" s="209">
        <v>101</v>
      </c>
      <c r="B102" s="214" t="s">
        <v>1177</v>
      </c>
      <c r="C102" s="214">
        <v>2567561761</v>
      </c>
      <c r="D102" s="137" t="s">
        <v>1463</v>
      </c>
      <c r="E102" s="137" t="s">
        <v>1611</v>
      </c>
      <c r="F102" s="56" t="s">
        <v>1181</v>
      </c>
      <c r="G102" s="204" t="s">
        <v>489</v>
      </c>
      <c r="H102" s="137">
        <v>728212</v>
      </c>
      <c r="I102" s="137" t="s">
        <v>1183</v>
      </c>
      <c r="J102" s="137" t="s">
        <v>100</v>
      </c>
      <c r="K102" s="203" t="s">
        <v>208</v>
      </c>
      <c r="L102" s="210" t="str">
        <f>VLOOKUP($K102,Emp!$A$2:$E$347,2,0)</f>
        <v>SACHIN</v>
      </c>
      <c r="M102" s="210" t="str">
        <f>VLOOKUP($K102,Emp!$A$2:$E$347,3,0)</f>
        <v>KODUNGALLUR</v>
      </c>
      <c r="N102" s="210" t="str">
        <f>VLOOKUP($K102,Emp!$A$2:$E$347,4,0)</f>
        <v>ARENA</v>
      </c>
      <c r="O102" s="206">
        <v>46105</v>
      </c>
      <c r="P102" s="206">
        <v>46106</v>
      </c>
      <c r="S102" s="206" t="s">
        <v>368</v>
      </c>
      <c r="T102" s="206" t="s">
        <v>356</v>
      </c>
      <c r="U102" s="210" t="str">
        <f>VLOOKUP($K102,Emp!$A$2:$E$347,5,0)</f>
        <v>JINEESH</v>
      </c>
      <c r="V102" s="225"/>
      <c r="W102" s="225"/>
      <c r="X102" s="225"/>
      <c r="Y102" s="209" t="str">
        <f t="array" ref="Y102">INDEX(RETAIL!$F:$F,MATCH(1,(RETAIL!$B:$B=B102)*(RETAIL!$N:$N=M102),0))</f>
        <v>72/VSL/25000157</v>
      </c>
      <c r="Z102" s="221">
        <f>_xlfn.XLOOKUP(Y102,RETAIL!F:F,RETAIL!G:G)</f>
        <v>46106</v>
      </c>
      <c r="AA102" s="227"/>
      <c r="AB102" s="137" t="e">
        <f>_xlfn.XLOOKUP(D102,[2]MAR!$F:$F,[2]MAR!$H:$H)</f>
        <v>#N/A</v>
      </c>
    </row>
    <row r="103" hidden="1" customHeight="1" spans="1:28">
      <c r="A103" s="209">
        <v>102</v>
      </c>
      <c r="B103" s="214" t="s">
        <v>1001</v>
      </c>
      <c r="C103" s="214">
        <v>2567444935</v>
      </c>
      <c r="D103" s="137" t="s">
        <v>1612</v>
      </c>
      <c r="E103" s="137" t="s">
        <v>1613</v>
      </c>
      <c r="F103" s="56" t="s">
        <v>1005</v>
      </c>
      <c r="G103" s="204" t="s">
        <v>363</v>
      </c>
      <c r="H103" s="215">
        <v>491800</v>
      </c>
      <c r="I103" s="137" t="s">
        <v>411</v>
      </c>
      <c r="K103" s="203" t="s">
        <v>201</v>
      </c>
      <c r="L103" s="210" t="str">
        <f>VLOOKUP($K103,Emp!$A$2:$E$347,2,0)</f>
        <v>SIVAPRAKASH K S</v>
      </c>
      <c r="M103" s="210" t="str">
        <f>VLOOKUP($K103,Emp!$A$2:$E$347,3,0)</f>
        <v>THRISSUR</v>
      </c>
      <c r="N103" s="210" t="str">
        <f>VLOOKUP($K103,Emp!$A$2:$E$347,4,0)</f>
        <v>ARENA</v>
      </c>
      <c r="O103" s="206">
        <v>46105</v>
      </c>
      <c r="P103" s="206">
        <v>46106</v>
      </c>
      <c r="S103" s="206" t="s">
        <v>368</v>
      </c>
      <c r="T103" s="206" t="s">
        <v>1430</v>
      </c>
      <c r="U103" s="210" t="str">
        <f>VLOOKUP($K103,Emp!$A$2:$E$347,5,0)</f>
        <v>SINTO</v>
      </c>
      <c r="V103" s="225"/>
      <c r="W103" s="225"/>
      <c r="X103" s="225"/>
      <c r="Y103" s="209" t="str">
        <f t="array" ref="Y103">INDEX(RETAIL!$F:$F,MATCH(1,(RETAIL!$B:$B=B103)*(RETAIL!$N:$N=M103),0))</f>
        <v>40/VSL/25001482</v>
      </c>
      <c r="Z103" s="221">
        <f>_xlfn.XLOOKUP(Y103,RETAIL!F:F,RETAIL!G:G)</f>
        <v>46102</v>
      </c>
      <c r="AA103" s="227"/>
      <c r="AB103" s="137" t="e">
        <f>_xlfn.XLOOKUP(D103,[2]MAR!$F:$F,[2]MAR!$H:$H)</f>
        <v>#N/A</v>
      </c>
    </row>
    <row r="104" hidden="1" customHeight="1" spans="1:28">
      <c r="A104" s="209">
        <v>103</v>
      </c>
      <c r="B104" s="214" t="s">
        <v>1097</v>
      </c>
      <c r="C104" s="214">
        <v>2567726075</v>
      </c>
      <c r="D104" s="137" t="s">
        <v>1614</v>
      </c>
      <c r="E104" s="137" t="s">
        <v>1615</v>
      </c>
      <c r="F104" s="56" t="s">
        <v>1102</v>
      </c>
      <c r="G104" s="204" t="s">
        <v>363</v>
      </c>
      <c r="H104" s="215">
        <v>550000</v>
      </c>
      <c r="I104" s="137" t="s">
        <v>777</v>
      </c>
      <c r="K104" s="203" t="s">
        <v>169</v>
      </c>
      <c r="L104" s="210" t="str">
        <f>VLOOKUP($K104,Emp!$A$2:$E$347,2,0)</f>
        <v>SIVAPRAKASH K S</v>
      </c>
      <c r="M104" s="210" t="str">
        <f>VLOOKUP($K104,Emp!$A$2:$E$347,3,0)</f>
        <v>THRISSUR</v>
      </c>
      <c r="N104" s="210" t="str">
        <f>VLOOKUP($K104,Emp!$A$2:$E$347,4,0)</f>
        <v>ARENA</v>
      </c>
      <c r="O104" s="206">
        <v>46105</v>
      </c>
      <c r="P104" s="206">
        <v>46106</v>
      </c>
      <c r="Q104" s="137">
        <v>2750</v>
      </c>
      <c r="R104" s="207">
        <f>Q104/H104</f>
        <v>0.005</v>
      </c>
      <c r="S104" s="206" t="s">
        <v>368</v>
      </c>
      <c r="T104" s="206" t="s">
        <v>10</v>
      </c>
      <c r="U104" s="210" t="str">
        <f>VLOOKUP($K104,Emp!$A$2:$E$347,5,0)</f>
        <v>SINTO</v>
      </c>
      <c r="V104" s="225"/>
      <c r="W104" s="225"/>
      <c r="X104" s="225"/>
      <c r="Y104" s="209" t="str">
        <f t="array" ref="Y104">INDEX(RETAIL!$F:$F,MATCH(1,(RETAIL!$B:$B=B104)*(RETAIL!$N:$N=M104),0))</f>
        <v>40/VSL/25001494</v>
      </c>
      <c r="Z104" s="221">
        <f>_xlfn.XLOOKUP(Y104,RETAIL!F:F,RETAIL!G:G)</f>
        <v>46105</v>
      </c>
      <c r="AA104" s="227" t="s">
        <v>559</v>
      </c>
      <c r="AB104" s="137" t="str">
        <f>_xlfn.XLOOKUP(D104,[2]MAR!$F:$F,[2]MAR!$H:$H)</f>
        <v>DISBURSED</v>
      </c>
    </row>
    <row r="105" customHeight="1" spans="1:28">
      <c r="A105" s="209">
        <v>104</v>
      </c>
      <c r="B105" s="214" t="s">
        <v>1270</v>
      </c>
      <c r="C105" s="214">
        <v>2567827802</v>
      </c>
      <c r="D105" s="137" t="s">
        <v>1616</v>
      </c>
      <c r="E105" s="137" t="s">
        <v>1617</v>
      </c>
      <c r="F105" s="56" t="s">
        <v>1274</v>
      </c>
      <c r="G105" s="204" t="s">
        <v>489</v>
      </c>
      <c r="H105" s="137">
        <v>527000</v>
      </c>
      <c r="I105" s="137" t="s">
        <v>777</v>
      </c>
      <c r="K105" s="203" t="s">
        <v>165</v>
      </c>
      <c r="L105" s="210" t="str">
        <f>VLOOKUP($K105,Emp!$A$2:$E$347,2,0)</f>
        <v>JESTIN UTHUP JOHN</v>
      </c>
      <c r="M105" s="210" t="str">
        <f>VLOOKUP($K105,Emp!$A$2:$E$347,3,0)</f>
        <v>PIRAVOM</v>
      </c>
      <c r="N105" s="210" t="str">
        <f>VLOOKUP($K105,Emp!$A$2:$E$347,4,0)</f>
        <v>ARENA</v>
      </c>
      <c r="O105" s="206">
        <v>46106</v>
      </c>
      <c r="P105" s="206">
        <v>46106</v>
      </c>
      <c r="Q105" s="137">
        <v>12000</v>
      </c>
      <c r="R105" s="207">
        <f>Q105/H105</f>
        <v>0.0227703984819734</v>
      </c>
      <c r="S105" s="206" t="s">
        <v>368</v>
      </c>
      <c r="T105" s="221" t="s">
        <v>10</v>
      </c>
      <c r="U105" s="210" t="str">
        <f>VLOOKUP($K105,Emp!$A$2:$E$347,5,0)</f>
        <v>AMAL</v>
      </c>
      <c r="V105" s="225"/>
      <c r="W105" s="225"/>
      <c r="X105" s="225"/>
      <c r="Y105" s="209" t="str">
        <f t="array" ref="Y105">INDEX(RETAIL!$F:$F,MATCH(1,(RETAIL!$B:$B=B105)*(RETAIL!$N:$N=M105),0))</f>
        <v>40/VSL/25001511</v>
      </c>
      <c r="Z105" s="221">
        <f>_xlfn.XLOOKUP(Y105,RETAIL!F:F,RETAIL!G:G)</f>
        <v>46108</v>
      </c>
      <c r="AA105" s="227"/>
      <c r="AB105" s="229" t="s">
        <v>1558</v>
      </c>
    </row>
    <row r="106" hidden="1" customHeight="1" spans="1:28">
      <c r="A106" s="209">
        <v>105</v>
      </c>
      <c r="B106" s="214" t="s">
        <v>1131</v>
      </c>
      <c r="C106" s="214">
        <v>2567081425</v>
      </c>
      <c r="D106" s="137" t="s">
        <v>1618</v>
      </c>
      <c r="E106" s="137" t="s">
        <v>1618</v>
      </c>
      <c r="F106" s="56" t="s">
        <v>1134</v>
      </c>
      <c r="G106" s="204" t="s">
        <v>434</v>
      </c>
      <c r="H106" s="137">
        <v>480000</v>
      </c>
      <c r="I106" s="137" t="s">
        <v>590</v>
      </c>
      <c r="J106" s="137" t="s">
        <v>17</v>
      </c>
      <c r="K106" s="203" t="s">
        <v>119</v>
      </c>
      <c r="L106" s="210" t="str">
        <f>VLOOKUP($K106,Emp!$A$2:$E$347,2,0)</f>
        <v>ARUN BABU</v>
      </c>
      <c r="M106" s="210" t="str">
        <f>VLOOKUP($K106,Emp!$A$2:$E$347,3,0)</f>
        <v>KOOTHATTUKULAM</v>
      </c>
      <c r="N106" s="210" t="str">
        <f>VLOOKUP($K106,Emp!$A$2:$E$347,4,0)</f>
        <v>ARENA</v>
      </c>
      <c r="O106" s="206">
        <v>46106</v>
      </c>
      <c r="P106" s="206">
        <v>46106</v>
      </c>
      <c r="Q106" s="137">
        <v>19460</v>
      </c>
      <c r="R106" s="207">
        <f>Q106/H106</f>
        <v>0.0405416666666667</v>
      </c>
      <c r="S106" s="206" t="s">
        <v>368</v>
      </c>
      <c r="T106" s="221" t="s">
        <v>10</v>
      </c>
      <c r="U106" s="210" t="str">
        <f>VLOOKUP($K106,Emp!$A$2:$E$347,5,0)</f>
        <v>AMAL</v>
      </c>
      <c r="V106" s="225"/>
      <c r="W106" s="225"/>
      <c r="X106" s="225"/>
      <c r="Y106" s="209" t="str">
        <f t="array" ref="Y106">INDEX(RETAIL!$F:$F,MATCH(1,(RETAIL!$B:$B=B106)*(RETAIL!$N:$N=M106),0))</f>
        <v>88/VSL/25000184</v>
      </c>
      <c r="Z106" s="221">
        <f>_xlfn.XLOOKUP(Y106,RETAIL!F:F,RETAIL!G:G)</f>
        <v>46105</v>
      </c>
      <c r="AA106" s="227" t="s">
        <v>559</v>
      </c>
      <c r="AB106" s="137" t="str">
        <f>_xlfn.XLOOKUP(D106,[2]MAR!$F:$F,[2]MAR!$H:$H)</f>
        <v>DISBURSED</v>
      </c>
    </row>
    <row r="107" hidden="1" customHeight="1" spans="1:28">
      <c r="A107" s="209">
        <v>106</v>
      </c>
      <c r="B107" s="214" t="s">
        <v>1103</v>
      </c>
      <c r="C107" s="214">
        <v>2566903363</v>
      </c>
      <c r="F107" s="56" t="s">
        <v>1106</v>
      </c>
      <c r="G107" s="204" t="s">
        <v>683</v>
      </c>
      <c r="H107" s="212">
        <v>400000</v>
      </c>
      <c r="I107" s="137" t="s">
        <v>507</v>
      </c>
      <c r="K107" s="203" t="s">
        <v>176</v>
      </c>
      <c r="L107" s="210" t="str">
        <f>VLOOKUP($K107,Emp!$A$2:$E$347,2,0)</f>
        <v>PRANOOB V NAIR</v>
      </c>
      <c r="M107" s="210" t="str">
        <f>VLOOKUP($K107,Emp!$A$2:$E$347,3,0)</f>
        <v>TRIPPUNITHURA</v>
      </c>
      <c r="N107" s="210" t="str">
        <f>VLOOKUP($K107,Emp!$A$2:$E$347,4,0)</f>
        <v>ARENA</v>
      </c>
      <c r="O107" s="206">
        <v>46105</v>
      </c>
      <c r="P107" s="206">
        <v>46106</v>
      </c>
      <c r="S107" s="206" t="s">
        <v>368</v>
      </c>
      <c r="T107" s="206" t="s">
        <v>1430</v>
      </c>
      <c r="U107" s="210" t="str">
        <f>VLOOKUP($K107,Emp!$A$2:$E$347,5,0)</f>
        <v>SIVAPRASAD</v>
      </c>
      <c r="V107" s="225"/>
      <c r="W107" s="225"/>
      <c r="X107" s="225"/>
      <c r="Y107" s="209" t="str">
        <f t="array" ref="Y107">INDEX(RETAIL!$F:$F,MATCH(1,(RETAIL!$B:$B=B107)*(RETAIL!$N:$N=M107),0))</f>
        <v>40/VSL/25001495</v>
      </c>
      <c r="Z107" s="221">
        <f>_xlfn.XLOOKUP(Y107,RETAIL!F:F,RETAIL!G:G)</f>
        <v>46105</v>
      </c>
      <c r="AB107" s="137" t="str">
        <f>_xlfn.XLOOKUP(D107,[2]MAR!$F:$F,[2]MAR!$H:$H)</f>
        <v>RETRY OPT OUT</v>
      </c>
    </row>
    <row r="108" hidden="1" customHeight="1" spans="1:28">
      <c r="A108" s="209">
        <v>107</v>
      </c>
      <c r="B108" s="214" t="s">
        <v>1079</v>
      </c>
      <c r="C108" s="214">
        <v>2567591514</v>
      </c>
      <c r="D108" s="137" t="s">
        <v>1463</v>
      </c>
      <c r="E108" s="137" t="s">
        <v>1619</v>
      </c>
      <c r="F108" s="56" t="s">
        <v>1082</v>
      </c>
      <c r="G108" s="204" t="s">
        <v>434</v>
      </c>
      <c r="H108" s="215">
        <v>462746</v>
      </c>
      <c r="I108" s="137" t="s">
        <v>437</v>
      </c>
      <c r="K108" s="203" t="s">
        <v>112</v>
      </c>
      <c r="L108" s="210" t="str">
        <f>VLOOKUP($K108,Emp!$A$2:$E$347,2,0)</f>
        <v>ANAND K V</v>
      </c>
      <c r="M108" s="210" t="str">
        <f>VLOOKUP($K108,Emp!$A$2:$E$347,3,0)</f>
        <v>KOLENCHERY</v>
      </c>
      <c r="N108" s="210" t="str">
        <f>VLOOKUP($K108,Emp!$A$2:$E$347,4,0)</f>
        <v>ARENA</v>
      </c>
      <c r="O108" s="206">
        <v>46105</v>
      </c>
      <c r="P108" s="206">
        <v>46106</v>
      </c>
      <c r="S108" s="206" t="s">
        <v>368</v>
      </c>
      <c r="T108" s="206" t="s">
        <v>356</v>
      </c>
      <c r="U108" s="210" t="str">
        <f>VLOOKUP($K108,Emp!$A$2:$E$347,5,0)</f>
        <v>AMAL</v>
      </c>
      <c r="V108" s="225"/>
      <c r="W108" s="225"/>
      <c r="X108" s="225"/>
      <c r="Y108" s="209" t="str">
        <f t="array" ref="Y108">INDEX(RETAIL!$F:$F,MATCH(1,(RETAIL!$B:$B=B108)*(RETAIL!$N:$N=M108),0))</f>
        <v>255/VSL/25000103</v>
      </c>
      <c r="Z108" s="221">
        <f>_xlfn.XLOOKUP(Y108,RETAIL!F:F,RETAIL!G:G)</f>
        <v>46105</v>
      </c>
      <c r="AB108" s="137" t="e">
        <f>_xlfn.XLOOKUP(D108,[2]MAR!$F:$F,[2]MAR!$H:$H)</f>
        <v>#N/A</v>
      </c>
    </row>
    <row r="109" hidden="1" customHeight="1" spans="1:28">
      <c r="A109" s="209">
        <v>108</v>
      </c>
      <c r="B109" s="214" t="s">
        <v>1261</v>
      </c>
      <c r="C109" s="214">
        <v>2567485032</v>
      </c>
      <c r="D109" s="137" t="s">
        <v>1620</v>
      </c>
      <c r="E109" s="137" t="s">
        <v>1621</v>
      </c>
      <c r="F109" s="137" t="s">
        <v>1622</v>
      </c>
      <c r="G109" s="204" t="s">
        <v>463</v>
      </c>
      <c r="H109" s="137">
        <v>600000</v>
      </c>
      <c r="I109" s="137" t="s">
        <v>612</v>
      </c>
      <c r="J109" s="137" t="s">
        <v>1575</v>
      </c>
      <c r="K109" s="203" t="s">
        <v>151</v>
      </c>
      <c r="L109" s="210" t="str">
        <f>VLOOKUP($K109,Emp!$A$2:$E$347,2,0)</f>
        <v>SANDEEP P</v>
      </c>
      <c r="M109" s="210" t="str">
        <f>VLOOKUP($K109,Emp!$A$2:$E$347,3,0)</f>
        <v>NEXA COCHIN</v>
      </c>
      <c r="N109" s="210" t="str">
        <f>VLOOKUP($K109,Emp!$A$2:$E$347,4,0)</f>
        <v>NEXA COCHIN</v>
      </c>
      <c r="O109" s="206">
        <v>46105</v>
      </c>
      <c r="P109" s="206">
        <v>46107</v>
      </c>
      <c r="S109" s="206" t="s">
        <v>368</v>
      </c>
      <c r="T109" s="206" t="s">
        <v>1430</v>
      </c>
      <c r="U109" s="210" t="str">
        <f>VLOOKUP($K109,Emp!$A$2:$E$347,5,0)</f>
        <v>WILSON</v>
      </c>
      <c r="V109" s="225"/>
      <c r="W109" s="225"/>
      <c r="X109" s="225"/>
      <c r="Y109" s="209" t="str">
        <f t="array" ref="Y109">INDEX(RETAIL!$F:$F,MATCH(1,(RETAIL!$B:$B=B109)*(RETAIL!$N:$N=M109),0))</f>
        <v>40/VSL/25001509</v>
      </c>
      <c r="Z109" s="221">
        <f>_xlfn.XLOOKUP(Y109,RETAIL!F:F,RETAIL!G:G)</f>
        <v>46108</v>
      </c>
      <c r="AB109" s="137" t="str">
        <f>_xlfn.XLOOKUP(D109,[2]MAR!$F:$F,[2]MAR!$H:$H)</f>
        <v>APPLIED</v>
      </c>
    </row>
    <row r="110" hidden="1" customHeight="1" spans="1:28">
      <c r="A110" s="209">
        <v>109</v>
      </c>
      <c r="B110" s="214" t="s">
        <v>1247</v>
      </c>
      <c r="C110" s="214">
        <v>2567626268</v>
      </c>
      <c r="D110" s="137" t="s">
        <v>1623</v>
      </c>
      <c r="E110" s="137" t="s">
        <v>1624</v>
      </c>
      <c r="F110" s="137" t="s">
        <v>1625</v>
      </c>
      <c r="G110" s="204" t="s">
        <v>489</v>
      </c>
      <c r="H110" s="137">
        <v>657566</v>
      </c>
      <c r="I110" s="137" t="s">
        <v>437</v>
      </c>
      <c r="K110" s="203" t="s">
        <v>160</v>
      </c>
      <c r="L110" s="210" t="str">
        <f>VLOOKUP($K110,Emp!$A$2:$E$347,2,0)</f>
        <v>SIJO VARGHESE GEORGE</v>
      </c>
      <c r="M110" s="210" t="str">
        <f>VLOOKUP($K110,Emp!$A$2:$E$347,3,0)</f>
        <v>PERUMBAVOOR</v>
      </c>
      <c r="N110" s="210" t="str">
        <f>VLOOKUP($K110,Emp!$A$2:$E$347,4,0)</f>
        <v>ARENA</v>
      </c>
      <c r="O110" s="206">
        <v>46107</v>
      </c>
      <c r="P110" s="206">
        <v>46107</v>
      </c>
      <c r="Q110" s="137">
        <f>H110*R110</f>
        <v>19726.98</v>
      </c>
      <c r="R110" s="207">
        <v>0.03</v>
      </c>
      <c r="S110" s="206" t="s">
        <v>368</v>
      </c>
      <c r="T110" s="221" t="s">
        <v>10</v>
      </c>
      <c r="U110" s="210" t="str">
        <f>VLOOKUP($K110,Emp!$A$2:$E$347,5,0)</f>
        <v>SALMAN</v>
      </c>
      <c r="V110" s="225"/>
      <c r="W110" s="225"/>
      <c r="X110" s="225"/>
      <c r="Y110" s="209" t="str">
        <f t="array" ref="Y110">INDEX(RETAIL!$F:$F,MATCH(1,(RETAIL!$B:$B=B110)*(RETAIL!$N:$N=M110),0))</f>
        <v>126/VSL/25000122</v>
      </c>
      <c r="Z110" s="221">
        <f>_xlfn.XLOOKUP(Y110,RETAIL!F:F,RETAIL!G:G)</f>
        <v>46108</v>
      </c>
      <c r="AA110" s="202" t="s">
        <v>559</v>
      </c>
      <c r="AB110" s="137" t="str">
        <f>_xlfn.XLOOKUP(D110,[2]MAR!$F:$F,[2]MAR!$H:$H)</f>
        <v>DISBURSED</v>
      </c>
    </row>
    <row r="111" hidden="1" customHeight="1" spans="1:28">
      <c r="A111" s="209">
        <v>110</v>
      </c>
      <c r="B111" s="214" t="s">
        <v>1194</v>
      </c>
      <c r="C111" s="214">
        <v>2567246749</v>
      </c>
      <c r="D111" s="137" t="s">
        <v>1626</v>
      </c>
      <c r="E111" s="137" t="s">
        <v>1627</v>
      </c>
      <c r="F111" s="137" t="s">
        <v>1197</v>
      </c>
      <c r="G111" s="204" t="s">
        <v>434</v>
      </c>
      <c r="H111" s="137">
        <v>607566</v>
      </c>
      <c r="I111" s="137" t="s">
        <v>437</v>
      </c>
      <c r="K111" s="203" t="s">
        <v>167</v>
      </c>
      <c r="L111" s="210" t="str">
        <f>VLOOKUP($K111,Emp!$A$2:$E$347,2,0)</f>
        <v>SIVAPRAKASH K S</v>
      </c>
      <c r="M111" s="210" t="str">
        <f>VLOOKUP($K111,Emp!$A$2:$E$347,3,0)</f>
        <v>THRISSUR</v>
      </c>
      <c r="N111" s="210" t="str">
        <f>VLOOKUP($K111,Emp!$A$2:$E$347,4,0)</f>
        <v>ARENA</v>
      </c>
      <c r="O111" s="206">
        <v>46106</v>
      </c>
      <c r="P111" s="206">
        <v>46107</v>
      </c>
      <c r="S111" s="206" t="s">
        <v>368</v>
      </c>
      <c r="T111" s="221" t="s">
        <v>10</v>
      </c>
      <c r="U111" s="210" t="str">
        <f>VLOOKUP($K111,Emp!$A$2:$E$347,5,0)</f>
        <v>SINTO</v>
      </c>
      <c r="V111" s="225"/>
      <c r="W111" s="225"/>
      <c r="X111" s="225"/>
      <c r="Y111" s="209" t="str">
        <f t="array" ref="Y111">INDEX(RETAIL!$F:$F,MATCH(1,(RETAIL!$B:$B=B111)*(RETAIL!$N:$N=M111),0))</f>
        <v>40/VSL/25001503</v>
      </c>
      <c r="Z111" s="221">
        <f>_xlfn.XLOOKUP(Y111,RETAIL!F:F,RETAIL!G:G)</f>
        <v>46107</v>
      </c>
      <c r="AA111" s="202" t="s">
        <v>559</v>
      </c>
      <c r="AB111" s="137" t="str">
        <f>_xlfn.XLOOKUP(D111,[2]MAR!$F:$F,[2]MAR!$H:$H)</f>
        <v>DISBURSED</v>
      </c>
    </row>
    <row r="112" hidden="1" customHeight="1" spans="1:28">
      <c r="A112" s="209">
        <v>111</v>
      </c>
      <c r="D112" s="415" t="s">
        <v>1628</v>
      </c>
      <c r="F112" s="137" t="s">
        <v>1629</v>
      </c>
      <c r="G112" s="204" t="s">
        <v>443</v>
      </c>
      <c r="H112" s="212">
        <v>400000</v>
      </c>
      <c r="I112" s="137" t="s">
        <v>553</v>
      </c>
      <c r="K112" s="203" t="s">
        <v>73</v>
      </c>
      <c r="L112" s="210" t="str">
        <f>VLOOKUP($K112,Emp!$A$2:$E$347,2,0)</f>
        <v>NOUFAL T A</v>
      </c>
      <c r="M112" s="210" t="str">
        <f>VLOOKUP($K112,Emp!$A$2:$E$347,3,0)</f>
        <v>EDAPPALLY</v>
      </c>
      <c r="N112" s="210" t="str">
        <f>VLOOKUP($K112,Emp!$A$2:$E$347,4,0)</f>
        <v>ARENA</v>
      </c>
      <c r="O112" s="206">
        <v>46107</v>
      </c>
      <c r="S112" s="206" t="s">
        <v>300</v>
      </c>
      <c r="T112" s="206" t="s">
        <v>1430</v>
      </c>
      <c r="U112" s="210" t="str">
        <f>VLOOKUP($K112,Emp!$A$2:$E$347,5,0)</f>
        <v>SIVAPRASAD</v>
      </c>
      <c r="V112" s="225"/>
      <c r="W112" s="225"/>
      <c r="X112" s="225"/>
      <c r="Y112" s="209" t="e">
        <f t="array" ref="Y112">INDEX(RETAIL!$F:$F,MATCH(1,(RETAIL!$B:$B=B112)*(RETAIL!$N:$N=M112),0))</f>
        <v>#N/A</v>
      </c>
      <c r="Z112" s="221" t="e">
        <f>_xlfn.XLOOKUP(Y112,RETAIL!F:F,RETAIL!G:G)</f>
        <v>#N/A</v>
      </c>
      <c r="AB112" s="137" t="str">
        <f>_xlfn.XLOOKUP(D112,[2]MAR!$F:$F,[2]MAR!$H:$H)</f>
        <v>SANCTIONED</v>
      </c>
    </row>
    <row r="113" hidden="1" customHeight="1" spans="1:28">
      <c r="A113" s="209">
        <v>112</v>
      </c>
      <c r="D113" s="415" t="s">
        <v>1630</v>
      </c>
      <c r="F113" s="137" t="s">
        <v>1631</v>
      </c>
      <c r="G113" s="204" t="s">
        <v>443</v>
      </c>
      <c r="H113" s="212">
        <v>400000</v>
      </c>
      <c r="I113" s="137" t="s">
        <v>553</v>
      </c>
      <c r="K113" s="203" t="s">
        <v>85</v>
      </c>
      <c r="L113" s="210" t="str">
        <f>VLOOKUP($K113,Emp!$A$2:$E$347,2,0)</f>
        <v>REJIM GEORGE</v>
      </c>
      <c r="M113" s="210" t="str">
        <f>VLOOKUP($K113,Emp!$A$2:$E$347,3,0)</f>
        <v>FORTKOCHI</v>
      </c>
      <c r="N113" s="210" t="str">
        <f>VLOOKUP($K113,Emp!$A$2:$E$347,4,0)</f>
        <v>ARENA</v>
      </c>
      <c r="O113" s="206">
        <v>46107</v>
      </c>
      <c r="S113" s="206" t="s">
        <v>300</v>
      </c>
      <c r="T113" s="206" t="s">
        <v>1430</v>
      </c>
      <c r="U113" s="210" t="str">
        <f>VLOOKUP($K113,Emp!$A$2:$E$347,5,0)</f>
        <v>SIVAPRASAD</v>
      </c>
      <c r="V113" s="225"/>
      <c r="W113" s="225"/>
      <c r="X113" s="225"/>
      <c r="Y113" s="209" t="e">
        <f t="array" ref="Y113">INDEX(RETAIL!$F:$F,MATCH(1,(RETAIL!$B:$B=B113)*(RETAIL!$N:$N=M113),0))</f>
        <v>#N/A</v>
      </c>
      <c r="Z113" s="221" t="e">
        <f>_xlfn.XLOOKUP(Y113,RETAIL!F:F,RETAIL!G:G)</f>
        <v>#N/A</v>
      </c>
      <c r="AB113" s="137" t="e">
        <f>_xlfn.XLOOKUP(D113,[2]MAR!$F:$F,[2]MAR!$H:$H)</f>
        <v>#N/A</v>
      </c>
    </row>
    <row r="114" hidden="1" customHeight="1" spans="1:28">
      <c r="A114" s="209">
        <v>113</v>
      </c>
      <c r="B114" s="214" t="s">
        <v>1256</v>
      </c>
      <c r="C114" s="214">
        <v>2567773859</v>
      </c>
      <c r="D114" s="137" t="s">
        <v>1463</v>
      </c>
      <c r="E114" s="137" t="s">
        <v>1632</v>
      </c>
      <c r="F114" s="137" t="s">
        <v>1260</v>
      </c>
      <c r="G114" s="204" t="s">
        <v>353</v>
      </c>
      <c r="H114" s="137">
        <v>1000000</v>
      </c>
      <c r="I114" s="137" t="s">
        <v>386</v>
      </c>
      <c r="J114" s="137" t="s">
        <v>1633</v>
      </c>
      <c r="K114" s="203" t="s">
        <v>61</v>
      </c>
      <c r="L114" s="210" t="str">
        <f>VLOOKUP($K114,Emp!$A$2:$E$347,2,0)</f>
        <v>BHAGIESH</v>
      </c>
      <c r="M114" s="210" t="str">
        <f>VLOOKUP($K114,Emp!$A$2:$E$347,3,0)</f>
        <v>CHAVAKKAD</v>
      </c>
      <c r="N114" s="210" t="str">
        <f>VLOOKUP($K114,Emp!$A$2:$E$347,4,0)</f>
        <v>ARENA</v>
      </c>
      <c r="O114" s="206">
        <v>46106</v>
      </c>
      <c r="P114" s="206">
        <v>46107</v>
      </c>
      <c r="Q114" s="137">
        <f>H114*R114</f>
        <v>20000</v>
      </c>
      <c r="R114" s="207">
        <v>0.02</v>
      </c>
      <c r="S114" s="206" t="s">
        <v>368</v>
      </c>
      <c r="T114" s="206" t="s">
        <v>356</v>
      </c>
      <c r="U114" s="210" t="str">
        <f>VLOOKUP($K114,Emp!$A$2:$E$347,5,0)</f>
        <v>SINTO</v>
      </c>
      <c r="V114" s="225"/>
      <c r="W114" s="225"/>
      <c r="X114" s="225"/>
      <c r="Y114" s="209" t="str">
        <f t="array" ref="Y114">INDEX(RETAIL!$F:$F,MATCH(1,(RETAIL!$B:$B=B114)*(RETAIL!$N:$N=M114),0))</f>
        <v>28/VSL/25000116</v>
      </c>
      <c r="Z114" s="221">
        <f>_xlfn.XLOOKUP(Y114,RETAIL!F:F,RETAIL!G:G)</f>
        <v>46108</v>
      </c>
      <c r="AB114" s="137" t="e">
        <f>_xlfn.XLOOKUP(D114,[2]MAR!$F:$F,[2]MAR!$H:$H)</f>
        <v>#N/A</v>
      </c>
    </row>
    <row r="115" hidden="1" customHeight="1" spans="1:28">
      <c r="A115" s="209">
        <v>114</v>
      </c>
      <c r="B115" s="214" t="s">
        <v>1204</v>
      </c>
      <c r="C115" s="214">
        <v>2567674222</v>
      </c>
      <c r="D115" s="137" t="s">
        <v>1463</v>
      </c>
      <c r="E115" s="137" t="s">
        <v>1634</v>
      </c>
      <c r="F115" s="137" t="s">
        <v>1208</v>
      </c>
      <c r="G115" s="204" t="s">
        <v>353</v>
      </c>
      <c r="H115" s="215">
        <v>800000</v>
      </c>
      <c r="I115" s="137" t="s">
        <v>612</v>
      </c>
      <c r="J115" s="137" t="s">
        <v>38</v>
      </c>
      <c r="K115" s="203" t="s">
        <v>213</v>
      </c>
      <c r="L115" s="210" t="str">
        <f>VLOOKUP($K115,Emp!$A$2:$E$347,2,0)</f>
        <v>SIVAPRAKASH K S</v>
      </c>
      <c r="M115" s="210" t="str">
        <f>VLOOKUP($K115,Emp!$A$2:$E$347,3,0)</f>
        <v>THRISSUR</v>
      </c>
      <c r="N115" s="210" t="str">
        <f>VLOOKUP($K115,Emp!$A$2:$E$347,4,0)</f>
        <v>ARENA</v>
      </c>
      <c r="O115" s="206">
        <v>46106</v>
      </c>
      <c r="P115" s="206">
        <v>46107</v>
      </c>
      <c r="S115" s="206" t="s">
        <v>368</v>
      </c>
      <c r="T115" s="206" t="s">
        <v>356</v>
      </c>
      <c r="U115" s="210" t="str">
        <f>VLOOKUP($K115,Emp!$A$2:$E$347,5,0)</f>
        <v>SINTO</v>
      </c>
      <c r="V115" s="225"/>
      <c r="W115" s="225"/>
      <c r="X115" s="225"/>
      <c r="Y115" s="209" t="str">
        <f t="array" ref="Y115">INDEX(RETAIL!$F:$F,MATCH(1,(RETAIL!$B:$B=B115)*(RETAIL!$N:$N=M115),0))</f>
        <v>40/VSL/25001505</v>
      </c>
      <c r="Z115" s="221">
        <f>_xlfn.XLOOKUP(Y115,RETAIL!F:F,RETAIL!G:G)</f>
        <v>46107</v>
      </c>
      <c r="AB115" s="137" t="e">
        <f>_xlfn.XLOOKUP(D115,[2]MAR!$F:$F,[2]MAR!$H:$H)</f>
        <v>#N/A</v>
      </c>
    </row>
    <row r="116" hidden="1" customHeight="1" spans="1:28">
      <c r="A116" s="209">
        <v>115</v>
      </c>
      <c r="B116" s="214" t="s">
        <v>1141</v>
      </c>
      <c r="C116" s="214">
        <v>2567796557</v>
      </c>
      <c r="D116" s="137" t="s">
        <v>1635</v>
      </c>
      <c r="E116" s="137" t="s">
        <v>1636</v>
      </c>
      <c r="F116" s="137" t="s">
        <v>1145</v>
      </c>
      <c r="G116" s="204" t="s">
        <v>353</v>
      </c>
      <c r="H116" s="215">
        <v>1045000</v>
      </c>
      <c r="I116" s="137" t="s">
        <v>777</v>
      </c>
      <c r="K116" s="203" t="s">
        <v>188</v>
      </c>
      <c r="L116" s="210" t="str">
        <f>VLOOKUP($K116,Emp!$A$2:$E$347,2,0)</f>
        <v>JESTIN UTHUP JOHN</v>
      </c>
      <c r="M116" s="210" t="str">
        <f>VLOOKUP($K116,Emp!$A$2:$E$347,3,0)</f>
        <v>PIRAVOM</v>
      </c>
      <c r="N116" s="210" t="str">
        <f>VLOOKUP($K116,Emp!$A$2:$E$347,4,0)</f>
        <v>ARENA</v>
      </c>
      <c r="O116" s="206">
        <v>46106</v>
      </c>
      <c r="P116" s="206">
        <v>46107</v>
      </c>
      <c r="Q116" s="137">
        <v>20900</v>
      </c>
      <c r="R116" s="207">
        <f>Q116/H116</f>
        <v>0.02</v>
      </c>
      <c r="S116" s="206" t="s">
        <v>368</v>
      </c>
      <c r="T116" s="221" t="s">
        <v>10</v>
      </c>
      <c r="U116" s="210" t="str">
        <f>VLOOKUP($K116,Emp!$A$2:$E$347,5,0)</f>
        <v>AMAL</v>
      </c>
      <c r="V116" s="225"/>
      <c r="W116" s="225"/>
      <c r="X116" s="225"/>
      <c r="Y116" s="209" t="str">
        <f t="array" ref="Y116">INDEX(RETAIL!$F:$F,MATCH(1,(RETAIL!$B:$B=B116)*(RETAIL!$N:$N=M116),0))</f>
        <v>118/VSL25000106</v>
      </c>
      <c r="Z116" s="221">
        <f>_xlfn.XLOOKUP(Y116,RETAIL!F:F,RETAIL!G:G)</f>
        <v>46106</v>
      </c>
      <c r="AA116" s="202" t="s">
        <v>1444</v>
      </c>
      <c r="AB116" s="137" t="str">
        <f>_xlfn.XLOOKUP(D116,[2]MAR!$F:$F,[2]MAR!$H:$H)</f>
        <v>DISBURSED</v>
      </c>
    </row>
    <row r="117" hidden="1" customHeight="1" spans="1:28">
      <c r="A117" s="209">
        <v>116</v>
      </c>
      <c r="B117" s="214" t="s">
        <v>1107</v>
      </c>
      <c r="C117" s="214">
        <v>2567170673</v>
      </c>
      <c r="D117" s="137" t="s">
        <v>1463</v>
      </c>
      <c r="F117" s="137" t="s">
        <v>1111</v>
      </c>
      <c r="G117" s="204" t="s">
        <v>532</v>
      </c>
      <c r="H117" s="212">
        <v>400000</v>
      </c>
      <c r="I117" s="137" t="s">
        <v>507</v>
      </c>
      <c r="K117" s="203" t="s">
        <v>80</v>
      </c>
      <c r="L117" s="210" t="str">
        <f>VLOOKUP($K117,Emp!$A$2:$E$347,2,0)</f>
        <v>SHEMEER A K</v>
      </c>
      <c r="M117" s="210" t="str">
        <f>VLOOKUP($K117,Emp!$A$2:$E$347,3,0)</f>
        <v>EDAPPALLY</v>
      </c>
      <c r="N117" s="210" t="str">
        <f>VLOOKUP($K117,Emp!$A$2:$E$347,4,0)</f>
        <v>ARENA</v>
      </c>
      <c r="O117" s="206">
        <v>46106</v>
      </c>
      <c r="P117" s="206">
        <v>46107</v>
      </c>
      <c r="S117" s="206" t="s">
        <v>368</v>
      </c>
      <c r="T117" s="206" t="s">
        <v>356</v>
      </c>
      <c r="U117" s="210" t="str">
        <f>VLOOKUP($K117,Emp!$A$2:$E$347,5,0)</f>
        <v>SIVAPRASAD</v>
      </c>
      <c r="V117" s="225"/>
      <c r="W117" s="225"/>
      <c r="X117" s="225"/>
      <c r="Y117" s="209" t="str">
        <f t="array" ref="Y117">INDEX(RETAIL!$F:$F,MATCH(1,(RETAIL!$B:$B=B117)*(RETAIL!$N:$N=M117),0))</f>
        <v>40/VSL/25001496</v>
      </c>
      <c r="Z117" s="221">
        <f>_xlfn.XLOOKUP(Y117,RETAIL!F:F,RETAIL!G:G)</f>
        <v>46105</v>
      </c>
      <c r="AB117" s="137" t="e">
        <f>_xlfn.XLOOKUP(D117,[2]MAR!$F:$F,[2]MAR!$H:$H)</f>
        <v>#N/A</v>
      </c>
    </row>
    <row r="118" hidden="1" customHeight="1" spans="1:28">
      <c r="A118" s="209">
        <v>117</v>
      </c>
      <c r="D118" s="137">
        <v>169615876</v>
      </c>
      <c r="E118" s="137">
        <v>169615876</v>
      </c>
      <c r="F118" s="137" t="s">
        <v>1637</v>
      </c>
      <c r="G118" s="204" t="s">
        <v>489</v>
      </c>
      <c r="H118" s="215">
        <v>253536</v>
      </c>
      <c r="I118" s="137" t="s">
        <v>507</v>
      </c>
      <c r="K118" s="203" t="s">
        <v>85</v>
      </c>
      <c r="L118" s="210" t="str">
        <f>VLOOKUP($K118,Emp!$A$2:$E$347,2,0)</f>
        <v>REJIM GEORGE</v>
      </c>
      <c r="M118" s="210" t="str">
        <f>VLOOKUP($K118,Emp!$A$2:$E$347,3,0)</f>
        <v>FORTKOCHI</v>
      </c>
      <c r="N118" s="210" t="str">
        <f>VLOOKUP($K118,Emp!$A$2:$E$347,4,0)</f>
        <v>ARENA</v>
      </c>
      <c r="O118" s="206">
        <v>46107</v>
      </c>
      <c r="P118" s="206">
        <v>46111</v>
      </c>
      <c r="S118" s="206" t="s">
        <v>368</v>
      </c>
      <c r="T118" s="221" t="s">
        <v>10</v>
      </c>
      <c r="U118" s="210" t="str">
        <f>VLOOKUP($K118,Emp!$A$2:$E$347,5,0)</f>
        <v>SIVAPRASAD</v>
      </c>
      <c r="V118" s="225"/>
      <c r="W118" s="225"/>
      <c r="X118" s="225"/>
      <c r="Y118" s="209" t="e">
        <f t="array" ref="Y118">INDEX(RETAIL!$F:$F,MATCH(1,(RETAIL!$B:$B=B118)*(RETAIL!$N:$N=M118),0))</f>
        <v>#N/A</v>
      </c>
      <c r="Z118" s="221" t="e">
        <f>_xlfn.XLOOKUP(Y118,RETAIL!F:F,RETAIL!G:G)</f>
        <v>#N/A</v>
      </c>
      <c r="AB118" s="137" t="str">
        <f>_xlfn.XLOOKUP(D118,[2]MAR!$F:$F,[2]MAR!$H:$H)</f>
        <v>DISBURSED</v>
      </c>
    </row>
    <row r="119" hidden="1" customHeight="1" spans="1:28">
      <c r="A119" s="209">
        <v>118</v>
      </c>
      <c r="D119" s="137">
        <v>169505096</v>
      </c>
      <c r="E119" s="137">
        <v>169505096</v>
      </c>
      <c r="F119" s="137" t="s">
        <v>1638</v>
      </c>
      <c r="G119" s="204" t="s">
        <v>489</v>
      </c>
      <c r="H119" s="137">
        <v>306536</v>
      </c>
      <c r="I119" s="137" t="s">
        <v>507</v>
      </c>
      <c r="K119" s="203" t="s">
        <v>237</v>
      </c>
      <c r="L119" s="210" t="str">
        <f>VLOOKUP($K119,Emp!$A$2:$E$347,2,0)</f>
        <v>BHAGIESH</v>
      </c>
      <c r="M119" s="210" t="str">
        <f>VLOOKUP($K119,Emp!$A$2:$E$347,3,0)</f>
        <v>CHAVAKKAD</v>
      </c>
      <c r="N119" s="210" t="str">
        <f>VLOOKUP($K119,Emp!$A$2:$E$347,4,0)</f>
        <v>ARENA</v>
      </c>
      <c r="O119" s="206">
        <v>46106</v>
      </c>
      <c r="P119" s="206">
        <v>46107</v>
      </c>
      <c r="S119" s="206" t="s">
        <v>368</v>
      </c>
      <c r="T119" s="206" t="s">
        <v>10</v>
      </c>
      <c r="U119" s="210" t="str">
        <f>VLOOKUP($K119,Emp!$A$2:$E$347,5,0)</f>
        <v>SINTO</v>
      </c>
      <c r="V119" s="225"/>
      <c r="W119" s="225"/>
      <c r="X119" s="225"/>
      <c r="Y119" s="209" t="e">
        <f t="array" ref="Y119">INDEX(RETAIL!$F:$F,MATCH(1,(RETAIL!$B:$B=B119)*(RETAIL!$N:$N=M119),0))</f>
        <v>#N/A</v>
      </c>
      <c r="Z119" s="221" t="e">
        <f>_xlfn.XLOOKUP(Y119,RETAIL!F:F,RETAIL!G:G)</f>
        <v>#N/A</v>
      </c>
      <c r="AA119" s="202" t="s">
        <v>559</v>
      </c>
      <c r="AB119" s="137" t="str">
        <f>_xlfn.XLOOKUP(D119,[2]MAR!$F:$F,[2]MAR!$H:$H)</f>
        <v>DISBURSED</v>
      </c>
    </row>
    <row r="120" hidden="1" customHeight="1" spans="1:28">
      <c r="A120" s="209">
        <v>119</v>
      </c>
      <c r="D120" s="137" t="s">
        <v>1639</v>
      </c>
      <c r="E120" s="137" t="s">
        <v>1640</v>
      </c>
      <c r="F120" s="137" t="s">
        <v>1641</v>
      </c>
      <c r="G120" s="204" t="s">
        <v>434</v>
      </c>
      <c r="H120" s="137">
        <v>271588</v>
      </c>
      <c r="I120" s="137" t="s">
        <v>437</v>
      </c>
      <c r="K120" s="203" t="s">
        <v>91</v>
      </c>
      <c r="L120" s="210" t="str">
        <f>VLOOKUP($K120,Emp!$A$2:$E$347,2,0)</f>
        <v>SMITHIN P S</v>
      </c>
      <c r="M120" s="210" t="str">
        <f>VLOOKUP($K120,Emp!$A$2:$E$347,3,0)</f>
        <v>KAIPAMANGALAM</v>
      </c>
      <c r="N120" s="210" t="str">
        <f>VLOOKUP($K120,Emp!$A$2:$E$347,4,0)</f>
        <v>ARENA</v>
      </c>
      <c r="O120" s="206">
        <v>46106</v>
      </c>
      <c r="P120" s="206">
        <v>46108</v>
      </c>
      <c r="S120" s="206" t="s">
        <v>368</v>
      </c>
      <c r="T120" s="206" t="s">
        <v>10</v>
      </c>
      <c r="U120" s="210" t="str">
        <f>VLOOKUP($K120,Emp!$A$2:$E$347,5,0)</f>
        <v>JINEESH</v>
      </c>
      <c r="V120" s="225"/>
      <c r="W120" s="225"/>
      <c r="X120" s="225"/>
      <c r="Y120" s="209" t="e">
        <f t="array" ref="Y120">INDEX(RETAIL!$F:$F,MATCH(1,(RETAIL!$B:$B=B120)*(RETAIL!$N:$N=M120),0))</f>
        <v>#N/A</v>
      </c>
      <c r="Z120" s="221" t="e">
        <f>_xlfn.XLOOKUP(Y120,RETAIL!F:F,RETAIL!G:G)</f>
        <v>#N/A</v>
      </c>
      <c r="AB120" s="137" t="str">
        <f>_xlfn.XLOOKUP(D120,[2]MAR!$F:$F,[2]MAR!$H:$H)</f>
        <v>DISBURSED</v>
      </c>
    </row>
    <row r="121" hidden="1" customHeight="1" spans="1:28">
      <c r="A121" s="209">
        <v>120</v>
      </c>
      <c r="D121" s="137" t="s">
        <v>1642</v>
      </c>
      <c r="F121" s="137" t="s">
        <v>1643</v>
      </c>
      <c r="G121" s="222" t="s">
        <v>434</v>
      </c>
      <c r="H121" s="212">
        <v>400000</v>
      </c>
      <c r="I121" s="137" t="s">
        <v>366</v>
      </c>
      <c r="K121" s="203" t="s">
        <v>90</v>
      </c>
      <c r="L121" s="210" t="str">
        <f>VLOOKUP($K121,Emp!$A$2:$E$347,2,0)</f>
        <v>RATISH K R</v>
      </c>
      <c r="M121" s="210" t="str">
        <f>VLOOKUP($K121,Emp!$A$2:$E$347,3,0)</f>
        <v>KADAVANTHRA</v>
      </c>
      <c r="N121" s="210" t="str">
        <f>VLOOKUP($K121,Emp!$A$2:$E$347,4,0)</f>
        <v>ARENA</v>
      </c>
      <c r="O121" s="206">
        <v>46108</v>
      </c>
      <c r="S121" s="206" t="s">
        <v>300</v>
      </c>
      <c r="T121" s="206" t="s">
        <v>1430</v>
      </c>
      <c r="U121" s="210" t="str">
        <f>VLOOKUP($K121,Emp!$A$2:$E$347,5,0)</f>
        <v>SALMAN</v>
      </c>
      <c r="V121" s="225"/>
      <c r="W121" s="225"/>
      <c r="X121" s="225"/>
      <c r="Y121" s="209" t="e">
        <f t="array" ref="Y121">INDEX(RETAIL!$F:$F,MATCH(1,(RETAIL!$B:$B=B121)*(RETAIL!$N:$N=M121),0))</f>
        <v>#N/A</v>
      </c>
      <c r="Z121" s="221" t="e">
        <f>_xlfn.XLOOKUP(Y121,RETAIL!F:F,RETAIL!G:G)</f>
        <v>#N/A</v>
      </c>
      <c r="AB121" s="137" t="str">
        <f>_xlfn.XLOOKUP(D121,[2]MAR!$F:$F,[2]MAR!$H:$H)</f>
        <v>APPLIED</v>
      </c>
    </row>
    <row r="122" hidden="1" customHeight="1" spans="1:28">
      <c r="A122" s="209">
        <v>121</v>
      </c>
      <c r="B122" s="214" t="s">
        <v>1286</v>
      </c>
      <c r="C122" s="214">
        <v>2567809659</v>
      </c>
      <c r="D122" s="142" t="s">
        <v>1644</v>
      </c>
      <c r="E122" s="137" t="s">
        <v>1644</v>
      </c>
      <c r="F122" s="137" t="s">
        <v>1289</v>
      </c>
      <c r="G122" s="204" t="s">
        <v>434</v>
      </c>
      <c r="H122" s="137">
        <v>457700</v>
      </c>
      <c r="I122" s="137" t="s">
        <v>648</v>
      </c>
      <c r="K122" s="203" t="s">
        <v>240</v>
      </c>
      <c r="L122" s="210" t="str">
        <f>VLOOKUP($K122,Emp!$A$2:$E$347,2,0)</f>
        <v>SACHIN</v>
      </c>
      <c r="M122" s="210" t="str">
        <f>VLOOKUP($K122,Emp!$A$2:$E$347,3,0)</f>
        <v>KODUNGALLUR</v>
      </c>
      <c r="N122" s="210" t="str">
        <f>VLOOKUP($K122,Emp!$A$2:$E$347,4,0)</f>
        <v>ARENA</v>
      </c>
      <c r="O122" s="206">
        <v>46107</v>
      </c>
      <c r="P122" s="206">
        <v>46109</v>
      </c>
      <c r="Q122" s="137">
        <f>H122*R122</f>
        <v>11442.5</v>
      </c>
      <c r="R122" s="207">
        <v>0.025</v>
      </c>
      <c r="S122" s="206" t="s">
        <v>368</v>
      </c>
      <c r="T122" s="206" t="s">
        <v>10</v>
      </c>
      <c r="U122" s="210" t="str">
        <f>VLOOKUP($K122,Emp!$A$2:$E$347,5,0)</f>
        <v>JINEESH</v>
      </c>
      <c r="V122" s="225"/>
      <c r="W122" s="225"/>
      <c r="X122" s="225"/>
      <c r="Y122" s="209" t="str">
        <f t="array" ref="Y122">INDEX(RETAIL!$F:$F,MATCH(1,(RETAIL!$B:$B=B122)*(RETAIL!$N:$N=M122),0))</f>
        <v>72/VSL/25000159</v>
      </c>
      <c r="Z122" s="221">
        <f>_xlfn.XLOOKUP(Y122,RETAIL!F:F,RETAIL!G:G)</f>
        <v>46108</v>
      </c>
      <c r="AA122" s="202" t="s">
        <v>1444</v>
      </c>
      <c r="AB122" s="137" t="str">
        <f>_xlfn.XLOOKUP(D122,[2]MAR!$F:$F,[2]MAR!$H:$H)</f>
        <v>DISBURSED</v>
      </c>
    </row>
    <row r="123" hidden="1" customHeight="1" spans="1:28">
      <c r="A123" s="209">
        <v>122</v>
      </c>
      <c r="D123" s="137" t="s">
        <v>1645</v>
      </c>
      <c r="F123" s="137" t="s">
        <v>1646</v>
      </c>
      <c r="G123" s="204" t="s">
        <v>489</v>
      </c>
      <c r="H123" s="212">
        <v>400000</v>
      </c>
      <c r="I123" s="137" t="s">
        <v>411</v>
      </c>
      <c r="K123" s="203" t="s">
        <v>190</v>
      </c>
      <c r="L123" s="210" t="str">
        <f>VLOOKUP($K123,Emp!$A$2:$E$347,2,0)</f>
        <v>ANAND K V</v>
      </c>
      <c r="M123" s="210" t="str">
        <f>VLOOKUP($K123,Emp!$A$2:$E$347,3,0)</f>
        <v>KOLENCHERY</v>
      </c>
      <c r="N123" s="210" t="str">
        <f>VLOOKUP($K123,Emp!$A$2:$E$347,4,0)</f>
        <v>ARENA</v>
      </c>
      <c r="O123" s="206">
        <v>46109</v>
      </c>
      <c r="S123" s="206" t="s">
        <v>300</v>
      </c>
      <c r="T123" s="206" t="s">
        <v>1430</v>
      </c>
      <c r="U123" s="210" t="str">
        <f>VLOOKUP($K123,Emp!$A$2:$E$347,5,0)</f>
        <v>AMAL</v>
      </c>
      <c r="V123" s="225"/>
      <c r="W123" s="225"/>
      <c r="X123" s="225"/>
      <c r="Y123" s="209" t="e">
        <f t="array" ref="Y123">INDEX(RETAIL!$F:$F,MATCH(1,(RETAIL!$B:$B=B123)*(RETAIL!$N:$N=M123),0))</f>
        <v>#N/A</v>
      </c>
      <c r="Z123" s="221" t="e">
        <f>_xlfn.XLOOKUP(Y123,RETAIL!F:F,RETAIL!G:G)</f>
        <v>#N/A</v>
      </c>
      <c r="AB123" s="137" t="str">
        <f>_xlfn.XLOOKUP(D123,[2]MAR!$F:$F,[2]MAR!$H:$H)</f>
        <v>UNDER PROCESS</v>
      </c>
    </row>
    <row r="124" hidden="1" customHeight="1" spans="1:28">
      <c r="A124" s="209">
        <v>123</v>
      </c>
      <c r="D124" s="137" t="s">
        <v>1463</v>
      </c>
      <c r="E124" s="137" t="s">
        <v>1647</v>
      </c>
      <c r="F124" s="137" t="s">
        <v>1648</v>
      </c>
      <c r="G124" s="204" t="s">
        <v>532</v>
      </c>
      <c r="H124" s="137">
        <v>448220</v>
      </c>
      <c r="I124" s="137" t="s">
        <v>796</v>
      </c>
      <c r="J124" s="137" t="s">
        <v>1649</v>
      </c>
      <c r="K124" s="203" t="s">
        <v>55</v>
      </c>
      <c r="L124" s="210" t="str">
        <f>VLOOKUP($K124,Emp!$A$2:$E$347,2,0)</f>
        <v>ELDHO A JACOB</v>
      </c>
      <c r="M124" s="210" t="str">
        <f>VLOOKUP($K124,Emp!$A$2:$E$347,3,0)</f>
        <v>ANGAMALY</v>
      </c>
      <c r="N124" s="210" t="str">
        <f>VLOOKUP($K124,Emp!$A$2:$E$347,4,0)</f>
        <v>ARENA</v>
      </c>
      <c r="O124" s="206">
        <v>46108</v>
      </c>
      <c r="P124" s="206">
        <v>46109</v>
      </c>
      <c r="S124" s="206" t="s">
        <v>368</v>
      </c>
      <c r="T124" s="206" t="s">
        <v>356</v>
      </c>
      <c r="U124" s="210" t="str">
        <f>VLOOKUP($K124,Emp!$A$2:$E$347,5,0)</f>
        <v>SALMAN</v>
      </c>
      <c r="V124" s="225"/>
      <c r="W124" s="225"/>
      <c r="X124" s="225"/>
      <c r="Y124" s="209" t="e">
        <f t="array" ref="Y124">INDEX(RETAIL!$F:$F,MATCH(1,(RETAIL!$B:$B=B124)*(RETAIL!$N:$N=M124),0))</f>
        <v>#N/A</v>
      </c>
      <c r="Z124" s="221" t="e">
        <f>_xlfn.XLOOKUP(Y124,RETAIL!F:F,RETAIL!G:G)</f>
        <v>#N/A</v>
      </c>
      <c r="AB124" s="137" t="e">
        <f>_xlfn.XLOOKUP(D124,[2]MAR!$F:$F,[2]MAR!$H:$H)</f>
        <v>#N/A</v>
      </c>
    </row>
    <row r="125" hidden="1" customHeight="1" spans="1:28">
      <c r="A125" s="209">
        <v>124</v>
      </c>
      <c r="B125" s="218" t="s">
        <v>1405</v>
      </c>
      <c r="C125" s="218">
        <v>2566904042</v>
      </c>
      <c r="D125" s="137" t="s">
        <v>1650</v>
      </c>
      <c r="E125" s="137" t="s">
        <v>1651</v>
      </c>
      <c r="F125" s="137" t="s">
        <v>1410</v>
      </c>
      <c r="G125" s="204" t="s">
        <v>489</v>
      </c>
      <c r="H125" s="137">
        <v>593746</v>
      </c>
      <c r="I125" s="137" t="s">
        <v>437</v>
      </c>
      <c r="K125" s="203" t="s">
        <v>115</v>
      </c>
      <c r="L125" s="210" t="str">
        <f>VLOOKUP($K125,Emp!$A$2:$E$347,2,0)</f>
        <v>ARUN BABU</v>
      </c>
      <c r="M125" s="210" t="str">
        <f>VLOOKUP($K125,Emp!$A$2:$E$347,3,0)</f>
        <v>KOOTHATTUKULAM</v>
      </c>
      <c r="N125" s="210" t="str">
        <f>VLOOKUP($K125,Emp!$A$2:$E$347,4,0)</f>
        <v>ARENA</v>
      </c>
      <c r="O125" s="206">
        <v>46108</v>
      </c>
      <c r="P125" s="206">
        <v>46109</v>
      </c>
      <c r="S125" s="206" t="s">
        <v>368</v>
      </c>
      <c r="T125" s="206" t="s">
        <v>10</v>
      </c>
      <c r="U125" s="210" t="str">
        <f>VLOOKUP($K125,Emp!$A$2:$E$347,5,0)</f>
        <v>AMAL</v>
      </c>
      <c r="V125" s="225"/>
      <c r="W125" s="225"/>
      <c r="X125" s="225"/>
      <c r="Y125" s="209" t="str">
        <f t="array" ref="Y125">INDEX(RETAIL!$F:$F,MATCH(1,(RETAIL!$B:$B=B125)*(RETAIL!$N:$N=M125),0))</f>
        <v>88/VSL/25000188</v>
      </c>
      <c r="Z125" s="221">
        <f>_xlfn.XLOOKUP(Y125,RETAIL!F:F,RETAIL!G:G)</f>
        <v>46109</v>
      </c>
      <c r="AA125" s="202" t="s">
        <v>559</v>
      </c>
      <c r="AB125" s="137" t="e">
        <f>_xlfn.XLOOKUP(D125,[2]MAR!$F:$F,[2]MAR!$H:$H)</f>
        <v>#N/A</v>
      </c>
    </row>
    <row r="126" customHeight="1" spans="1:28">
      <c r="A126" s="209">
        <v>125</v>
      </c>
      <c r="B126" s="218" t="s">
        <v>1329</v>
      </c>
      <c r="C126" s="218">
        <v>2567678751</v>
      </c>
      <c r="D126" s="137">
        <v>169622896</v>
      </c>
      <c r="E126" s="137">
        <v>169622896</v>
      </c>
      <c r="F126" s="137" t="s">
        <v>1652</v>
      </c>
      <c r="G126" s="204" t="s">
        <v>489</v>
      </c>
      <c r="H126" s="137">
        <v>666000</v>
      </c>
      <c r="I126" s="137" t="s">
        <v>507</v>
      </c>
      <c r="K126" s="203" t="s">
        <v>152</v>
      </c>
      <c r="L126" s="210" t="str">
        <f>VLOOKUP($K126,Emp!$A$2:$E$347,2,0)</f>
        <v>SANDEEP P</v>
      </c>
      <c r="M126" s="210" t="str">
        <f>VLOOKUP($K126,Emp!$A$2:$E$347,3,0)</f>
        <v>NEXA COCHIN</v>
      </c>
      <c r="N126" s="210" t="str">
        <f>VLOOKUP($K126,Emp!$A$2:$E$347,4,0)</f>
        <v>NEXA COCHIN</v>
      </c>
      <c r="O126" s="206">
        <v>46108</v>
      </c>
      <c r="P126" s="206">
        <v>46109</v>
      </c>
      <c r="S126" s="206" t="s">
        <v>368</v>
      </c>
      <c r="T126" s="221" t="s">
        <v>10</v>
      </c>
      <c r="U126" s="210" t="str">
        <f>VLOOKUP($K126,Emp!$A$2:$E$347,5,0)</f>
        <v>WILSON</v>
      </c>
      <c r="V126" s="225"/>
      <c r="W126" s="225"/>
      <c r="X126" s="225"/>
      <c r="Y126" s="209" t="str">
        <f t="array" ref="Y126">INDEX(RETAIL!$F:$F,MATCH(1,(RETAIL!$B:$B=B126)*(RETAIL!$N:$N=M126),0))</f>
        <v>40/VSL/25001517</v>
      </c>
      <c r="Z126" s="221">
        <f>_xlfn.XLOOKUP(Y126,RETAIL!F:F,RETAIL!G:G)</f>
        <v>46109</v>
      </c>
      <c r="AB126" s="137" t="str">
        <f>_xlfn.XLOOKUP(D126,[2]MAR!$F:$F,[2]MAR!$H:$H)</f>
        <v>SANCTIONED</v>
      </c>
    </row>
    <row r="127" hidden="1" customHeight="1" spans="1:28">
      <c r="A127" s="209">
        <v>126</v>
      </c>
      <c r="B127" s="218" t="s">
        <v>1308</v>
      </c>
      <c r="C127" s="218">
        <v>2567869296</v>
      </c>
      <c r="D127" s="137" t="s">
        <v>1653</v>
      </c>
      <c r="E127" s="137" t="s">
        <v>1654</v>
      </c>
      <c r="F127" s="137" t="s">
        <v>1312</v>
      </c>
      <c r="G127" s="204" t="s">
        <v>353</v>
      </c>
      <c r="H127" s="137">
        <v>696755</v>
      </c>
      <c r="I127" s="137" t="s">
        <v>633</v>
      </c>
      <c r="J127" s="137" t="s">
        <v>29</v>
      </c>
      <c r="K127" s="203" t="s">
        <v>161</v>
      </c>
      <c r="L127" s="210" t="str">
        <f>VLOOKUP($K127,Emp!$A$2:$E$347,2,0)</f>
        <v>SIJO VARGHESE GEORGE</v>
      </c>
      <c r="M127" s="210" t="str">
        <f>VLOOKUP($K127,Emp!$A$2:$E$347,3,0)</f>
        <v>PERUMBAVOOR</v>
      </c>
      <c r="N127" s="210" t="str">
        <f>VLOOKUP($K127,Emp!$A$2:$E$347,4,0)</f>
        <v>ARENA</v>
      </c>
      <c r="O127" s="206">
        <v>46109</v>
      </c>
      <c r="P127" s="206">
        <v>46109</v>
      </c>
      <c r="S127" s="206" t="s">
        <v>368</v>
      </c>
      <c r="T127" s="221" t="s">
        <v>10</v>
      </c>
      <c r="U127" s="210" t="str">
        <f>VLOOKUP($K127,Emp!$A$2:$E$347,5,0)</f>
        <v>SALMAN</v>
      </c>
      <c r="V127" s="225"/>
      <c r="W127" s="225"/>
      <c r="X127" s="225"/>
      <c r="Y127" s="209" t="str">
        <f t="array" ref="Y127">INDEX(RETAIL!$F:$F,MATCH(1,(RETAIL!$B:$B=B127)*(RETAIL!$N:$N=M127),0))</f>
        <v>126/VSL/25000123</v>
      </c>
      <c r="Z127" s="221">
        <f>_xlfn.XLOOKUP(Y127,RETAIL!F:F,RETAIL!G:G)</f>
        <v>46109</v>
      </c>
      <c r="AA127" s="202" t="s">
        <v>559</v>
      </c>
      <c r="AB127" s="137" t="str">
        <f>_xlfn.XLOOKUP(D127,[2]MAR!$F:$F,[2]MAR!$H:$H)</f>
        <v>DISBURSED</v>
      </c>
    </row>
    <row r="128" customHeight="1" spans="1:28">
      <c r="A128" s="209">
        <v>127</v>
      </c>
      <c r="B128" s="218" t="s">
        <v>1313</v>
      </c>
      <c r="C128" s="218">
        <v>2565808722</v>
      </c>
      <c r="D128" s="142" t="s">
        <v>1655</v>
      </c>
      <c r="E128" s="137" t="s">
        <v>1656</v>
      </c>
      <c r="F128" s="137" t="s">
        <v>1317</v>
      </c>
      <c r="G128" s="204" t="s">
        <v>363</v>
      </c>
      <c r="H128" s="137">
        <v>521000</v>
      </c>
      <c r="I128" s="137" t="s">
        <v>777</v>
      </c>
      <c r="K128" s="203" t="s">
        <v>73</v>
      </c>
      <c r="L128" s="210" t="str">
        <f>VLOOKUP($K128,Emp!$A$2:$E$347,2,0)</f>
        <v>NOUFAL T A</v>
      </c>
      <c r="M128" s="210" t="str">
        <f>VLOOKUP($K128,Emp!$A$2:$E$347,3,0)</f>
        <v>EDAPPALLY</v>
      </c>
      <c r="N128" s="210" t="str">
        <f>VLOOKUP($K128,Emp!$A$2:$E$347,4,0)</f>
        <v>ARENA</v>
      </c>
      <c r="O128" s="206">
        <v>46108</v>
      </c>
      <c r="P128" s="206">
        <v>46109</v>
      </c>
      <c r="Q128" s="137">
        <v>10420</v>
      </c>
      <c r="R128" s="207">
        <f>Q128/H128</f>
        <v>0.02</v>
      </c>
      <c r="S128" s="206" t="s">
        <v>368</v>
      </c>
      <c r="T128" s="221" t="s">
        <v>10</v>
      </c>
      <c r="U128" s="210" t="str">
        <f>VLOOKUP($K128,Emp!$A$2:$E$347,5,0)</f>
        <v>SIVAPRASAD</v>
      </c>
      <c r="V128" s="225"/>
      <c r="W128" s="225"/>
      <c r="X128" s="225"/>
      <c r="Y128" s="209" t="str">
        <f t="array" ref="Y128">INDEX(RETAIL!$F:$F,MATCH(1,(RETAIL!$B:$B=B128)*(RETAIL!$N:$N=M128),0))</f>
        <v>40/VSL/25001514</v>
      </c>
      <c r="Z128" s="221">
        <f>_xlfn.XLOOKUP(Y128,RETAIL!F:F,RETAIL!G:G)</f>
        <v>46109</v>
      </c>
      <c r="AB128" s="137" t="str">
        <f>_xlfn.XLOOKUP(D128,[2]MAR!$F:$F,[2]MAR!$H:$H)</f>
        <v>SANCTIONED</v>
      </c>
    </row>
    <row r="129" hidden="1" customHeight="1" spans="1:28">
      <c r="A129" s="209">
        <v>128</v>
      </c>
      <c r="D129" s="137" t="s">
        <v>1657</v>
      </c>
      <c r="E129" s="137" t="s">
        <v>1658</v>
      </c>
      <c r="F129" s="137" t="s">
        <v>1659</v>
      </c>
      <c r="G129" s="204" t="s">
        <v>363</v>
      </c>
      <c r="H129" s="137">
        <v>362000</v>
      </c>
      <c r="I129" s="137" t="s">
        <v>777</v>
      </c>
      <c r="K129" s="203" t="s">
        <v>103</v>
      </c>
      <c r="L129" s="210" t="str">
        <f>VLOOKUP($K129,Emp!$A$2:$E$347,2,0)</f>
        <v>BINOY RAJ</v>
      </c>
      <c r="M129" s="210" t="str">
        <f>VLOOKUP($K129,Emp!$A$2:$E$347,3,0)</f>
        <v>KODUNGALLUR</v>
      </c>
      <c r="N129" s="210" t="str">
        <f>VLOOKUP($K129,Emp!$A$2:$E$347,4,0)</f>
        <v>ARENA</v>
      </c>
      <c r="O129" s="206">
        <v>46108</v>
      </c>
      <c r="P129" s="206">
        <v>46109</v>
      </c>
      <c r="Q129" s="137">
        <v>7000</v>
      </c>
      <c r="R129" s="207">
        <f>Q129/H129</f>
        <v>0.0193370165745856</v>
      </c>
      <c r="S129" s="206" t="s">
        <v>368</v>
      </c>
      <c r="T129" s="206" t="s">
        <v>1430</v>
      </c>
      <c r="U129" s="210" t="str">
        <f>VLOOKUP($K129,Emp!$A$2:$E$347,5,0)</f>
        <v>JINEESH</v>
      </c>
      <c r="V129" s="225"/>
      <c r="W129" s="225"/>
      <c r="X129" s="225"/>
      <c r="Y129" s="209" t="e">
        <f t="array" ref="Y129">INDEX(RETAIL!$F:$F,MATCH(1,(RETAIL!$B:$B=B129)*(RETAIL!$N:$N=M129),0))</f>
        <v>#N/A</v>
      </c>
      <c r="Z129" s="221" t="e">
        <f>_xlfn.XLOOKUP(Y129,RETAIL!F:F,RETAIL!G:G)</f>
        <v>#N/A</v>
      </c>
      <c r="AB129" s="137" t="e">
        <f>_xlfn.XLOOKUP(D129,[2]MAR!$F:$F,[2]MAR!$H:$H)</f>
        <v>#N/A</v>
      </c>
    </row>
    <row r="130" hidden="1" customHeight="1" spans="1:28">
      <c r="A130" s="209">
        <v>129</v>
      </c>
      <c r="E130" s="137" t="s">
        <v>1660</v>
      </c>
      <c r="F130" s="137" t="s">
        <v>1661</v>
      </c>
      <c r="G130" s="204" t="s">
        <v>363</v>
      </c>
      <c r="H130" s="137">
        <v>539350</v>
      </c>
      <c r="I130" s="137" t="s">
        <v>553</v>
      </c>
      <c r="K130" s="203" t="s">
        <v>214</v>
      </c>
      <c r="L130" s="210" t="str">
        <f>VLOOKUP($K130,Emp!$A$2:$E$347,2,0)</f>
        <v>VIBIN I B</v>
      </c>
      <c r="M130" s="210" t="str">
        <f>VLOOKUP($K130,Emp!$A$2:$E$347,3,0)</f>
        <v>KAIPAMANGALAM</v>
      </c>
      <c r="N130" s="210" t="str">
        <f>VLOOKUP($K130,Emp!$A$2:$E$347,4,0)</f>
        <v>ARENA</v>
      </c>
      <c r="O130" s="206">
        <v>46108</v>
      </c>
      <c r="P130" s="206">
        <v>46111</v>
      </c>
      <c r="S130" s="206" t="s">
        <v>368</v>
      </c>
      <c r="T130" s="206" t="s">
        <v>1430</v>
      </c>
      <c r="U130" s="210" t="str">
        <f>VLOOKUP($K130,Emp!$A$2:$E$347,5,0)</f>
        <v>JINEESH</v>
      </c>
      <c r="V130" s="225"/>
      <c r="W130" s="225"/>
      <c r="X130" s="225"/>
      <c r="Y130" s="209" t="e">
        <f t="array" ref="Y130">INDEX(RETAIL!$F:$F,MATCH(1,(RETAIL!$B:$B=B130)*(RETAIL!$N:$N=M130),0))</f>
        <v>#N/A</v>
      </c>
      <c r="Z130" s="221" t="e">
        <f>_xlfn.XLOOKUP(Y130,RETAIL!F:F,RETAIL!G:G)</f>
        <v>#N/A</v>
      </c>
      <c r="AB130" s="137" t="str">
        <f>_xlfn.XLOOKUP(D130,[2]MAR!$F:$F,[2]MAR!$H:$H)</f>
        <v>RETRY OPT OUT</v>
      </c>
    </row>
    <row r="131" hidden="1" customHeight="1" spans="1:28">
      <c r="A131" s="209">
        <v>130</v>
      </c>
      <c r="B131" s="218" t="s">
        <v>1302</v>
      </c>
      <c r="C131" s="218">
        <v>2567830911</v>
      </c>
      <c r="D131" s="137" t="s">
        <v>1463</v>
      </c>
      <c r="E131" s="137" t="s">
        <v>1662</v>
      </c>
      <c r="F131" s="137" t="s">
        <v>1307</v>
      </c>
      <c r="G131" s="204" t="s">
        <v>363</v>
      </c>
      <c r="H131" s="137">
        <v>630979</v>
      </c>
      <c r="I131" s="137" t="s">
        <v>366</v>
      </c>
      <c r="J131" s="137" t="s">
        <v>1663</v>
      </c>
      <c r="K131" s="203" t="s">
        <v>165</v>
      </c>
      <c r="L131" s="210" t="str">
        <f>VLOOKUP($K131,Emp!$A$2:$E$347,2,0)</f>
        <v>JESTIN UTHUP JOHN</v>
      </c>
      <c r="M131" s="210" t="str">
        <f>VLOOKUP($K131,Emp!$A$2:$E$347,3,0)</f>
        <v>PIRAVOM</v>
      </c>
      <c r="N131" s="210" t="str">
        <f>VLOOKUP($K131,Emp!$A$2:$E$347,4,0)</f>
        <v>ARENA</v>
      </c>
      <c r="O131" s="206">
        <v>46108</v>
      </c>
      <c r="P131" s="206">
        <v>46111</v>
      </c>
      <c r="Q131" s="137">
        <f>H131*R131</f>
        <v>8202.727</v>
      </c>
      <c r="R131" s="207">
        <v>0.013</v>
      </c>
      <c r="S131" s="206" t="s">
        <v>368</v>
      </c>
      <c r="T131" s="206" t="s">
        <v>356</v>
      </c>
      <c r="U131" s="210" t="str">
        <f>VLOOKUP($K131,Emp!$A$2:$E$347,5,0)</f>
        <v>AMAL</v>
      </c>
      <c r="V131" s="225"/>
      <c r="W131" s="225"/>
      <c r="X131" s="225"/>
      <c r="Y131" s="209" t="str">
        <f t="array" ref="Y131">INDEX(RETAIL!$F:$F,MATCH(1,(RETAIL!$B:$B=B131)*(RETAIL!$N:$N=M131),0))</f>
        <v>118/VSL25000109</v>
      </c>
      <c r="Z131" s="221">
        <f>_xlfn.XLOOKUP(Y131,RETAIL!F:F,RETAIL!G:G)</f>
        <v>46109</v>
      </c>
      <c r="AB131" s="137" t="e">
        <f>_xlfn.XLOOKUP(D131,[2]MAR!$F:$F,[2]MAR!$H:$H)</f>
        <v>#N/A</v>
      </c>
    </row>
    <row r="132" hidden="1" customHeight="1" spans="1:28">
      <c r="A132" s="137">
        <v>131</v>
      </c>
      <c r="D132" s="137" t="s">
        <v>1664</v>
      </c>
      <c r="F132" s="137" t="s">
        <v>1665</v>
      </c>
      <c r="G132" s="204" t="s">
        <v>443</v>
      </c>
      <c r="H132" s="212">
        <v>400000</v>
      </c>
      <c r="I132" s="137" t="s">
        <v>411</v>
      </c>
      <c r="K132" s="203" t="s">
        <v>73</v>
      </c>
      <c r="L132" s="210" t="str">
        <f>VLOOKUP($K132,Emp!$A$2:$E$347,2,0)</f>
        <v>NOUFAL T A</v>
      </c>
      <c r="M132" s="210" t="str">
        <f>VLOOKUP($K132,Emp!$A$2:$E$347,3,0)</f>
        <v>EDAPPALLY</v>
      </c>
      <c r="N132" s="210" t="str">
        <f>VLOOKUP($K132,Emp!$A$2:$E$347,4,0)</f>
        <v>ARENA</v>
      </c>
      <c r="O132" s="206">
        <v>46111</v>
      </c>
      <c r="S132" s="206" t="s">
        <v>300</v>
      </c>
      <c r="T132" s="206" t="s">
        <v>1430</v>
      </c>
      <c r="U132" s="210" t="str">
        <f>VLOOKUP($K132,Emp!$A$2:$E$347,5,0)</f>
        <v>SIVAPRASAD</v>
      </c>
      <c r="V132" s="225"/>
      <c r="W132" s="225"/>
      <c r="X132" s="225"/>
      <c r="Y132" s="209" t="e">
        <f t="array" ref="Y132">INDEX(RETAIL!$F:$F,MATCH(1,(RETAIL!$B:$B=B132)*(RETAIL!$N:$N=M132),0))</f>
        <v>#N/A</v>
      </c>
      <c r="Z132" s="221" t="e">
        <f>_xlfn.XLOOKUP(Y132,RETAIL!F:F,RETAIL!G:G)</f>
        <v>#N/A</v>
      </c>
      <c r="AB132" s="137" t="e">
        <f>_xlfn.XLOOKUP(D132,[2]MAR!$F:$F,[2]MAR!$H:$H)</f>
        <v>#N/A</v>
      </c>
    </row>
  </sheetData>
  <autoFilter xmlns:etc="http://www.wps.cn/officeDocument/2017/etCustomData" ref="A1:AB132" etc:filterBottomFollowUsedRange="0">
    <filterColumn colId="18">
      <filters>
        <filter val="DISBURSED"/>
      </filters>
    </filterColumn>
    <filterColumn colId="19">
      <filters>
        <filter val="MSSF LOGIN"/>
      </filters>
    </filterColumn>
    <filterColumn colId="27">
      <filters>
        <filter val="SANCTIONED"/>
      </filters>
    </filterColumn>
    <extLst/>
  </autoFilter>
  <conditionalFormatting sqref="B5:C5">
    <cfRule type="expression" dxfId="4" priority="104">
      <formula>$A5&lt;&gt;""</formula>
    </cfRule>
  </conditionalFormatting>
  <conditionalFormatting sqref="B9:C9">
    <cfRule type="expression" dxfId="4" priority="175">
      <formula>$A9&lt;&gt;""</formula>
    </cfRule>
  </conditionalFormatting>
  <conditionalFormatting sqref="B10:C10">
    <cfRule type="expression" dxfId="4" priority="152">
      <formula>$A10&lt;&gt;""</formula>
    </cfRule>
  </conditionalFormatting>
  <conditionalFormatting sqref="T10">
    <cfRule type="expression" dxfId="4" priority="64">
      <formula>$A10&lt;&gt;""</formula>
    </cfRule>
  </conditionalFormatting>
  <conditionalFormatting sqref="B13:C13">
    <cfRule type="expression" dxfId="4" priority="158">
      <formula>$A13&lt;&gt;""</formula>
    </cfRule>
  </conditionalFormatting>
  <conditionalFormatting sqref="B14:C14">
    <cfRule type="expression" dxfId="4" priority="190">
      <formula>$A14&lt;&gt;""</formula>
    </cfRule>
  </conditionalFormatting>
  <conditionalFormatting sqref="T14">
    <cfRule type="expression" dxfId="4" priority="58">
      <formula>$A14&lt;&gt;""</formula>
    </cfRule>
  </conditionalFormatting>
  <conditionalFormatting sqref="T15">
    <cfRule type="expression" dxfId="4" priority="81">
      <formula>$A15&lt;&gt;""</formula>
    </cfRule>
  </conditionalFormatting>
  <conditionalFormatting sqref="B16:C16">
    <cfRule type="expression" dxfId="4" priority="185">
      <formula>$A16&lt;&gt;""</formula>
    </cfRule>
  </conditionalFormatting>
  <conditionalFormatting sqref="B17:C17">
    <cfRule type="expression" dxfId="4" priority="170">
      <formula>$A17&lt;&gt;""</formula>
    </cfRule>
  </conditionalFormatting>
  <conditionalFormatting sqref="E17">
    <cfRule type="duplicateValues" dxfId="1" priority="187"/>
  </conditionalFormatting>
  <conditionalFormatting sqref="B18:C18">
    <cfRule type="expression" dxfId="4" priority="178">
      <formula>$A18&lt;&gt;""</formula>
    </cfRule>
  </conditionalFormatting>
  <conditionalFormatting sqref="B19:C19">
    <cfRule type="expression" dxfId="4" priority="184">
      <formula>$A19&lt;&gt;""</formula>
    </cfRule>
  </conditionalFormatting>
  <conditionalFormatting sqref="B20:C20">
    <cfRule type="expression" dxfId="4" priority="180">
      <formula>$A20&lt;&gt;""</formula>
    </cfRule>
  </conditionalFormatting>
  <conditionalFormatting sqref="E20">
    <cfRule type="duplicateValues" dxfId="1" priority="192"/>
  </conditionalFormatting>
  <conditionalFormatting sqref="G22">
    <cfRule type="expression" dxfId="4" priority="119">
      <formula>$A22&lt;&gt;""</formula>
    </cfRule>
  </conditionalFormatting>
  <conditionalFormatting sqref="B23:C23">
    <cfRule type="expression" dxfId="4" priority="188">
      <formula>$A23&lt;&gt;""</formula>
    </cfRule>
  </conditionalFormatting>
  <conditionalFormatting sqref="B24:C24">
    <cfRule type="expression" dxfId="4" priority="191">
      <formula>$A24&lt;&gt;""</formula>
    </cfRule>
  </conditionalFormatting>
  <conditionalFormatting sqref="B25:C25">
    <cfRule type="expression" dxfId="4" priority="183">
      <formula>$A25&lt;&gt;""</formula>
    </cfRule>
  </conditionalFormatting>
  <conditionalFormatting sqref="B26:C26">
    <cfRule type="expression" dxfId="4" priority="163">
      <formula>$A26&lt;&gt;""</formula>
    </cfRule>
  </conditionalFormatting>
  <conditionalFormatting sqref="B27:C27">
    <cfRule type="expression" dxfId="4" priority="179">
      <formula>$A27&lt;&gt;""</formula>
    </cfRule>
  </conditionalFormatting>
  <conditionalFormatting sqref="B28:C28">
    <cfRule type="expression" dxfId="4" priority="182">
      <formula>$A28&lt;&gt;""</formula>
    </cfRule>
  </conditionalFormatting>
  <conditionalFormatting sqref="B29:C29">
    <cfRule type="expression" dxfId="4" priority="171">
      <formula>$A29&lt;&gt;""</formula>
    </cfRule>
  </conditionalFormatting>
  <conditionalFormatting sqref="T29">
    <cfRule type="expression" dxfId="4" priority="57">
      <formula>$A29&lt;&gt;""</formula>
    </cfRule>
  </conditionalFormatting>
  <conditionalFormatting sqref="B30:C30">
    <cfRule type="expression" dxfId="4" priority="181">
      <formula>$A30&lt;&gt;""</formula>
    </cfRule>
  </conditionalFormatting>
  <conditionalFormatting sqref="G30">
    <cfRule type="expression" dxfId="4" priority="118">
      <formula>$A30&lt;&gt;""</formula>
    </cfRule>
  </conditionalFormatting>
  <conditionalFormatting sqref="B31:C31">
    <cfRule type="expression" dxfId="4" priority="177">
      <formula>$A31&lt;&gt;""</formula>
    </cfRule>
  </conditionalFormatting>
  <conditionalFormatting sqref="B32:C32">
    <cfRule type="expression" dxfId="4" priority="186">
      <formula>$A32&lt;&gt;""</formula>
    </cfRule>
  </conditionalFormatting>
  <conditionalFormatting sqref="B33:C33">
    <cfRule type="expression" dxfId="4" priority="176">
      <formula>$A33&lt;&gt;""</formula>
    </cfRule>
  </conditionalFormatting>
  <conditionalFormatting sqref="G35">
    <cfRule type="expression" dxfId="4" priority="117">
      <formula>$A35&lt;&gt;""</formula>
    </cfRule>
  </conditionalFormatting>
  <conditionalFormatting sqref="B37:C37">
    <cfRule type="expression" dxfId="4" priority="160">
      <formula>$A37&lt;&gt;""</formula>
    </cfRule>
  </conditionalFormatting>
  <conditionalFormatting sqref="T37">
    <cfRule type="expression" dxfId="4" priority="63">
      <formula>$A37&lt;&gt;""</formula>
    </cfRule>
  </conditionalFormatting>
  <conditionalFormatting sqref="B38:C38">
    <cfRule type="expression" dxfId="4" priority="174">
      <formula>$A38&lt;&gt;""</formula>
    </cfRule>
  </conditionalFormatting>
  <conditionalFormatting sqref="B39:C39">
    <cfRule type="expression" dxfId="4" priority="165">
      <formula>$A39&lt;&gt;""</formula>
    </cfRule>
  </conditionalFormatting>
  <conditionalFormatting sqref="E39">
    <cfRule type="duplicateValues" dxfId="1" priority="166"/>
  </conditionalFormatting>
  <conditionalFormatting sqref="G39">
    <cfRule type="expression" dxfId="4" priority="116">
      <formula>$A39&lt;&gt;""</formula>
    </cfRule>
  </conditionalFormatting>
  <conditionalFormatting sqref="B40:C40">
    <cfRule type="expression" dxfId="4" priority="162">
      <formula>$A40&lt;&gt;""</formula>
    </cfRule>
  </conditionalFormatting>
  <conditionalFormatting sqref="G41">
    <cfRule type="expression" dxfId="4" priority="115">
      <formula>$A41&lt;&gt;""</formula>
    </cfRule>
  </conditionalFormatting>
  <conditionalFormatting sqref="B42:C42">
    <cfRule type="expression" dxfId="4" priority="155">
      <formula>$A42&lt;&gt;""</formula>
    </cfRule>
  </conditionalFormatting>
  <conditionalFormatting sqref="E42">
    <cfRule type="duplicateValues" dxfId="1" priority="173"/>
  </conditionalFormatting>
  <conditionalFormatting sqref="B43:C43">
    <cfRule type="expression" dxfId="4" priority="159">
      <formula>$A43&lt;&gt;""</formula>
    </cfRule>
  </conditionalFormatting>
  <conditionalFormatting sqref="E43">
    <cfRule type="duplicateValues" dxfId="1" priority="172"/>
  </conditionalFormatting>
  <conditionalFormatting sqref="G43">
    <cfRule type="expression" dxfId="4" priority="114">
      <formula>$A43&lt;&gt;""</formula>
    </cfRule>
  </conditionalFormatting>
  <conditionalFormatting sqref="T43">
    <cfRule type="expression" dxfId="4" priority="94">
      <formula>$A43&lt;&gt;""</formula>
    </cfRule>
  </conditionalFormatting>
  <conditionalFormatting sqref="B44:C44">
    <cfRule type="expression" dxfId="4" priority="169">
      <formula>$A44&lt;&gt;""</formula>
    </cfRule>
  </conditionalFormatting>
  <conditionalFormatting sqref="G45">
    <cfRule type="expression" dxfId="4" priority="113">
      <formula>$A45&lt;&gt;""</formula>
    </cfRule>
  </conditionalFormatting>
  <conditionalFormatting sqref="B46:C46">
    <cfRule type="expression" dxfId="4" priority="157">
      <formula>$A46&lt;&gt;""</formula>
    </cfRule>
  </conditionalFormatting>
  <conditionalFormatting sqref="B47:C47">
    <cfRule type="expression" dxfId="4" priority="146">
      <formula>$A47&lt;&gt;""</formula>
    </cfRule>
  </conditionalFormatting>
  <conditionalFormatting sqref="B48:C48">
    <cfRule type="expression" dxfId="4" priority="164">
      <formula>$A48&lt;&gt;""</formula>
    </cfRule>
  </conditionalFormatting>
  <conditionalFormatting sqref="B49:C49">
    <cfRule type="expression" dxfId="4" priority="168">
      <formula>$A49&lt;&gt;""</formula>
    </cfRule>
  </conditionalFormatting>
  <conditionalFormatting sqref="T49">
    <cfRule type="expression" dxfId="4" priority="93">
      <formula>$A49&lt;&gt;""</formula>
    </cfRule>
  </conditionalFormatting>
  <conditionalFormatting sqref="B50:C50">
    <cfRule type="expression" dxfId="4" priority="147">
      <formula>$A50&lt;&gt;""</formula>
    </cfRule>
  </conditionalFormatting>
  <conditionalFormatting sqref="E50">
    <cfRule type="duplicateValues" dxfId="1" priority="167"/>
  </conditionalFormatting>
  <conditionalFormatting sqref="B51:C51">
    <cfRule type="expression" dxfId="4" priority="153">
      <formula>$A51&lt;&gt;""</formula>
    </cfRule>
  </conditionalFormatting>
  <conditionalFormatting sqref="T51">
    <cfRule type="expression" dxfId="4" priority="62">
      <formula>$A51&lt;&gt;""</formula>
    </cfRule>
  </conditionalFormatting>
  <conditionalFormatting sqref="B52:C52">
    <cfRule type="expression" dxfId="4" priority="141">
      <formula>$A52&lt;&gt;""</formula>
    </cfRule>
  </conditionalFormatting>
  <conditionalFormatting sqref="B53:C53">
    <cfRule type="expression" dxfId="4" priority="154">
      <formula>$A53&lt;&gt;""</formula>
    </cfRule>
  </conditionalFormatting>
  <conditionalFormatting sqref="G53">
    <cfRule type="expression" dxfId="4" priority="112">
      <formula>$A53&lt;&gt;""</formula>
    </cfRule>
  </conditionalFormatting>
  <conditionalFormatting sqref="T53">
    <cfRule type="expression" dxfId="4" priority="92">
      <formula>$A53&lt;&gt;""</formula>
    </cfRule>
  </conditionalFormatting>
  <conditionalFormatting sqref="B54:C54">
    <cfRule type="expression" dxfId="4" priority="161">
      <formula>$A54&lt;&gt;""</formula>
    </cfRule>
  </conditionalFormatting>
  <conditionalFormatting sqref="B56:C56">
    <cfRule type="expression" dxfId="4" priority="156">
      <formula>$A56&lt;&gt;""</formula>
    </cfRule>
  </conditionalFormatting>
  <conditionalFormatting sqref="B57:C57">
    <cfRule type="expression" dxfId="4" priority="125">
      <formula>$A57&lt;&gt;""</formula>
    </cfRule>
  </conditionalFormatting>
  <conditionalFormatting sqref="G57">
    <cfRule type="expression" dxfId="4" priority="111">
      <formula>$A57&lt;&gt;""</formula>
    </cfRule>
  </conditionalFormatting>
  <conditionalFormatting sqref="B58:C58">
    <cfRule type="expression" dxfId="4" priority="137">
      <formula>$A58&lt;&gt;""</formula>
    </cfRule>
  </conditionalFormatting>
  <conditionalFormatting sqref="B59:C59">
    <cfRule type="expression" dxfId="4" priority="151">
      <formula>$A59&lt;&gt;""</formula>
    </cfRule>
  </conditionalFormatting>
  <conditionalFormatting sqref="B60:C60">
    <cfRule type="expression" dxfId="4" priority="150">
      <formula>$A60&lt;&gt;""</formula>
    </cfRule>
  </conditionalFormatting>
  <conditionalFormatting sqref="B61:C61">
    <cfRule type="expression" dxfId="4" priority="149">
      <formula>$A61&lt;&gt;""</formula>
    </cfRule>
  </conditionalFormatting>
  <conditionalFormatting sqref="B62:C62">
    <cfRule type="expression" dxfId="4" priority="100">
      <formula>$A62&lt;&gt;""</formula>
    </cfRule>
  </conditionalFormatting>
  <conditionalFormatting sqref="B63:C63">
    <cfRule type="expression" dxfId="4" priority="143">
      <formula>$A63&lt;&gt;""</formula>
    </cfRule>
  </conditionalFormatting>
  <conditionalFormatting sqref="B67:C67">
    <cfRule type="expression" dxfId="4" priority="145">
      <formula>$A67&lt;&gt;""</formula>
    </cfRule>
  </conditionalFormatting>
  <conditionalFormatting sqref="G67">
    <cfRule type="expression" dxfId="4" priority="108">
      <formula>$A67&lt;&gt;""</formula>
    </cfRule>
  </conditionalFormatting>
  <conditionalFormatting sqref="B69:C69">
    <cfRule type="expression" dxfId="4" priority="127">
      <formula>$A69&lt;&gt;""</formula>
    </cfRule>
  </conditionalFormatting>
  <conditionalFormatting sqref="B70:C70">
    <cfRule type="expression" dxfId="4" priority="142">
      <formula>$A70&lt;&gt;""</formula>
    </cfRule>
  </conditionalFormatting>
  <conditionalFormatting sqref="B71:C71">
    <cfRule type="expression" dxfId="4" priority="102">
      <formula>$A71&lt;&gt;""</formula>
    </cfRule>
  </conditionalFormatting>
  <conditionalFormatting sqref="E71">
    <cfRule type="duplicateValues" dxfId="1" priority="129"/>
  </conditionalFormatting>
  <conditionalFormatting sqref="B72:C72">
    <cfRule type="expression" dxfId="4" priority="144">
      <formula>$A72&lt;&gt;""</formula>
    </cfRule>
  </conditionalFormatting>
  <conditionalFormatting sqref="T72">
    <cfRule type="expression" dxfId="4" priority="61">
      <formula>$A72&lt;&gt;""</formula>
    </cfRule>
  </conditionalFormatting>
  <conditionalFormatting sqref="B73:C73">
    <cfRule type="expression" dxfId="4" priority="124">
      <formula>$A73&lt;&gt;""</formula>
    </cfRule>
  </conditionalFormatting>
  <conditionalFormatting sqref="T73">
    <cfRule type="expression" dxfId="4" priority="88">
      <formula>$A73&lt;&gt;""</formula>
    </cfRule>
  </conditionalFormatting>
  <conditionalFormatting sqref="B74:C74">
    <cfRule type="expression" dxfId="4" priority="133">
      <formula>$A74&lt;&gt;""</formula>
    </cfRule>
  </conditionalFormatting>
  <conditionalFormatting sqref="T74">
    <cfRule type="expression" dxfId="4" priority="4">
      <formula>$A74&lt;&gt;""</formula>
    </cfRule>
  </conditionalFormatting>
  <conditionalFormatting sqref="T75">
    <cfRule type="expression" dxfId="4" priority="70">
      <formula>$A75&lt;&gt;""</formula>
    </cfRule>
  </conditionalFormatting>
  <conditionalFormatting sqref="T76">
    <cfRule type="expression" dxfId="4" priority="87">
      <formula>$A76&lt;&gt;""</formula>
    </cfRule>
  </conditionalFormatting>
  <conditionalFormatting sqref="B77:C77">
    <cfRule type="expression" dxfId="4" priority="136">
      <formula>$A77&lt;&gt;""</formula>
    </cfRule>
  </conditionalFormatting>
  <conditionalFormatting sqref="T77">
    <cfRule type="expression" dxfId="4" priority="69">
      <formula>$A77&lt;&gt;""</formula>
    </cfRule>
  </conditionalFormatting>
  <conditionalFormatting sqref="B78:C78">
    <cfRule type="expression" dxfId="4" priority="140">
      <formula>$A78&lt;&gt;""</formula>
    </cfRule>
  </conditionalFormatting>
  <conditionalFormatting sqref="B79:C79">
    <cfRule type="expression" dxfId="4" priority="134">
      <formula>$A79&lt;&gt;""</formula>
    </cfRule>
  </conditionalFormatting>
  <conditionalFormatting sqref="B80:C80">
    <cfRule type="expression" dxfId="4" priority="126">
      <formula>$A80&lt;&gt;""</formula>
    </cfRule>
  </conditionalFormatting>
  <conditionalFormatting sqref="E80">
    <cfRule type="duplicateValues" dxfId="1" priority="139"/>
  </conditionalFormatting>
  <conditionalFormatting sqref="T80">
    <cfRule type="expression" dxfId="4" priority="60">
      <formula>$A80&lt;&gt;""</formula>
    </cfRule>
  </conditionalFormatting>
  <conditionalFormatting sqref="B81:C81">
    <cfRule type="expression" dxfId="4" priority="135">
      <formula>$A81&lt;&gt;""</formula>
    </cfRule>
  </conditionalFormatting>
  <conditionalFormatting sqref="T81">
    <cfRule type="expression" dxfId="4" priority="85">
      <formula>$A81&lt;&gt;""</formula>
    </cfRule>
  </conditionalFormatting>
  <conditionalFormatting sqref="B83:C83">
    <cfRule type="expression" dxfId="4" priority="132">
      <formula>$A83&lt;&gt;""</formula>
    </cfRule>
  </conditionalFormatting>
  <conditionalFormatting sqref="G83">
    <cfRule type="expression" dxfId="4" priority="107">
      <formula>$A83&lt;&gt;""</formula>
    </cfRule>
  </conditionalFormatting>
  <conditionalFormatting sqref="B84:C84">
    <cfRule type="expression" dxfId="4" priority="128">
      <formula>$A84&lt;&gt;""</formula>
    </cfRule>
  </conditionalFormatting>
  <conditionalFormatting sqref="B85:C85">
    <cfRule type="expression" dxfId="4" priority="103">
      <formula>$A85&lt;&gt;""</formula>
    </cfRule>
  </conditionalFormatting>
  <conditionalFormatting sqref="T86">
    <cfRule type="expression" dxfId="4" priority="84">
      <formula>$A86&lt;&gt;""</formula>
    </cfRule>
  </conditionalFormatting>
  <conditionalFormatting sqref="B87:C87">
    <cfRule type="expression" dxfId="4" priority="123">
      <formula>$A87&lt;&gt;""</formula>
    </cfRule>
  </conditionalFormatting>
  <conditionalFormatting sqref="B88:C88">
    <cfRule type="expression" dxfId="4" priority="122">
      <formula>$A88&lt;&gt;""</formula>
    </cfRule>
  </conditionalFormatting>
  <conditionalFormatting sqref="G88">
    <cfRule type="expression" dxfId="4" priority="106">
      <formula>$A88&lt;&gt;""</formula>
    </cfRule>
  </conditionalFormatting>
  <conditionalFormatting sqref="B89:C89">
    <cfRule type="expression" dxfId="4" priority="121">
      <formula>$A89&lt;&gt;""</formula>
    </cfRule>
  </conditionalFormatting>
  <conditionalFormatting sqref="E89">
    <cfRule type="duplicateValues" dxfId="1" priority="120"/>
  </conditionalFormatting>
  <conditionalFormatting sqref="E92">
    <cfRule type="duplicateValues" dxfId="1" priority="101"/>
  </conditionalFormatting>
  <conditionalFormatting sqref="F92">
    <cfRule type="expression" dxfId="4" priority="130">
      <formula>$A92&lt;&gt;""</formula>
    </cfRule>
    <cfRule type="duplicateValues" dxfId="1" priority="131"/>
  </conditionalFormatting>
  <conditionalFormatting sqref="T92">
    <cfRule type="expression" dxfId="4" priority="36">
      <formula>$A92&lt;&gt;""</formula>
    </cfRule>
  </conditionalFormatting>
  <conditionalFormatting sqref="B97:C97">
    <cfRule type="expression" dxfId="4" priority="59">
      <formula>$A97&lt;&gt;""</formula>
    </cfRule>
  </conditionalFormatting>
  <conditionalFormatting sqref="T105">
    <cfRule type="expression" dxfId="4" priority="3">
      <formula>$A105&lt;&gt;""</formula>
    </cfRule>
  </conditionalFormatting>
  <conditionalFormatting sqref="E106">
    <cfRule type="duplicateValues" dxfId="1" priority="45"/>
  </conditionalFormatting>
  <conditionalFormatting sqref="T106">
    <cfRule type="expression" dxfId="4" priority="33">
      <formula>$A106&lt;&gt;""</formula>
    </cfRule>
  </conditionalFormatting>
  <conditionalFormatting sqref="T116">
    <cfRule type="expression" dxfId="4" priority="8">
      <formula>$A116&lt;&gt;""</formula>
    </cfRule>
  </conditionalFormatting>
  <conditionalFormatting sqref="E118">
    <cfRule type="duplicateValues" dxfId="1" priority="16"/>
    <cfRule type="duplicateValues" dxfId="1" priority="15"/>
  </conditionalFormatting>
  <conditionalFormatting sqref="T118">
    <cfRule type="expression" dxfId="4" priority="7">
      <formula>$A118&lt;&gt;""</formula>
    </cfRule>
  </conditionalFormatting>
  <conditionalFormatting sqref="E119">
    <cfRule type="duplicateValues" dxfId="1" priority="31"/>
  </conditionalFormatting>
  <conditionalFormatting sqref="B122:C122">
    <cfRule type="expression" dxfId="4" priority="19">
      <formula>$A122&lt;&gt;""</formula>
    </cfRule>
  </conditionalFormatting>
  <conditionalFormatting sqref="B125:C125">
    <cfRule type="expression" dxfId="4" priority="9">
      <formula>$A125&lt;&gt;""</formula>
    </cfRule>
  </conditionalFormatting>
  <conditionalFormatting sqref="B126:C126">
    <cfRule type="expression" dxfId="4" priority="11">
      <formula>$A126&lt;&gt;""</formula>
    </cfRule>
  </conditionalFormatting>
  <conditionalFormatting sqref="T126">
    <cfRule type="expression" dxfId="4" priority="2">
      <formula>$A126&lt;&gt;""</formula>
    </cfRule>
  </conditionalFormatting>
  <conditionalFormatting sqref="B127:C127">
    <cfRule type="expression" dxfId="4" priority="14">
      <formula>$A127&lt;&gt;""</formula>
    </cfRule>
  </conditionalFormatting>
  <conditionalFormatting sqref="T127">
    <cfRule type="expression" dxfId="4" priority="6">
      <formula>$A127&lt;&gt;""</formula>
    </cfRule>
  </conditionalFormatting>
  <conditionalFormatting sqref="B128:C128">
    <cfRule type="expression" dxfId="4" priority="13">
      <formula>$A128&lt;&gt;""</formula>
    </cfRule>
  </conditionalFormatting>
  <conditionalFormatting sqref="T128">
    <cfRule type="expression" dxfId="4" priority="1">
      <formula>$A128&lt;&gt;""</formula>
    </cfRule>
  </conditionalFormatting>
  <conditionalFormatting sqref="B131:C131">
    <cfRule type="expression" dxfId="4" priority="5">
      <formula>$A131&lt;&gt;""</formula>
    </cfRule>
  </conditionalFormatting>
  <conditionalFormatting sqref="D$1:D$1048576">
    <cfRule type="duplicateValues" dxfId="1" priority="17"/>
  </conditionalFormatting>
  <conditionalFormatting sqref="D126:D128">
    <cfRule type="duplicateValues" dxfId="1" priority="18"/>
  </conditionalFormatting>
  <conditionalFormatting sqref="G59:G62">
    <cfRule type="expression" dxfId="4" priority="110">
      <formula>$A59&lt;&gt;""</formula>
    </cfRule>
  </conditionalFormatting>
  <conditionalFormatting sqref="G64:G65">
    <cfRule type="expression" dxfId="4" priority="109">
      <formula>$A64&lt;&gt;""</formula>
    </cfRule>
  </conditionalFormatting>
  <conditionalFormatting sqref="S$1:S$1048576">
    <cfRule type="cellIs" dxfId="7" priority="189" operator="equal">
      <formula>"DISBURSED"</formula>
    </cfRule>
  </conditionalFormatting>
  <conditionalFormatting sqref="T$1:T$1048576">
    <cfRule type="cellIs" dxfId="7" priority="105" operator="equal">
      <formula>"MSSF DISBURSED"</formula>
    </cfRule>
  </conditionalFormatting>
  <conditionalFormatting sqref="T16:T17">
    <cfRule type="expression" dxfId="4" priority="99">
      <formula>$A16&lt;&gt;""</formula>
    </cfRule>
  </conditionalFormatting>
  <conditionalFormatting sqref="T19:T20">
    <cfRule type="expression" dxfId="4" priority="98">
      <formula>$A19&lt;&gt;""</formula>
    </cfRule>
  </conditionalFormatting>
  <conditionalFormatting sqref="T21:T22">
    <cfRule type="expression" dxfId="4" priority="80">
      <formula>$A21&lt;&gt;""</formula>
    </cfRule>
  </conditionalFormatting>
  <conditionalFormatting sqref="T27:T28">
    <cfRule type="expression" dxfId="4" priority="97">
      <formula>$A27&lt;&gt;""</formula>
    </cfRule>
  </conditionalFormatting>
  <conditionalFormatting sqref="T31:T33">
    <cfRule type="expression" dxfId="4" priority="96">
      <formula>$A31&lt;&gt;""</formula>
    </cfRule>
  </conditionalFormatting>
  <conditionalFormatting sqref="T34:T36">
    <cfRule type="expression" dxfId="4" priority="78">
      <formula>$A34&lt;&gt;""</formula>
    </cfRule>
  </conditionalFormatting>
  <conditionalFormatting sqref="T38:T39">
    <cfRule type="expression" dxfId="4" priority="95">
      <formula>$A38&lt;&gt;""</formula>
    </cfRule>
  </conditionalFormatting>
  <conditionalFormatting sqref="T41:T42">
    <cfRule type="expression" dxfId="4" priority="77">
      <formula>$A41&lt;&gt;""</formula>
    </cfRule>
  </conditionalFormatting>
  <conditionalFormatting sqref="T44:T47">
    <cfRule type="expression" dxfId="4" priority="76">
      <formula>$A44&lt;&gt;""</formula>
    </cfRule>
  </conditionalFormatting>
  <conditionalFormatting sqref="T54:T55">
    <cfRule type="expression" dxfId="4" priority="74">
      <formula>$A54&lt;&gt;""</formula>
    </cfRule>
  </conditionalFormatting>
  <conditionalFormatting sqref="T57:T58">
    <cfRule type="expression" dxfId="4" priority="91">
      <formula>$A57&lt;&gt;""</formula>
    </cfRule>
  </conditionalFormatting>
  <conditionalFormatting sqref="T59:T61">
    <cfRule type="expression" dxfId="4" priority="73">
      <formula>$A59&lt;&gt;""</formula>
    </cfRule>
  </conditionalFormatting>
  <conditionalFormatting sqref="T62:T63">
    <cfRule type="expression" dxfId="4" priority="90">
      <formula>$A62&lt;&gt;""</formula>
    </cfRule>
  </conditionalFormatting>
  <conditionalFormatting sqref="T64:T68">
    <cfRule type="expression" dxfId="4" priority="72">
      <formula>$A64&lt;&gt;""</formula>
    </cfRule>
  </conditionalFormatting>
  <conditionalFormatting sqref="T70:T71">
    <cfRule type="expression" dxfId="4" priority="89">
      <formula>$A70&lt;&gt;""</formula>
    </cfRule>
  </conditionalFormatting>
  <conditionalFormatting sqref="T78:T79">
    <cfRule type="expression" dxfId="4" priority="86">
      <formula>$A78&lt;&gt;""</formula>
    </cfRule>
  </conditionalFormatting>
  <conditionalFormatting sqref="T82:T85">
    <cfRule type="expression" dxfId="4" priority="67">
      <formula>$A82&lt;&gt;""</formula>
    </cfRule>
  </conditionalFormatting>
  <conditionalFormatting sqref="T87:T89">
    <cfRule type="expression" dxfId="4" priority="66">
      <formula>$A87&lt;&gt;""</formula>
    </cfRule>
  </conditionalFormatting>
  <conditionalFormatting sqref="T90:T91">
    <cfRule type="expression" dxfId="4" priority="83">
      <formula>$A90&lt;&gt;""</formula>
    </cfRule>
  </conditionalFormatting>
  <conditionalFormatting sqref="T96:T98">
    <cfRule type="expression" dxfId="4" priority="35">
      <formula>$A96&lt;&gt;""</formula>
    </cfRule>
  </conditionalFormatting>
  <conditionalFormatting sqref="T100:T101">
    <cfRule type="expression" dxfId="4" priority="34">
      <formula>$A100&lt;&gt;""</formula>
    </cfRule>
  </conditionalFormatting>
  <conditionalFormatting sqref="T110:T111">
    <cfRule type="expression" dxfId="4" priority="32">
      <formula>$A110&lt;&gt;""</formula>
    </cfRule>
  </conditionalFormatting>
  <conditionalFormatting sqref="A1:AA2 A3:S4 U3:AA12 D5:S5 A6:S6 D7:S7 A8:S8 D9:S10 A11:S12 D13:AA13 D14:S14 U14:AA17 A15:S15 D16:S17 D18:AA18 D19:S20 U19:AA22 A21:S21 A22:F22 H22:S22 D23:AA26 D27:S29 U27:AA29 D30:F30 H30:AA30 D31:S33 U31:AA39 A9:A10 A13:A14 A16:A20 A34:S34 A35:F35 H35:S35 A36:S36 D37:S38 D39:F39 H39:S39 D40:AA40 A41:F41 H41:S41 U41:AA47 D42:S42 D43:F43 H43:S43 D44:S44 A45:F45 H45:S45 D46:S47 D48:AA48 D49:S52 U49:AA55 D53:F53 H53:S53 D54:S54 A55:S55 D56:AA56 D57:F57 H57:S57 U57:AA68 D58:S58 D59:F62 H59:S62 D63:S63 D64:F65 H64:S65 A66:S66 A37:A40 A42:A44 A23:A33 A46:A54 D67:F67 H67:S67 A68:S68 D69:AA69 D70:S82 U70:AA93 D83:F83 H83:S83 D84:S87 D88:F88 H88:S88 D89:S91 D92:E92 G92:S92 D93:S93 A94:AA95 D96:S98 U96:AA98 D99:AA99 D100:S101 U100:AA101 D102:AA104 D105:S106 U105:AA106 D107:AA109 D110:S111 U110:AA111 A112:AA113 D114:AA115 D116:S116 U116:AA116 D117:AA117 A118:S118 U118:AA118 A119:AA121 A67 D122:AA122 A123:AA124 D125:AA125 D126:S128 U126:AA128 A129:AA130 A131 D131:AA131 A132:AA1048576 A5 A7 A56:A65 A69:A93 A96:A111 A114:A117 A122 A125:A128">
    <cfRule type="expression" dxfId="4" priority="195">
      <formula>$A1&lt;&gt;""</formula>
    </cfRule>
  </conditionalFormatting>
  <conditionalFormatting sqref="D1:D125 D129:D1048576">
    <cfRule type="duplicateValues" dxfId="1" priority="194"/>
  </conditionalFormatting>
  <conditionalFormatting sqref="E1:E117 E119:E1048576">
    <cfRule type="duplicateValues" dxfId="1" priority="24"/>
  </conditionalFormatting>
  <conditionalFormatting sqref="F1:F91 F93:F1048576">
    <cfRule type="duplicateValues" dxfId="1" priority="193"/>
  </conditionalFormatting>
  <conditionalFormatting sqref="T3:T9 T11:T12">
    <cfRule type="expression" dxfId="4" priority="82">
      <formula>$A3&lt;&gt;""</formula>
    </cfRule>
  </conditionalFormatting>
  <conditionalFormatting sqref="B7 C7">
    <cfRule type="expression" dxfId="4" priority="42">
      <formula>$A7&lt;&gt;""</formula>
    </cfRule>
  </conditionalFormatting>
  <conditionalFormatting sqref="T50 T52">
    <cfRule type="expression" dxfId="4" priority="75">
      <formula>$A50&lt;&gt;""</formula>
    </cfRule>
  </conditionalFormatting>
  <conditionalFormatting sqref="B64 C64">
    <cfRule type="expression" dxfId="4" priority="12">
      <formula>$A64&lt;&gt;""</formula>
    </cfRule>
  </conditionalFormatting>
  <conditionalFormatting sqref="B65 C65">
    <cfRule type="expression" dxfId="4" priority="47">
      <formula>$A65&lt;&gt;""</formula>
    </cfRule>
  </conditionalFormatting>
  <conditionalFormatting sqref="B75 C75">
    <cfRule type="expression" dxfId="4" priority="48">
      <formula>$A75&lt;&gt;""</formula>
    </cfRule>
  </conditionalFormatting>
  <conditionalFormatting sqref="B76 C76">
    <cfRule type="expression" dxfId="4" priority="52">
      <formula>$A76&lt;&gt;""</formula>
    </cfRule>
  </conditionalFormatting>
  <conditionalFormatting sqref="B82 C82">
    <cfRule type="expression" dxfId="4" priority="44">
      <formula>$A82&lt;&gt;""</formula>
    </cfRule>
  </conditionalFormatting>
  <conditionalFormatting sqref="B86 C86">
    <cfRule type="expression" dxfId="4" priority="40">
      <formula>$A86&lt;&gt;""</formula>
    </cfRule>
  </conditionalFormatting>
  <conditionalFormatting sqref="B90 C90">
    <cfRule type="expression" dxfId="4" priority="54">
      <formula>$A90&lt;&gt;""</formula>
    </cfRule>
  </conditionalFormatting>
  <conditionalFormatting sqref="B91 C91">
    <cfRule type="expression" dxfId="4" priority="26">
      <formula>$A91&lt;&gt;""</formula>
    </cfRule>
  </conditionalFormatting>
  <conditionalFormatting sqref="B92 C92">
    <cfRule type="expression" dxfId="4" priority="55">
      <formula>$A92&lt;&gt;""</formula>
    </cfRule>
  </conditionalFormatting>
  <conditionalFormatting sqref="B93 C93">
    <cfRule type="expression" dxfId="4" priority="10">
      <formula>$A93&lt;&gt;""</formula>
    </cfRule>
  </conditionalFormatting>
  <conditionalFormatting sqref="T93:T95 T99">
    <cfRule type="expression" dxfId="4" priority="65">
      <formula>$A93&lt;&gt;""</formula>
    </cfRule>
  </conditionalFormatting>
  <conditionalFormatting sqref="B96 C96">
    <cfRule type="expression" dxfId="4" priority="53">
      <formula>$A96&lt;&gt;""</formula>
    </cfRule>
  </conditionalFormatting>
  <conditionalFormatting sqref="B98 C98">
    <cfRule type="expression" dxfId="4" priority="27">
      <formula>$A98&lt;&gt;""</formula>
    </cfRule>
  </conditionalFormatting>
  <conditionalFormatting sqref="B99 C99">
    <cfRule type="expression" dxfId="4" priority="56">
      <formula>$A99&lt;&gt;""</formula>
    </cfRule>
  </conditionalFormatting>
  <conditionalFormatting sqref="B100 C100">
    <cfRule type="expression" dxfId="4" priority="50">
      <formula>$A100&lt;&gt;""</formula>
    </cfRule>
  </conditionalFormatting>
  <conditionalFormatting sqref="B101 C101">
    <cfRule type="expression" dxfId="4" priority="30">
      <formula>$A101&lt;&gt;""</formula>
    </cfRule>
  </conditionalFormatting>
  <conditionalFormatting sqref="B102 C102">
    <cfRule type="expression" dxfId="4" priority="39">
      <formula>$A102&lt;&gt;""</formula>
    </cfRule>
  </conditionalFormatting>
  <conditionalFormatting sqref="B103 C103">
    <cfRule type="expression" dxfId="4" priority="51">
      <formula>$A103&lt;&gt;""</formula>
    </cfRule>
  </conditionalFormatting>
  <conditionalFormatting sqref="B104 C104">
    <cfRule type="expression" dxfId="4" priority="49">
      <formula>$A104&lt;&gt;""</formula>
    </cfRule>
  </conditionalFormatting>
  <conditionalFormatting sqref="B105 C105">
    <cfRule type="expression" dxfId="4" priority="20">
      <formula>$A105&lt;&gt;""</formula>
    </cfRule>
  </conditionalFormatting>
  <conditionalFormatting sqref="B106 C106">
    <cfRule type="expression" dxfId="4" priority="46">
      <formula>$A106&lt;&gt;""</formula>
    </cfRule>
  </conditionalFormatting>
  <conditionalFormatting sqref="B107 C107">
    <cfRule type="expression" dxfId="4" priority="43">
      <formula>$A107&lt;&gt;""</formula>
    </cfRule>
  </conditionalFormatting>
  <conditionalFormatting sqref="B108 C108">
    <cfRule type="expression" dxfId="4" priority="41">
      <formula>$A108&lt;&gt;""</formula>
    </cfRule>
  </conditionalFormatting>
  <conditionalFormatting sqref="B109 C109">
    <cfRule type="expression" dxfId="4" priority="21">
      <formula>$A109&lt;&gt;""</formula>
    </cfRule>
  </conditionalFormatting>
  <conditionalFormatting sqref="B110 C110">
    <cfRule type="expression" dxfId="4" priority="23">
      <formula>$A110&lt;&gt;""</formula>
    </cfRule>
  </conditionalFormatting>
  <conditionalFormatting sqref="B111 C111">
    <cfRule type="expression" dxfId="4" priority="29">
      <formula>$A111&lt;&gt;""</formula>
    </cfRule>
  </conditionalFormatting>
  <conditionalFormatting sqref="B114 C114">
    <cfRule type="expression" dxfId="4" priority="22">
      <formula>$A114&lt;&gt;""</formula>
    </cfRule>
  </conditionalFormatting>
  <conditionalFormatting sqref="B115 C115">
    <cfRule type="expression" dxfId="4" priority="28">
      <formula>$A115&lt;&gt;""</formula>
    </cfRule>
  </conditionalFormatting>
  <conditionalFormatting sqref="B116 C116">
    <cfRule type="expression" dxfId="4" priority="38">
      <formula>$A116&lt;&gt;""</formula>
    </cfRule>
  </conditionalFormatting>
  <conditionalFormatting sqref="B117 C117">
    <cfRule type="expression" dxfId="4" priority="37">
      <formula>$A117&lt;&gt;""</formula>
    </cfRule>
  </conditionalFormatting>
  <dataValidations count="5">
    <dataValidation type="list" allowBlank="1" showInputMessage="1" showErrorMessage="1" sqref="T74 T105 T116 T117 T118 T126 T127 T128 T129 T2:T73 T75:T104 T106:T115 T119:T121 T122:T125 T130:T131 T132:T1048576">
      <formula1>"MSSF LOGIN, MSSF DISBURSED, NO,REJECTED"</formula1>
    </dataValidation>
    <dataValidation type="list" allowBlank="1" showInputMessage="1" showErrorMessage="1" sqref="S129 S2:S121 S122:S128 S130:S131 S132:S1048576">
      <formula1>"DISBURSED,LOGIN,REJECTED"</formula1>
    </dataValidation>
    <dataValidation type="list" allowBlank="1" showInputMessage="1" showErrorMessage="1" sqref="G2:G121 G122:G129 G130:G131 G132:G1048576">
      <formula1>Report!$C:$C</formula1>
    </dataValidation>
    <dataValidation type="list" allowBlank="1" showInputMessage="1" showErrorMessage="1" sqref="I2:I121 I122:I1048576">
      <formula1>Report!$B:$B</formula1>
    </dataValidation>
    <dataValidation type="list" allowBlank="1" showInputMessage="1" showErrorMessage="1" sqref="K2:K121 K122:K1048576">
      <formula1>Emp!$A:$A</formula1>
    </dataValidation>
  </dataValidations>
  <pageMargins left="0.75" right="0.75" top="1" bottom="1" header="0.51" footer="0.51"/>
  <pageSetup paperSize="9" orientation="portrait"/>
  <headerFooter alignWithMargins="0" scaleWithDoc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H397"/>
  <sheetViews>
    <sheetView zoomScale="80" zoomScaleNormal="80" workbookViewId="0">
      <pane ySplit="1" topLeftCell="A2" activePane="bottomLeft" state="frozen"/>
      <selection/>
      <selection pane="bottomLeft" activeCell="A2" sqref="A2"/>
    </sheetView>
  </sheetViews>
  <sheetFormatPr defaultColWidth="7.75" defaultRowHeight="15" customHeight="1" outlineLevelCol="7"/>
  <cols>
    <col min="1" max="1" width="5.875" style="56" customWidth="1"/>
    <col min="2" max="2" width="42.25" style="56" customWidth="1"/>
    <col min="3" max="3" width="17.125" style="56" customWidth="1"/>
    <col min="4" max="4" width="10.125" style="56" customWidth="1"/>
    <col min="5" max="5" width="7.625" style="56" customWidth="1"/>
    <col min="6" max="6" width="5.625" style="56" customWidth="1"/>
    <col min="7" max="7" width="8.5" style="56" customWidth="1"/>
    <col min="8" max="8" width="11.375" style="56" customWidth="1"/>
    <col min="9" max="16384" width="7.75" style="56"/>
  </cols>
  <sheetData>
    <row r="1" customHeight="1" spans="1:8">
      <c r="A1" s="199" t="s">
        <v>1666</v>
      </c>
      <c r="B1" s="199" t="s">
        <v>1415</v>
      </c>
      <c r="C1" s="199" t="s">
        <v>1667</v>
      </c>
      <c r="D1" s="200" t="s">
        <v>338</v>
      </c>
      <c r="E1" s="200" t="s">
        <v>339</v>
      </c>
      <c r="F1" s="200" t="s">
        <v>307</v>
      </c>
      <c r="G1" s="200" t="s">
        <v>1668</v>
      </c>
      <c r="H1" s="201" t="s">
        <v>344</v>
      </c>
    </row>
    <row r="2" customHeight="1" spans="1:8">
      <c r="A2" s="56">
        <v>1</v>
      </c>
      <c r="B2" s="142" t="s">
        <v>1669</v>
      </c>
      <c r="C2" s="56" t="s">
        <v>38</v>
      </c>
      <c r="D2" s="142" t="s">
        <v>355</v>
      </c>
      <c r="E2" s="142" t="s">
        <v>355</v>
      </c>
      <c r="F2" s="142" t="s">
        <v>356</v>
      </c>
      <c r="G2" s="142" t="s">
        <v>355</v>
      </c>
      <c r="H2" s="142" t="s">
        <v>274</v>
      </c>
    </row>
    <row r="3" customHeight="1" spans="1:8">
      <c r="A3" s="56">
        <v>2</v>
      </c>
      <c r="B3" s="142" t="s">
        <v>1670</v>
      </c>
      <c r="C3" s="56" t="s">
        <v>19</v>
      </c>
      <c r="D3" s="142" t="s">
        <v>1671</v>
      </c>
      <c r="E3" s="142" t="s">
        <v>51</v>
      </c>
      <c r="F3" s="142" t="s">
        <v>356</v>
      </c>
      <c r="G3" s="142" t="s">
        <v>300</v>
      </c>
      <c r="H3" s="142" t="s">
        <v>270</v>
      </c>
    </row>
    <row r="4" customHeight="1" spans="1:8">
      <c r="A4" s="56">
        <v>3</v>
      </c>
      <c r="B4" s="142" t="s">
        <v>1672</v>
      </c>
      <c r="C4" s="56" t="s">
        <v>38</v>
      </c>
      <c r="D4" s="142" t="s">
        <v>366</v>
      </c>
      <c r="E4" s="142" t="s">
        <v>51</v>
      </c>
      <c r="F4" s="142"/>
      <c r="G4" s="142" t="s">
        <v>1673</v>
      </c>
      <c r="H4" s="142" t="s">
        <v>274</v>
      </c>
    </row>
    <row r="5" customHeight="1" spans="1:8">
      <c r="A5" s="56">
        <v>4</v>
      </c>
      <c r="B5" s="142" t="s">
        <v>1674</v>
      </c>
      <c r="C5" s="56" t="s">
        <v>17</v>
      </c>
      <c r="D5" s="142" t="s">
        <v>553</v>
      </c>
      <c r="E5" s="142" t="s">
        <v>51</v>
      </c>
      <c r="F5" s="142"/>
      <c r="G5" s="142" t="s">
        <v>300</v>
      </c>
      <c r="H5" s="142" t="s">
        <v>273</v>
      </c>
    </row>
    <row r="6" customHeight="1" spans="1:8">
      <c r="A6" s="56">
        <v>5</v>
      </c>
      <c r="B6" s="142" t="s">
        <v>1675</v>
      </c>
      <c r="C6" s="56" t="s">
        <v>17</v>
      </c>
      <c r="D6" s="142" t="s">
        <v>612</v>
      </c>
      <c r="E6" s="142" t="s">
        <v>51</v>
      </c>
      <c r="F6" s="142"/>
      <c r="G6" s="142" t="s">
        <v>300</v>
      </c>
      <c r="H6" s="142" t="s">
        <v>273</v>
      </c>
    </row>
    <row r="7" customHeight="1" spans="1:8">
      <c r="A7" s="56">
        <v>6</v>
      </c>
      <c r="B7" s="142" t="s">
        <v>1676</v>
      </c>
      <c r="C7" s="56" t="s">
        <v>100</v>
      </c>
      <c r="D7" s="142" t="s">
        <v>1677</v>
      </c>
      <c r="E7" s="142"/>
      <c r="F7" s="142"/>
      <c r="G7" s="142"/>
      <c r="H7" s="142" t="s">
        <v>276</v>
      </c>
    </row>
    <row r="8" customHeight="1" spans="1:8">
      <c r="A8" s="56">
        <v>7</v>
      </c>
      <c r="B8" s="142" t="s">
        <v>1678</v>
      </c>
      <c r="C8" s="56" t="s">
        <v>100</v>
      </c>
      <c r="D8" s="142" t="s">
        <v>1679</v>
      </c>
      <c r="E8" s="142"/>
      <c r="F8" s="142"/>
      <c r="G8" s="142"/>
      <c r="H8" s="142" t="s">
        <v>276</v>
      </c>
    </row>
    <row r="9" customHeight="1" spans="1:8">
      <c r="A9" s="56">
        <v>8</v>
      </c>
      <c r="B9" s="142" t="s">
        <v>1680</v>
      </c>
      <c r="C9" s="56" t="s">
        <v>100</v>
      </c>
      <c r="D9" s="142" t="s">
        <v>1679</v>
      </c>
      <c r="E9" s="142"/>
      <c r="F9" s="142"/>
      <c r="G9" s="142"/>
      <c r="H9" s="142" t="s">
        <v>276</v>
      </c>
    </row>
    <row r="10" customHeight="1" spans="1:8">
      <c r="A10" s="56">
        <v>9</v>
      </c>
      <c r="B10" s="142" t="s">
        <v>1681</v>
      </c>
      <c r="C10" s="56" t="s">
        <v>25</v>
      </c>
      <c r="D10" s="142" t="s">
        <v>1677</v>
      </c>
      <c r="E10" s="142"/>
      <c r="F10" s="142"/>
      <c r="G10" s="142"/>
      <c r="H10" s="142" t="s">
        <v>275</v>
      </c>
    </row>
    <row r="11" customHeight="1" spans="1:8">
      <c r="A11" s="56">
        <v>10</v>
      </c>
      <c r="B11" s="142" t="s">
        <v>1682</v>
      </c>
      <c r="C11" s="56" t="s">
        <v>25</v>
      </c>
      <c r="D11" s="142" t="s">
        <v>437</v>
      </c>
      <c r="E11" s="142" t="s">
        <v>51</v>
      </c>
      <c r="F11" s="142" t="s">
        <v>356</v>
      </c>
      <c r="G11" s="142" t="s">
        <v>1673</v>
      </c>
      <c r="H11" s="142" t="s">
        <v>275</v>
      </c>
    </row>
    <row r="12" customHeight="1" spans="1:8">
      <c r="A12" s="56">
        <v>11</v>
      </c>
      <c r="B12" s="142" t="s">
        <v>1683</v>
      </c>
      <c r="C12" s="56" t="s">
        <v>25</v>
      </c>
      <c r="D12" s="142" t="s">
        <v>355</v>
      </c>
      <c r="E12" s="142" t="s">
        <v>355</v>
      </c>
      <c r="F12" s="142" t="s">
        <v>356</v>
      </c>
      <c r="G12" s="142" t="s">
        <v>355</v>
      </c>
      <c r="H12" s="142" t="s">
        <v>275</v>
      </c>
    </row>
    <row r="13" customHeight="1" spans="1:8">
      <c r="A13" s="56">
        <v>12</v>
      </c>
      <c r="B13" s="142" t="s">
        <v>1684</v>
      </c>
      <c r="C13" s="56" t="s">
        <v>25</v>
      </c>
      <c r="D13" s="142" t="s">
        <v>507</v>
      </c>
      <c r="E13" s="142" t="s">
        <v>51</v>
      </c>
      <c r="F13" s="142" t="s">
        <v>367</v>
      </c>
      <c r="G13" s="142" t="s">
        <v>300</v>
      </c>
      <c r="H13" s="142" t="s">
        <v>275</v>
      </c>
    </row>
    <row r="14" customHeight="1" spans="1:8">
      <c r="A14" s="56">
        <v>13</v>
      </c>
      <c r="B14" s="142" t="s">
        <v>1685</v>
      </c>
      <c r="C14" s="56" t="s">
        <v>23</v>
      </c>
      <c r="D14" s="142" t="s">
        <v>633</v>
      </c>
      <c r="E14" s="142" t="s">
        <v>378</v>
      </c>
      <c r="F14" s="142" t="s">
        <v>356</v>
      </c>
      <c r="G14" s="142"/>
      <c r="H14" s="142" t="s">
        <v>276</v>
      </c>
    </row>
    <row r="15" customHeight="1" spans="1:8">
      <c r="A15" s="56">
        <v>14</v>
      </c>
      <c r="B15" s="142" t="s">
        <v>1686</v>
      </c>
      <c r="C15" s="56" t="s">
        <v>23</v>
      </c>
      <c r="D15" s="142" t="s">
        <v>1677</v>
      </c>
      <c r="E15" s="142"/>
      <c r="F15" s="142"/>
      <c r="G15" s="142"/>
      <c r="H15" s="142" t="s">
        <v>276</v>
      </c>
    </row>
    <row r="16" customHeight="1" spans="1:8">
      <c r="A16" s="56">
        <v>15</v>
      </c>
      <c r="B16" s="142" t="s">
        <v>1687</v>
      </c>
      <c r="C16" s="56" t="s">
        <v>23</v>
      </c>
      <c r="D16" s="142" t="s">
        <v>457</v>
      </c>
      <c r="E16" s="142" t="s">
        <v>51</v>
      </c>
      <c r="F16" s="142"/>
      <c r="G16" s="142" t="s">
        <v>300</v>
      </c>
      <c r="H16" s="142" t="s">
        <v>276</v>
      </c>
    </row>
    <row r="17" customHeight="1" spans="1:8">
      <c r="A17" s="56">
        <v>16</v>
      </c>
      <c r="B17" s="142" t="s">
        <v>1688</v>
      </c>
      <c r="C17" s="56" t="s">
        <v>23</v>
      </c>
      <c r="D17" s="142" t="s">
        <v>777</v>
      </c>
      <c r="E17" s="142" t="s">
        <v>51</v>
      </c>
      <c r="F17" s="142"/>
      <c r="G17" s="142" t="s">
        <v>1673</v>
      </c>
      <c r="H17" s="142" t="s">
        <v>276</v>
      </c>
    </row>
    <row r="18" customHeight="1" spans="1:8">
      <c r="A18" s="56">
        <v>17</v>
      </c>
      <c r="B18" s="142" t="s">
        <v>1689</v>
      </c>
      <c r="C18" s="56" t="s">
        <v>34</v>
      </c>
      <c r="D18" s="142" t="s">
        <v>831</v>
      </c>
      <c r="E18" s="142" t="s">
        <v>378</v>
      </c>
      <c r="F18" s="142" t="s">
        <v>356</v>
      </c>
      <c r="G18" s="142"/>
      <c r="H18" s="142" t="s">
        <v>275</v>
      </c>
    </row>
    <row r="19" customHeight="1" spans="1:8">
      <c r="A19" s="56">
        <v>18</v>
      </c>
      <c r="B19" s="142" t="s">
        <v>1690</v>
      </c>
      <c r="C19" s="56" t="s">
        <v>34</v>
      </c>
      <c r="D19" s="142" t="s">
        <v>553</v>
      </c>
      <c r="E19" s="142" t="s">
        <v>51</v>
      </c>
      <c r="F19" s="142" t="s">
        <v>356</v>
      </c>
      <c r="G19" s="142" t="s">
        <v>1673</v>
      </c>
      <c r="H19" s="142" t="s">
        <v>275</v>
      </c>
    </row>
    <row r="20" customHeight="1" spans="1:8">
      <c r="A20" s="56">
        <v>19</v>
      </c>
      <c r="B20" s="142" t="s">
        <v>1691</v>
      </c>
      <c r="C20" s="56" t="s">
        <v>111</v>
      </c>
      <c r="D20" s="142" t="s">
        <v>796</v>
      </c>
      <c r="E20" s="142" t="s">
        <v>51</v>
      </c>
      <c r="F20" s="142" t="s">
        <v>356</v>
      </c>
      <c r="G20" s="142" t="s">
        <v>1673</v>
      </c>
      <c r="H20" s="142" t="s">
        <v>275</v>
      </c>
    </row>
    <row r="21" customHeight="1" spans="1:8">
      <c r="A21" s="56">
        <v>20</v>
      </c>
      <c r="B21" s="142" t="s">
        <v>1692</v>
      </c>
      <c r="C21" s="56" t="s">
        <v>111</v>
      </c>
      <c r="D21" s="142"/>
      <c r="E21" s="142" t="s">
        <v>378</v>
      </c>
      <c r="F21" s="142" t="s">
        <v>356</v>
      </c>
      <c r="G21" s="142"/>
      <c r="H21" s="142" t="s">
        <v>275</v>
      </c>
    </row>
    <row r="22" customHeight="1" spans="1:8">
      <c r="A22" s="56">
        <v>21</v>
      </c>
      <c r="B22" s="142" t="s">
        <v>1693</v>
      </c>
      <c r="C22" s="56" t="s">
        <v>111</v>
      </c>
      <c r="D22" s="142" t="s">
        <v>437</v>
      </c>
      <c r="E22" s="142" t="s">
        <v>51</v>
      </c>
      <c r="F22" s="142" t="s">
        <v>367</v>
      </c>
      <c r="G22" s="142" t="s">
        <v>300</v>
      </c>
      <c r="H22" s="142" t="s">
        <v>275</v>
      </c>
    </row>
    <row r="23" customHeight="1" spans="1:8">
      <c r="A23" s="56">
        <v>22</v>
      </c>
      <c r="B23" s="142" t="s">
        <v>1694</v>
      </c>
      <c r="C23" s="56" t="s">
        <v>38</v>
      </c>
      <c r="D23" s="142" t="s">
        <v>633</v>
      </c>
      <c r="E23" s="142" t="s">
        <v>51</v>
      </c>
      <c r="F23" s="142"/>
      <c r="G23" s="142" t="s">
        <v>1673</v>
      </c>
      <c r="H23" s="142" t="s">
        <v>274</v>
      </c>
    </row>
    <row r="24" customHeight="1" spans="1:8">
      <c r="A24" s="56">
        <v>23</v>
      </c>
      <c r="B24" s="142" t="s">
        <v>1695</v>
      </c>
      <c r="C24" s="56" t="s">
        <v>17</v>
      </c>
      <c r="D24" s="142" t="s">
        <v>366</v>
      </c>
      <c r="E24" s="142" t="s">
        <v>51</v>
      </c>
      <c r="F24" s="142"/>
      <c r="G24" s="142" t="s">
        <v>1673</v>
      </c>
      <c r="H24" s="142" t="s">
        <v>273</v>
      </c>
    </row>
    <row r="25" customHeight="1" spans="1:8">
      <c r="A25" s="56">
        <v>24</v>
      </c>
      <c r="B25" s="142" t="s">
        <v>1696</v>
      </c>
      <c r="C25" s="56" t="s">
        <v>17</v>
      </c>
      <c r="D25" s="142" t="s">
        <v>553</v>
      </c>
      <c r="E25" s="142" t="s">
        <v>51</v>
      </c>
      <c r="F25" s="142"/>
      <c r="G25" s="142" t="s">
        <v>1673</v>
      </c>
      <c r="H25" s="142" t="s">
        <v>273</v>
      </c>
    </row>
    <row r="26" customHeight="1" spans="1:8">
      <c r="A26" s="56">
        <v>25</v>
      </c>
      <c r="B26" s="142" t="s">
        <v>1697</v>
      </c>
      <c r="C26" s="56" t="s">
        <v>17</v>
      </c>
      <c r="D26" s="142" t="s">
        <v>366</v>
      </c>
      <c r="E26" s="142" t="s">
        <v>51</v>
      </c>
      <c r="F26" s="142"/>
      <c r="G26" s="142" t="s">
        <v>300</v>
      </c>
      <c r="H26" s="142" t="s">
        <v>273</v>
      </c>
    </row>
    <row r="27" customHeight="1" spans="1:8">
      <c r="A27" s="56">
        <v>26</v>
      </c>
      <c r="B27" s="142" t="s">
        <v>1698</v>
      </c>
      <c r="C27" s="56" t="s">
        <v>175</v>
      </c>
      <c r="D27" s="142" t="s">
        <v>355</v>
      </c>
      <c r="E27" s="142" t="s">
        <v>355</v>
      </c>
      <c r="F27" s="142" t="s">
        <v>356</v>
      </c>
      <c r="G27" s="142" t="s">
        <v>355</v>
      </c>
      <c r="H27" s="142" t="s">
        <v>273</v>
      </c>
    </row>
    <row r="28" customHeight="1" spans="1:8">
      <c r="A28" s="56">
        <v>27</v>
      </c>
      <c r="B28" s="142" t="s">
        <v>1699</v>
      </c>
      <c r="C28" s="56" t="s">
        <v>17</v>
      </c>
      <c r="D28" s="142" t="s">
        <v>366</v>
      </c>
      <c r="E28" s="142" t="s">
        <v>51</v>
      </c>
      <c r="F28" s="142"/>
      <c r="G28" s="142" t="s">
        <v>300</v>
      </c>
      <c r="H28" s="142" t="s">
        <v>273</v>
      </c>
    </row>
    <row r="29" customHeight="1" spans="1:8">
      <c r="A29" s="56">
        <v>28</v>
      </c>
      <c r="B29" s="142" t="s">
        <v>1700</v>
      </c>
      <c r="C29" s="56" t="s">
        <v>100</v>
      </c>
      <c r="D29" s="142" t="s">
        <v>386</v>
      </c>
      <c r="E29" s="142" t="s">
        <v>51</v>
      </c>
      <c r="F29" s="142"/>
      <c r="G29" s="142" t="s">
        <v>1673</v>
      </c>
      <c r="H29" s="142" t="s">
        <v>276</v>
      </c>
    </row>
    <row r="30" customHeight="1" spans="1:8">
      <c r="A30" s="56">
        <v>29</v>
      </c>
      <c r="B30" s="142" t="s">
        <v>1701</v>
      </c>
      <c r="C30" s="56" t="s">
        <v>100</v>
      </c>
      <c r="D30" s="142" t="s">
        <v>1677</v>
      </c>
      <c r="E30" s="142"/>
      <c r="F30" s="142"/>
      <c r="G30" s="142"/>
      <c r="H30" s="142" t="s">
        <v>276</v>
      </c>
    </row>
    <row r="31" customHeight="1" spans="1:8">
      <c r="A31" s="56">
        <v>30</v>
      </c>
      <c r="B31" s="142" t="s">
        <v>1702</v>
      </c>
      <c r="C31" s="56" t="s">
        <v>100</v>
      </c>
      <c r="D31" s="142" t="s">
        <v>1679</v>
      </c>
      <c r="E31" s="142"/>
      <c r="F31" s="142"/>
      <c r="G31" s="142"/>
      <c r="H31" s="142" t="s">
        <v>276</v>
      </c>
    </row>
    <row r="32" customHeight="1" spans="1:8">
      <c r="A32" s="56">
        <v>31</v>
      </c>
      <c r="B32" s="142" t="s">
        <v>1703</v>
      </c>
      <c r="C32" s="56" t="s">
        <v>29</v>
      </c>
      <c r="D32" s="142" t="s">
        <v>612</v>
      </c>
      <c r="E32" s="142" t="s">
        <v>51</v>
      </c>
      <c r="F32" s="142"/>
      <c r="G32" s="142" t="s">
        <v>1673</v>
      </c>
      <c r="H32" s="142" t="s">
        <v>270</v>
      </c>
    </row>
    <row r="33" customHeight="1" spans="1:8">
      <c r="A33" s="56">
        <v>32</v>
      </c>
      <c r="B33" s="142" t="s">
        <v>1704</v>
      </c>
      <c r="C33" s="56" t="s">
        <v>29</v>
      </c>
      <c r="D33" s="142" t="s">
        <v>437</v>
      </c>
      <c r="E33" s="142" t="s">
        <v>51</v>
      </c>
      <c r="F33" s="142"/>
      <c r="G33" s="142" t="s">
        <v>1673</v>
      </c>
      <c r="H33" s="142" t="s">
        <v>270</v>
      </c>
    </row>
    <row r="34" customHeight="1" spans="1:8">
      <c r="A34" s="56">
        <v>33</v>
      </c>
      <c r="B34" s="142" t="s">
        <v>1705</v>
      </c>
      <c r="C34" s="56" t="s">
        <v>25</v>
      </c>
      <c r="D34" s="142" t="s">
        <v>648</v>
      </c>
      <c r="E34" s="142" t="s">
        <v>51</v>
      </c>
      <c r="F34" s="142" t="s">
        <v>356</v>
      </c>
      <c r="G34" s="142" t="s">
        <v>1673</v>
      </c>
      <c r="H34" s="142" t="s">
        <v>275</v>
      </c>
    </row>
    <row r="35" customHeight="1" spans="1:8">
      <c r="A35" s="56">
        <v>34</v>
      </c>
      <c r="B35" s="142" t="s">
        <v>1706</v>
      </c>
      <c r="C35" s="56" t="s">
        <v>25</v>
      </c>
      <c r="D35" s="142" t="s">
        <v>366</v>
      </c>
      <c r="E35" s="142" t="s">
        <v>51</v>
      </c>
      <c r="F35" s="142" t="s">
        <v>356</v>
      </c>
      <c r="G35" s="142" t="s">
        <v>1673</v>
      </c>
      <c r="H35" s="142" t="s">
        <v>275</v>
      </c>
    </row>
    <row r="36" customHeight="1" spans="1:8">
      <c r="A36" s="56">
        <v>35</v>
      </c>
      <c r="B36" s="142" t="s">
        <v>1707</v>
      </c>
      <c r="C36" s="56" t="s">
        <v>25</v>
      </c>
      <c r="D36" s="142" t="s">
        <v>1301</v>
      </c>
      <c r="E36" s="142" t="s">
        <v>51</v>
      </c>
      <c r="F36" s="142" t="s">
        <v>356</v>
      </c>
      <c r="G36" s="142" t="s">
        <v>1673</v>
      </c>
      <c r="H36" s="142" t="s">
        <v>275</v>
      </c>
    </row>
    <row r="37" customHeight="1" spans="1:8">
      <c r="A37" s="56">
        <v>36</v>
      </c>
      <c r="B37" s="142" t="s">
        <v>1708</v>
      </c>
      <c r="C37" s="56" t="s">
        <v>15</v>
      </c>
      <c r="D37" s="142" t="s">
        <v>457</v>
      </c>
      <c r="E37" s="142" t="s">
        <v>51</v>
      </c>
      <c r="F37" s="142"/>
      <c r="G37" s="142" t="s">
        <v>1673</v>
      </c>
      <c r="H37" s="142" t="s">
        <v>274</v>
      </c>
    </row>
    <row r="38" customHeight="1" spans="1:8">
      <c r="A38" s="56">
        <v>37</v>
      </c>
      <c r="B38" s="142" t="s">
        <v>1709</v>
      </c>
      <c r="C38" s="56" t="s">
        <v>13</v>
      </c>
      <c r="D38" s="142" t="s">
        <v>466</v>
      </c>
      <c r="E38" s="142" t="s">
        <v>51</v>
      </c>
      <c r="F38" s="142"/>
      <c r="G38" s="142" t="s">
        <v>1673</v>
      </c>
      <c r="H38" s="142" t="s">
        <v>270</v>
      </c>
    </row>
    <row r="39" customHeight="1" spans="1:8">
      <c r="A39" s="56">
        <v>38</v>
      </c>
      <c r="B39" s="142" t="s">
        <v>1710</v>
      </c>
      <c r="C39" s="56" t="s">
        <v>13</v>
      </c>
      <c r="D39" s="142" t="s">
        <v>796</v>
      </c>
      <c r="E39" s="142" t="s">
        <v>51</v>
      </c>
      <c r="F39" s="142"/>
      <c r="G39" s="142" t="s">
        <v>1673</v>
      </c>
      <c r="H39" s="142" t="s">
        <v>270</v>
      </c>
    </row>
    <row r="40" customHeight="1" spans="1:8">
      <c r="A40" s="56">
        <v>39</v>
      </c>
      <c r="B40" s="142" t="s">
        <v>1711</v>
      </c>
      <c r="C40" s="56" t="s">
        <v>33</v>
      </c>
      <c r="D40" s="142" t="s">
        <v>1712</v>
      </c>
      <c r="E40" s="142"/>
      <c r="F40" s="142"/>
      <c r="G40" s="142"/>
      <c r="H40" s="142" t="s">
        <v>273</v>
      </c>
    </row>
    <row r="41" customHeight="1" spans="1:8">
      <c r="A41" s="56">
        <v>40</v>
      </c>
      <c r="B41" s="142" t="s">
        <v>1713</v>
      </c>
      <c r="C41" s="56" t="s">
        <v>33</v>
      </c>
      <c r="D41" s="142" t="s">
        <v>777</v>
      </c>
      <c r="E41" s="142" t="s">
        <v>51</v>
      </c>
      <c r="F41" s="142"/>
      <c r="G41" s="142" t="s">
        <v>300</v>
      </c>
      <c r="H41" s="142" t="s">
        <v>273</v>
      </c>
    </row>
    <row r="42" customHeight="1" spans="1:8">
      <c r="A42" s="56">
        <v>41</v>
      </c>
      <c r="B42" s="142" t="s">
        <v>1714</v>
      </c>
      <c r="C42" s="56" t="s">
        <v>33</v>
      </c>
      <c r="D42" s="142" t="s">
        <v>1018</v>
      </c>
      <c r="E42" s="142" t="s">
        <v>378</v>
      </c>
      <c r="F42" s="142" t="s">
        <v>356</v>
      </c>
      <c r="G42" s="142" t="s">
        <v>378</v>
      </c>
      <c r="H42" s="142" t="s">
        <v>273</v>
      </c>
    </row>
    <row r="43" customHeight="1" spans="1:8">
      <c r="A43" s="56">
        <v>42</v>
      </c>
      <c r="B43" s="142" t="s">
        <v>1715</v>
      </c>
      <c r="C43" s="56" t="s">
        <v>23</v>
      </c>
      <c r="D43" s="142" t="s">
        <v>1677</v>
      </c>
      <c r="E43" s="142"/>
      <c r="F43" s="142"/>
      <c r="G43" s="142"/>
      <c r="H43" s="142" t="s">
        <v>276</v>
      </c>
    </row>
    <row r="44" customHeight="1" spans="1:8">
      <c r="A44" s="56">
        <v>43</v>
      </c>
      <c r="B44" s="142" t="s">
        <v>1716</v>
      </c>
      <c r="C44" s="56" t="s">
        <v>17</v>
      </c>
      <c r="D44" s="142" t="s">
        <v>1018</v>
      </c>
      <c r="E44" s="142" t="s">
        <v>51</v>
      </c>
      <c r="F44" s="142"/>
      <c r="G44" s="142" t="s">
        <v>1673</v>
      </c>
      <c r="H44" s="142" t="s">
        <v>273</v>
      </c>
    </row>
    <row r="45" customHeight="1" spans="1:8">
      <c r="A45" s="56">
        <v>44</v>
      </c>
      <c r="B45" s="142" t="s">
        <v>1717</v>
      </c>
      <c r="C45" s="56" t="s">
        <v>38</v>
      </c>
      <c r="D45" s="142" t="s">
        <v>553</v>
      </c>
      <c r="E45" s="142" t="s">
        <v>51</v>
      </c>
      <c r="F45" s="142"/>
      <c r="G45" s="142" t="s">
        <v>300</v>
      </c>
      <c r="H45" s="142" t="s">
        <v>274</v>
      </c>
    </row>
    <row r="46" customHeight="1" spans="1:8">
      <c r="A46" s="56">
        <v>45</v>
      </c>
      <c r="B46" s="142" t="s">
        <v>1718</v>
      </c>
      <c r="C46" s="56" t="s">
        <v>175</v>
      </c>
      <c r="D46" s="142" t="s">
        <v>411</v>
      </c>
      <c r="E46" s="142" t="s">
        <v>51</v>
      </c>
      <c r="F46" s="142"/>
      <c r="G46" s="142" t="s">
        <v>1673</v>
      </c>
      <c r="H46" s="142" t="s">
        <v>273</v>
      </c>
    </row>
    <row r="47" customHeight="1" spans="1:8">
      <c r="A47" s="56">
        <v>46</v>
      </c>
      <c r="B47" s="142" t="s">
        <v>1719</v>
      </c>
      <c r="C47" s="56" t="s">
        <v>125</v>
      </c>
      <c r="D47" s="142"/>
      <c r="E47" s="142"/>
      <c r="F47" s="142"/>
      <c r="G47" s="142"/>
      <c r="H47" s="142" t="s">
        <v>277</v>
      </c>
    </row>
    <row r="48" customHeight="1" spans="1:8">
      <c r="A48" s="56">
        <v>47</v>
      </c>
      <c r="B48" s="142" t="s">
        <v>1720</v>
      </c>
      <c r="C48" s="56" t="s">
        <v>100</v>
      </c>
      <c r="D48" s="142" t="s">
        <v>1677</v>
      </c>
      <c r="E48" s="142"/>
      <c r="F48" s="142"/>
      <c r="G48" s="142"/>
      <c r="H48" s="142" t="s">
        <v>276</v>
      </c>
    </row>
    <row r="49" customHeight="1" spans="1:8">
      <c r="A49" s="56">
        <v>48</v>
      </c>
      <c r="B49" s="142" t="s">
        <v>1721</v>
      </c>
      <c r="C49" s="56" t="s">
        <v>100</v>
      </c>
      <c r="D49" s="142" t="s">
        <v>1679</v>
      </c>
      <c r="E49" s="142"/>
      <c r="F49" s="142"/>
      <c r="G49" s="142"/>
      <c r="H49" s="142" t="s">
        <v>276</v>
      </c>
    </row>
    <row r="50" customHeight="1" spans="1:8">
      <c r="A50" s="56">
        <v>49</v>
      </c>
      <c r="B50" s="142" t="s">
        <v>1722</v>
      </c>
      <c r="C50" s="56" t="s">
        <v>15</v>
      </c>
      <c r="D50" s="142" t="s">
        <v>366</v>
      </c>
      <c r="E50" s="142" t="s">
        <v>51</v>
      </c>
      <c r="F50" s="142"/>
      <c r="G50" s="142" t="s">
        <v>1673</v>
      </c>
      <c r="H50" s="142" t="s">
        <v>274</v>
      </c>
    </row>
    <row r="51" customHeight="1" spans="1:8">
      <c r="A51" s="56">
        <v>50</v>
      </c>
      <c r="B51" s="142" t="s">
        <v>1723</v>
      </c>
      <c r="C51" s="56" t="s">
        <v>15</v>
      </c>
      <c r="D51" s="142" t="s">
        <v>648</v>
      </c>
      <c r="E51" s="142" t="s">
        <v>51</v>
      </c>
      <c r="F51" s="142"/>
      <c r="G51" s="142" t="s">
        <v>300</v>
      </c>
      <c r="H51" s="142" t="s">
        <v>274</v>
      </c>
    </row>
    <row r="52" customHeight="1" spans="1:8">
      <c r="A52" s="56">
        <v>51</v>
      </c>
      <c r="B52" s="142" t="s">
        <v>1724</v>
      </c>
      <c r="C52" s="56" t="s">
        <v>33</v>
      </c>
      <c r="D52" s="142" t="s">
        <v>355</v>
      </c>
      <c r="E52" s="142" t="s">
        <v>355</v>
      </c>
      <c r="F52" s="142" t="s">
        <v>356</v>
      </c>
      <c r="G52" s="142" t="s">
        <v>355</v>
      </c>
      <c r="H52" s="142" t="s">
        <v>273</v>
      </c>
    </row>
    <row r="53" customHeight="1" spans="1:8">
      <c r="A53" s="56">
        <v>52</v>
      </c>
      <c r="B53" s="142" t="s">
        <v>1725</v>
      </c>
      <c r="C53" s="56" t="s">
        <v>34</v>
      </c>
      <c r="D53" s="142" t="s">
        <v>437</v>
      </c>
      <c r="E53" s="142" t="s">
        <v>51</v>
      </c>
      <c r="F53" s="142" t="s">
        <v>356</v>
      </c>
      <c r="G53" s="142" t="s">
        <v>1673</v>
      </c>
      <c r="H53" s="142" t="s">
        <v>275</v>
      </c>
    </row>
    <row r="54" customHeight="1" spans="1:8">
      <c r="A54" s="56">
        <v>53</v>
      </c>
      <c r="B54" s="142" t="s">
        <v>1726</v>
      </c>
      <c r="C54" s="56" t="s">
        <v>34</v>
      </c>
      <c r="D54" s="142" t="s">
        <v>366</v>
      </c>
      <c r="E54" s="142" t="s">
        <v>51</v>
      </c>
      <c r="F54" s="142" t="s">
        <v>356</v>
      </c>
      <c r="G54" s="142" t="s">
        <v>1673</v>
      </c>
      <c r="H54" s="142" t="s">
        <v>275</v>
      </c>
    </row>
    <row r="55" customHeight="1" spans="1:8">
      <c r="A55" s="56">
        <v>54</v>
      </c>
      <c r="B55" s="142" t="s">
        <v>1727</v>
      </c>
      <c r="C55" s="56" t="s">
        <v>175</v>
      </c>
      <c r="D55" s="142" t="s">
        <v>457</v>
      </c>
      <c r="E55" s="142" t="s">
        <v>51</v>
      </c>
      <c r="F55" s="142"/>
      <c r="G55" s="142" t="s">
        <v>300</v>
      </c>
      <c r="H55" s="142" t="s">
        <v>273</v>
      </c>
    </row>
    <row r="56" customHeight="1" spans="1:8">
      <c r="A56" s="56">
        <v>55</v>
      </c>
      <c r="B56" s="142" t="s">
        <v>1728</v>
      </c>
      <c r="C56" s="56" t="s">
        <v>17</v>
      </c>
      <c r="D56" s="142" t="s">
        <v>411</v>
      </c>
      <c r="E56" s="142" t="s">
        <v>51</v>
      </c>
      <c r="F56" s="142"/>
      <c r="G56" s="142" t="s">
        <v>300</v>
      </c>
      <c r="H56" s="142" t="s">
        <v>273</v>
      </c>
    </row>
    <row r="57" customHeight="1" spans="1:8">
      <c r="A57" s="56">
        <v>56</v>
      </c>
      <c r="B57" s="142" t="s">
        <v>1729</v>
      </c>
      <c r="C57" s="56" t="s">
        <v>19</v>
      </c>
      <c r="D57" s="142" t="s">
        <v>457</v>
      </c>
      <c r="E57" s="142" t="s">
        <v>51</v>
      </c>
      <c r="F57" s="142"/>
      <c r="G57" s="142" t="s">
        <v>1673</v>
      </c>
      <c r="H57" s="142" t="s">
        <v>270</v>
      </c>
    </row>
    <row r="58" customHeight="1" spans="1:8">
      <c r="A58" s="56">
        <v>57</v>
      </c>
      <c r="B58" s="142" t="s">
        <v>1730</v>
      </c>
      <c r="C58" s="56" t="s">
        <v>17</v>
      </c>
      <c r="D58" s="142" t="s">
        <v>507</v>
      </c>
      <c r="E58" s="142" t="s">
        <v>51</v>
      </c>
      <c r="F58" s="142"/>
      <c r="G58" s="142" t="s">
        <v>1673</v>
      </c>
      <c r="H58" s="142" t="s">
        <v>273</v>
      </c>
    </row>
    <row r="59" customHeight="1" spans="1:8">
      <c r="A59" s="56">
        <v>58</v>
      </c>
      <c r="B59" s="142" t="s">
        <v>1731</v>
      </c>
      <c r="C59" s="56" t="s">
        <v>38</v>
      </c>
      <c r="D59" s="142" t="s">
        <v>411</v>
      </c>
      <c r="E59" s="142" t="s">
        <v>51</v>
      </c>
      <c r="F59" s="142"/>
      <c r="G59" s="142" t="s">
        <v>1673</v>
      </c>
      <c r="H59" s="142" t="s">
        <v>274</v>
      </c>
    </row>
    <row r="60" customHeight="1" spans="1:8">
      <c r="A60" s="56">
        <v>59</v>
      </c>
      <c r="B60" s="142" t="s">
        <v>1732</v>
      </c>
      <c r="C60" s="56" t="s">
        <v>100</v>
      </c>
      <c r="D60" s="142" t="s">
        <v>386</v>
      </c>
      <c r="E60" s="142" t="s">
        <v>378</v>
      </c>
      <c r="F60" s="142" t="s">
        <v>356</v>
      </c>
      <c r="G60" s="142" t="s">
        <v>378</v>
      </c>
      <c r="H60" s="142" t="s">
        <v>276</v>
      </c>
    </row>
    <row r="61" customHeight="1" spans="1:8">
      <c r="A61" s="56">
        <v>60</v>
      </c>
      <c r="B61" s="142" t="s">
        <v>1733</v>
      </c>
      <c r="C61" s="56" t="s">
        <v>17</v>
      </c>
      <c r="D61" s="142" t="s">
        <v>507</v>
      </c>
      <c r="E61" s="142" t="s">
        <v>51</v>
      </c>
      <c r="F61" s="142"/>
      <c r="G61" s="142" t="s">
        <v>300</v>
      </c>
      <c r="H61" s="142" t="s">
        <v>273</v>
      </c>
    </row>
    <row r="62" customHeight="1" spans="1:8">
      <c r="A62" s="56">
        <v>61</v>
      </c>
      <c r="B62" s="142" t="s">
        <v>1734</v>
      </c>
      <c r="C62" s="56" t="s">
        <v>100</v>
      </c>
      <c r="D62" s="142" t="s">
        <v>1679</v>
      </c>
      <c r="E62" s="142"/>
      <c r="F62" s="142"/>
      <c r="G62" s="142"/>
      <c r="H62" s="142" t="s">
        <v>276</v>
      </c>
    </row>
    <row r="63" customHeight="1" spans="1:8">
      <c r="A63" s="56">
        <v>62</v>
      </c>
      <c r="B63" s="142" t="s">
        <v>1735</v>
      </c>
      <c r="C63" s="56" t="s">
        <v>100</v>
      </c>
      <c r="D63" s="142" t="s">
        <v>633</v>
      </c>
      <c r="E63" s="142" t="s">
        <v>378</v>
      </c>
      <c r="F63" s="142" t="s">
        <v>356</v>
      </c>
      <c r="G63" s="142" t="s">
        <v>355</v>
      </c>
      <c r="H63" s="142" t="s">
        <v>276</v>
      </c>
    </row>
    <row r="64" customHeight="1" spans="1:8">
      <c r="A64" s="56">
        <v>63</v>
      </c>
      <c r="B64" s="142" t="s">
        <v>1736</v>
      </c>
      <c r="C64" s="56" t="s">
        <v>100</v>
      </c>
      <c r="D64" s="142" t="s">
        <v>648</v>
      </c>
      <c r="E64" s="142" t="s">
        <v>51</v>
      </c>
      <c r="F64" s="142" t="s">
        <v>367</v>
      </c>
      <c r="G64" s="142" t="s">
        <v>1673</v>
      </c>
      <c r="H64" s="142" t="s">
        <v>276</v>
      </c>
    </row>
    <row r="65" customHeight="1" spans="1:8">
      <c r="A65" s="56">
        <v>64</v>
      </c>
      <c r="B65" s="142" t="s">
        <v>1737</v>
      </c>
      <c r="C65" s="56" t="s">
        <v>29</v>
      </c>
      <c r="D65" s="142" t="s">
        <v>457</v>
      </c>
      <c r="E65" s="142" t="s">
        <v>51</v>
      </c>
      <c r="F65" s="142" t="s">
        <v>367</v>
      </c>
      <c r="G65" s="142" t="s">
        <v>300</v>
      </c>
      <c r="H65" s="142" t="s">
        <v>270</v>
      </c>
    </row>
    <row r="66" customHeight="1" spans="1:8">
      <c r="A66" s="56">
        <v>65</v>
      </c>
      <c r="B66" s="142" t="s">
        <v>1738</v>
      </c>
      <c r="C66" s="56" t="s">
        <v>25</v>
      </c>
      <c r="D66" s="142" t="s">
        <v>1677</v>
      </c>
      <c r="E66" s="142" t="s">
        <v>51</v>
      </c>
      <c r="F66" s="142" t="s">
        <v>356</v>
      </c>
      <c r="G66" s="142" t="s">
        <v>1673</v>
      </c>
      <c r="H66" s="142" t="s">
        <v>275</v>
      </c>
    </row>
    <row r="67" customHeight="1" spans="1:8">
      <c r="A67" s="56">
        <v>66</v>
      </c>
      <c r="B67" s="142" t="s">
        <v>1739</v>
      </c>
      <c r="C67" s="56" t="s">
        <v>25</v>
      </c>
      <c r="D67" s="142" t="s">
        <v>777</v>
      </c>
      <c r="E67" s="142" t="s">
        <v>51</v>
      </c>
      <c r="F67" s="142" t="s">
        <v>356</v>
      </c>
      <c r="G67" s="142" t="s">
        <v>1673</v>
      </c>
      <c r="H67" s="142" t="s">
        <v>275</v>
      </c>
    </row>
    <row r="68" customHeight="1" spans="1:8">
      <c r="A68" s="56">
        <v>67</v>
      </c>
      <c r="B68" s="142" t="s">
        <v>1740</v>
      </c>
      <c r="C68" s="56" t="s">
        <v>23</v>
      </c>
      <c r="D68" s="142" t="s">
        <v>366</v>
      </c>
      <c r="E68" s="142" t="s">
        <v>51</v>
      </c>
      <c r="F68" s="142" t="s">
        <v>367</v>
      </c>
      <c r="G68" s="142" t="s">
        <v>1673</v>
      </c>
      <c r="H68" s="142" t="s">
        <v>276</v>
      </c>
    </row>
    <row r="69" customHeight="1" spans="1:8">
      <c r="A69" s="56">
        <v>68</v>
      </c>
      <c r="B69" s="142" t="s">
        <v>1741</v>
      </c>
      <c r="C69" s="56" t="s">
        <v>23</v>
      </c>
      <c r="D69" s="142" t="s">
        <v>861</v>
      </c>
      <c r="E69" s="142" t="s">
        <v>51</v>
      </c>
      <c r="F69" s="142" t="s">
        <v>356</v>
      </c>
      <c r="G69" s="142" t="s">
        <v>1673</v>
      </c>
      <c r="H69" s="142" t="s">
        <v>276</v>
      </c>
    </row>
    <row r="70" customHeight="1" spans="1:8">
      <c r="A70" s="56">
        <v>69</v>
      </c>
      <c r="B70" s="142" t="s">
        <v>1742</v>
      </c>
      <c r="C70" s="56" t="s">
        <v>23</v>
      </c>
      <c r="D70" s="142" t="s">
        <v>1677</v>
      </c>
      <c r="E70" s="142"/>
      <c r="F70" s="142"/>
      <c r="G70" s="142"/>
      <c r="H70" s="142" t="s">
        <v>276</v>
      </c>
    </row>
    <row r="71" customHeight="1" spans="1:8">
      <c r="A71" s="56">
        <v>70</v>
      </c>
      <c r="B71" s="142" t="s">
        <v>1743</v>
      </c>
      <c r="C71" s="56" t="s">
        <v>13</v>
      </c>
      <c r="D71" s="142" t="s">
        <v>507</v>
      </c>
      <c r="E71" s="142" t="s">
        <v>51</v>
      </c>
      <c r="F71" s="142"/>
      <c r="G71" s="142" t="s">
        <v>1673</v>
      </c>
      <c r="H71" s="142" t="s">
        <v>270</v>
      </c>
    </row>
    <row r="72" customHeight="1" spans="1:8">
      <c r="A72" s="56">
        <v>71</v>
      </c>
      <c r="B72" s="142" t="s">
        <v>1744</v>
      </c>
      <c r="C72" s="56" t="s">
        <v>13</v>
      </c>
      <c r="D72" s="142" t="s">
        <v>355</v>
      </c>
      <c r="E72" s="142" t="s">
        <v>355</v>
      </c>
      <c r="F72" s="142" t="s">
        <v>356</v>
      </c>
      <c r="G72" s="142" t="s">
        <v>355</v>
      </c>
      <c r="H72" s="142" t="s">
        <v>270</v>
      </c>
    </row>
    <row r="73" customHeight="1" spans="1:8">
      <c r="A73" s="56">
        <v>72</v>
      </c>
      <c r="B73" s="142" t="s">
        <v>1745</v>
      </c>
      <c r="C73" s="56" t="s">
        <v>33</v>
      </c>
      <c r="D73" s="142" t="s">
        <v>355</v>
      </c>
      <c r="E73" s="142" t="s">
        <v>355</v>
      </c>
      <c r="F73" s="142" t="s">
        <v>356</v>
      </c>
      <c r="G73" s="142" t="s">
        <v>355</v>
      </c>
      <c r="H73" s="142" t="s">
        <v>273</v>
      </c>
    </row>
    <row r="74" customHeight="1" spans="1:8">
      <c r="A74" s="56">
        <v>73</v>
      </c>
      <c r="B74" s="142" t="s">
        <v>1746</v>
      </c>
      <c r="C74" s="56" t="s">
        <v>34</v>
      </c>
      <c r="D74" s="142" t="s">
        <v>437</v>
      </c>
      <c r="E74" s="142" t="s">
        <v>51</v>
      </c>
      <c r="F74" s="142" t="s">
        <v>367</v>
      </c>
      <c r="G74" s="142" t="s">
        <v>300</v>
      </c>
      <c r="H74" s="142" t="s">
        <v>275</v>
      </c>
    </row>
    <row r="75" customHeight="1" spans="1:8">
      <c r="A75" s="56">
        <v>74</v>
      </c>
      <c r="B75" s="142" t="s">
        <v>1747</v>
      </c>
      <c r="C75" s="56" t="s">
        <v>38</v>
      </c>
      <c r="D75" s="142" t="s">
        <v>355</v>
      </c>
      <c r="E75" s="142" t="s">
        <v>355</v>
      </c>
      <c r="F75" s="142" t="s">
        <v>356</v>
      </c>
      <c r="G75" s="142" t="s">
        <v>355</v>
      </c>
      <c r="H75" s="142" t="s">
        <v>274</v>
      </c>
    </row>
    <row r="76" customHeight="1" spans="1:8">
      <c r="A76" s="56">
        <v>75</v>
      </c>
      <c r="B76" s="142" t="s">
        <v>1748</v>
      </c>
      <c r="C76" s="56" t="s">
        <v>17</v>
      </c>
      <c r="D76" s="142" t="s">
        <v>437</v>
      </c>
      <c r="E76" s="142" t="s">
        <v>51</v>
      </c>
      <c r="F76" s="142"/>
      <c r="G76" s="142" t="s">
        <v>300</v>
      </c>
      <c r="H76" s="142" t="s">
        <v>273</v>
      </c>
    </row>
    <row r="77" customHeight="1" spans="1:8">
      <c r="A77" s="56">
        <v>76</v>
      </c>
      <c r="B77" s="142" t="s">
        <v>1749</v>
      </c>
      <c r="C77" s="56" t="s">
        <v>17</v>
      </c>
      <c r="D77" s="142" t="s">
        <v>1673</v>
      </c>
      <c r="E77" s="142" t="s">
        <v>51</v>
      </c>
      <c r="F77" s="142"/>
      <c r="G77" s="142" t="s">
        <v>1673</v>
      </c>
      <c r="H77" s="142" t="s">
        <v>273</v>
      </c>
    </row>
    <row r="78" customHeight="1" spans="1:8">
      <c r="A78" s="56">
        <v>77</v>
      </c>
      <c r="B78" s="142" t="s">
        <v>1750</v>
      </c>
      <c r="C78" s="56" t="s">
        <v>38</v>
      </c>
      <c r="D78" s="142" t="s">
        <v>366</v>
      </c>
      <c r="E78" s="142" t="s">
        <v>51</v>
      </c>
      <c r="F78" s="142"/>
      <c r="G78" s="142" t="s">
        <v>300</v>
      </c>
      <c r="H78" s="142" t="s">
        <v>274</v>
      </c>
    </row>
    <row r="79" customHeight="1" spans="1:8">
      <c r="A79" s="56">
        <v>78</v>
      </c>
      <c r="B79" s="142" t="s">
        <v>1751</v>
      </c>
      <c r="C79" s="56" t="s">
        <v>100</v>
      </c>
      <c r="D79" s="142" t="s">
        <v>424</v>
      </c>
      <c r="E79" s="142" t="s">
        <v>378</v>
      </c>
      <c r="F79" s="142" t="s">
        <v>356</v>
      </c>
      <c r="G79" s="142" t="s">
        <v>378</v>
      </c>
      <c r="H79" s="142" t="s">
        <v>276</v>
      </c>
    </row>
    <row r="80" customHeight="1" spans="1:8">
      <c r="A80" s="56">
        <v>79</v>
      </c>
      <c r="B80" s="142" t="s">
        <v>1752</v>
      </c>
      <c r="C80" s="56" t="s">
        <v>38</v>
      </c>
      <c r="D80" s="142" t="s">
        <v>633</v>
      </c>
      <c r="E80" s="142" t="s">
        <v>378</v>
      </c>
      <c r="F80" s="142" t="s">
        <v>356</v>
      </c>
      <c r="G80" s="142" t="s">
        <v>378</v>
      </c>
      <c r="H80" s="142" t="s">
        <v>274</v>
      </c>
    </row>
    <row r="81" customHeight="1" spans="1:8">
      <c r="A81" s="56">
        <v>80</v>
      </c>
      <c r="B81" s="142" t="s">
        <v>1753</v>
      </c>
      <c r="C81" s="56" t="s">
        <v>100</v>
      </c>
      <c r="D81" s="142" t="s">
        <v>457</v>
      </c>
      <c r="E81" s="142" t="s">
        <v>51</v>
      </c>
      <c r="F81" s="142" t="s">
        <v>367</v>
      </c>
      <c r="G81" s="142" t="s">
        <v>300</v>
      </c>
      <c r="H81" s="142" t="s">
        <v>276</v>
      </c>
    </row>
    <row r="82" customHeight="1" spans="1:8">
      <c r="A82" s="56">
        <v>81</v>
      </c>
      <c r="B82" s="142" t="s">
        <v>1754</v>
      </c>
      <c r="C82" s="56" t="s">
        <v>100</v>
      </c>
      <c r="D82" s="142" t="s">
        <v>437</v>
      </c>
      <c r="E82" s="142" t="s">
        <v>51</v>
      </c>
      <c r="F82" s="142"/>
      <c r="G82" s="142" t="s">
        <v>300</v>
      </c>
      <c r="H82" s="142" t="s">
        <v>276</v>
      </c>
    </row>
    <row r="83" customHeight="1" spans="1:8">
      <c r="A83" s="56">
        <v>82</v>
      </c>
      <c r="B83" s="142" t="s">
        <v>1755</v>
      </c>
      <c r="C83" s="56" t="s">
        <v>100</v>
      </c>
      <c r="D83" s="142" t="s">
        <v>355</v>
      </c>
      <c r="E83" s="142"/>
      <c r="F83" s="142"/>
      <c r="G83" s="142"/>
      <c r="H83" s="142" t="s">
        <v>276</v>
      </c>
    </row>
    <row r="84" customHeight="1" spans="1:8">
      <c r="A84" s="56">
        <v>83</v>
      </c>
      <c r="B84" s="142" t="s">
        <v>1756</v>
      </c>
      <c r="C84" s="56" t="s">
        <v>100</v>
      </c>
      <c r="D84" s="142" t="s">
        <v>386</v>
      </c>
      <c r="E84" s="142" t="s">
        <v>51</v>
      </c>
      <c r="F84" s="142" t="s">
        <v>367</v>
      </c>
      <c r="G84" s="142" t="s">
        <v>1673</v>
      </c>
      <c r="H84" s="142" t="s">
        <v>276</v>
      </c>
    </row>
    <row r="85" customHeight="1" spans="1:8">
      <c r="A85" s="56">
        <v>84</v>
      </c>
      <c r="B85" s="142" t="s">
        <v>1757</v>
      </c>
      <c r="C85" s="56" t="s">
        <v>29</v>
      </c>
      <c r="D85" s="142"/>
      <c r="E85" s="142" t="s">
        <v>355</v>
      </c>
      <c r="F85" s="142"/>
      <c r="G85" s="142"/>
      <c r="H85" s="142" t="s">
        <v>270</v>
      </c>
    </row>
    <row r="86" customHeight="1" spans="1:8">
      <c r="A86" s="56">
        <v>85</v>
      </c>
      <c r="B86" s="142" t="s">
        <v>1758</v>
      </c>
      <c r="C86" s="56" t="s">
        <v>29</v>
      </c>
      <c r="D86" s="142" t="s">
        <v>590</v>
      </c>
      <c r="E86" s="142" t="s">
        <v>51</v>
      </c>
      <c r="F86" s="142" t="s">
        <v>367</v>
      </c>
      <c r="G86" s="142" t="s">
        <v>300</v>
      </c>
      <c r="H86" s="142" t="s">
        <v>270</v>
      </c>
    </row>
    <row r="87" customHeight="1" spans="1:8">
      <c r="A87" s="56">
        <v>86</v>
      </c>
      <c r="B87" s="142" t="s">
        <v>1759</v>
      </c>
      <c r="C87" s="56" t="s">
        <v>29</v>
      </c>
      <c r="D87" s="142" t="s">
        <v>355</v>
      </c>
      <c r="E87" s="142" t="s">
        <v>355</v>
      </c>
      <c r="F87" s="142" t="s">
        <v>356</v>
      </c>
      <c r="G87" s="142" t="s">
        <v>355</v>
      </c>
      <c r="H87" s="142" t="s">
        <v>270</v>
      </c>
    </row>
    <row r="88" customHeight="1" spans="1:8">
      <c r="A88" s="56">
        <v>87</v>
      </c>
      <c r="B88" s="142" t="s">
        <v>1760</v>
      </c>
      <c r="C88" s="56" t="s">
        <v>25</v>
      </c>
      <c r="D88" s="142" t="s">
        <v>1677</v>
      </c>
      <c r="E88" s="142"/>
      <c r="F88" s="142"/>
      <c r="G88" s="142"/>
      <c r="H88" s="142" t="s">
        <v>275</v>
      </c>
    </row>
    <row r="89" customHeight="1" spans="1:8">
      <c r="A89" s="56">
        <v>88</v>
      </c>
      <c r="B89" s="142" t="s">
        <v>1761</v>
      </c>
      <c r="C89" s="56" t="s">
        <v>25</v>
      </c>
      <c r="D89" s="142" t="s">
        <v>355</v>
      </c>
      <c r="E89" s="142" t="s">
        <v>355</v>
      </c>
      <c r="F89" s="142" t="s">
        <v>356</v>
      </c>
      <c r="G89" s="142" t="s">
        <v>355</v>
      </c>
      <c r="H89" s="142" t="s">
        <v>275</v>
      </c>
    </row>
    <row r="90" customHeight="1" spans="1:8">
      <c r="A90" s="56">
        <v>89</v>
      </c>
      <c r="B90" s="142" t="s">
        <v>1762</v>
      </c>
      <c r="C90" s="56" t="s">
        <v>15</v>
      </c>
      <c r="D90" s="142" t="s">
        <v>796</v>
      </c>
      <c r="E90" s="142" t="s">
        <v>378</v>
      </c>
      <c r="F90" s="142" t="s">
        <v>356</v>
      </c>
      <c r="G90" s="142" t="s">
        <v>378</v>
      </c>
      <c r="H90" s="142" t="s">
        <v>274</v>
      </c>
    </row>
    <row r="91" customHeight="1" spans="1:8">
      <c r="A91" s="56">
        <v>90</v>
      </c>
      <c r="B91" s="142" t="s">
        <v>1763</v>
      </c>
      <c r="C91" s="56" t="s">
        <v>13</v>
      </c>
      <c r="D91" s="142" t="s">
        <v>457</v>
      </c>
      <c r="E91" s="142" t="s">
        <v>51</v>
      </c>
      <c r="F91" s="142"/>
      <c r="G91" s="142" t="s">
        <v>1673</v>
      </c>
      <c r="H91" s="142" t="s">
        <v>270</v>
      </c>
    </row>
    <row r="92" customHeight="1" spans="1:8">
      <c r="A92" s="56">
        <v>91</v>
      </c>
      <c r="B92" s="142" t="s">
        <v>1764</v>
      </c>
      <c r="C92" s="56" t="s">
        <v>13</v>
      </c>
      <c r="D92" s="142" t="s">
        <v>633</v>
      </c>
      <c r="E92" s="142" t="s">
        <v>51</v>
      </c>
      <c r="F92" s="142"/>
      <c r="G92" s="142" t="s">
        <v>1673</v>
      </c>
      <c r="H92" s="142" t="s">
        <v>270</v>
      </c>
    </row>
    <row r="93" customHeight="1" spans="1:8">
      <c r="A93" s="56">
        <v>92</v>
      </c>
      <c r="B93" s="142" t="s">
        <v>1765</v>
      </c>
      <c r="C93" s="56" t="s">
        <v>34</v>
      </c>
      <c r="D93" s="142" t="s">
        <v>1677</v>
      </c>
      <c r="E93" s="142"/>
      <c r="F93" s="142"/>
      <c r="G93" s="142"/>
      <c r="H93" s="142" t="s">
        <v>275</v>
      </c>
    </row>
    <row r="94" customHeight="1" spans="1:8">
      <c r="A94" s="56">
        <v>93</v>
      </c>
      <c r="B94" s="142" t="s">
        <v>1766</v>
      </c>
      <c r="C94" s="56" t="s">
        <v>175</v>
      </c>
      <c r="D94" s="142" t="s">
        <v>1018</v>
      </c>
      <c r="E94" s="142" t="s">
        <v>51</v>
      </c>
      <c r="F94" s="142"/>
      <c r="G94" s="142" t="s">
        <v>1673</v>
      </c>
      <c r="H94" s="142" t="s">
        <v>273</v>
      </c>
    </row>
    <row r="95" customHeight="1" spans="1:8">
      <c r="A95" s="56">
        <v>94</v>
      </c>
      <c r="B95" s="142" t="s">
        <v>1767</v>
      </c>
      <c r="C95" s="56" t="s">
        <v>13</v>
      </c>
      <c r="D95" s="142" t="s">
        <v>355</v>
      </c>
      <c r="E95" s="142" t="s">
        <v>355</v>
      </c>
      <c r="F95" s="142" t="s">
        <v>356</v>
      </c>
      <c r="G95" s="142" t="s">
        <v>355</v>
      </c>
      <c r="H95" s="142" t="s">
        <v>270</v>
      </c>
    </row>
    <row r="96" customHeight="1" spans="1:8">
      <c r="A96" s="56">
        <v>95</v>
      </c>
      <c r="B96" s="142" t="s">
        <v>1768</v>
      </c>
      <c r="C96" s="56" t="s">
        <v>111</v>
      </c>
      <c r="D96" s="142" t="s">
        <v>437</v>
      </c>
      <c r="E96" s="142" t="s">
        <v>51</v>
      </c>
      <c r="F96" s="142" t="s">
        <v>367</v>
      </c>
      <c r="G96" s="142" t="s">
        <v>300</v>
      </c>
      <c r="H96" s="142" t="s">
        <v>275</v>
      </c>
    </row>
    <row r="97" customHeight="1" spans="1:8">
      <c r="A97" s="56">
        <v>96</v>
      </c>
      <c r="B97" s="142" t="s">
        <v>1769</v>
      </c>
      <c r="C97" s="56" t="s">
        <v>17</v>
      </c>
      <c r="D97" s="142" t="s">
        <v>492</v>
      </c>
      <c r="E97" s="142" t="s">
        <v>378</v>
      </c>
      <c r="F97" s="142" t="s">
        <v>356</v>
      </c>
      <c r="G97" s="142" t="s">
        <v>378</v>
      </c>
      <c r="H97" s="142" t="s">
        <v>273</v>
      </c>
    </row>
    <row r="98" customHeight="1" spans="1:8">
      <c r="A98" s="56">
        <v>97</v>
      </c>
      <c r="B98" s="142" t="s">
        <v>1770</v>
      </c>
      <c r="C98" s="56" t="s">
        <v>38</v>
      </c>
      <c r="D98" s="142"/>
      <c r="E98" s="142"/>
      <c r="F98" s="142"/>
      <c r="G98" s="142"/>
      <c r="H98" s="142" t="s">
        <v>274</v>
      </c>
    </row>
    <row r="99" customHeight="1" spans="1:8">
      <c r="A99" s="56">
        <v>98</v>
      </c>
      <c r="B99" s="142" t="s">
        <v>1771</v>
      </c>
      <c r="C99" s="56" t="s">
        <v>17</v>
      </c>
      <c r="D99" s="142" t="s">
        <v>355</v>
      </c>
      <c r="E99" s="142" t="s">
        <v>355</v>
      </c>
      <c r="F99" s="142" t="s">
        <v>356</v>
      </c>
      <c r="G99" s="142" t="s">
        <v>355</v>
      </c>
      <c r="H99" s="142" t="s">
        <v>273</v>
      </c>
    </row>
    <row r="100" customHeight="1" spans="1:8">
      <c r="A100" s="56">
        <v>99</v>
      </c>
      <c r="B100" s="142" t="s">
        <v>1772</v>
      </c>
      <c r="C100" s="56" t="s">
        <v>23</v>
      </c>
      <c r="D100" s="142" t="s">
        <v>507</v>
      </c>
      <c r="E100" s="142" t="s">
        <v>51</v>
      </c>
      <c r="F100" s="142" t="s">
        <v>367</v>
      </c>
      <c r="G100" s="142" t="s">
        <v>300</v>
      </c>
      <c r="H100" s="142" t="s">
        <v>276</v>
      </c>
    </row>
    <row r="101" customHeight="1" spans="1:8">
      <c r="A101" s="56">
        <v>100</v>
      </c>
      <c r="B101" s="142" t="s">
        <v>1773</v>
      </c>
      <c r="C101" s="56" t="s">
        <v>175</v>
      </c>
      <c r="D101" s="142" t="s">
        <v>1774</v>
      </c>
      <c r="E101" s="142" t="s">
        <v>378</v>
      </c>
      <c r="F101" s="142" t="s">
        <v>356</v>
      </c>
      <c r="G101" s="142" t="s">
        <v>378</v>
      </c>
      <c r="H101" s="142" t="s">
        <v>273</v>
      </c>
    </row>
    <row r="102" customHeight="1" spans="1:8">
      <c r="A102" s="56">
        <v>101</v>
      </c>
      <c r="B102" s="142" t="s">
        <v>1775</v>
      </c>
      <c r="C102" s="56" t="s">
        <v>17</v>
      </c>
      <c r="D102" s="142" t="s">
        <v>1673</v>
      </c>
      <c r="E102" s="142" t="s">
        <v>51</v>
      </c>
      <c r="F102" s="142"/>
      <c r="G102" s="142" t="s">
        <v>1673</v>
      </c>
      <c r="H102" s="142" t="s">
        <v>273</v>
      </c>
    </row>
    <row r="103" customHeight="1" spans="1:8">
      <c r="A103" s="56">
        <v>102</v>
      </c>
      <c r="B103" s="142" t="s">
        <v>1776</v>
      </c>
      <c r="C103" s="56" t="s">
        <v>19</v>
      </c>
      <c r="D103" s="142" t="s">
        <v>355</v>
      </c>
      <c r="E103" s="142" t="s">
        <v>355</v>
      </c>
      <c r="F103" s="142" t="s">
        <v>356</v>
      </c>
      <c r="G103" s="142" t="s">
        <v>355</v>
      </c>
      <c r="H103" s="142" t="s">
        <v>270</v>
      </c>
    </row>
    <row r="104" customHeight="1" spans="1:8">
      <c r="A104" s="56">
        <v>103</v>
      </c>
      <c r="B104" s="142" t="s">
        <v>1777</v>
      </c>
      <c r="C104" s="56" t="s">
        <v>175</v>
      </c>
      <c r="D104" s="142" t="s">
        <v>507</v>
      </c>
      <c r="E104" s="142" t="s">
        <v>51</v>
      </c>
      <c r="F104" s="142"/>
      <c r="G104" s="142" t="s">
        <v>300</v>
      </c>
      <c r="H104" s="142" t="s">
        <v>273</v>
      </c>
    </row>
    <row r="105" customHeight="1" spans="1:8">
      <c r="A105" s="56">
        <v>104</v>
      </c>
      <c r="B105" s="142" t="s">
        <v>1778</v>
      </c>
      <c r="C105" s="56" t="s">
        <v>100</v>
      </c>
      <c r="D105" s="142" t="s">
        <v>750</v>
      </c>
      <c r="E105" s="142" t="s">
        <v>378</v>
      </c>
      <c r="F105" s="142"/>
      <c r="G105" s="142" t="s">
        <v>300</v>
      </c>
      <c r="H105" s="142" t="s">
        <v>276</v>
      </c>
    </row>
    <row r="106" customHeight="1" spans="1:8">
      <c r="A106" s="56">
        <v>105</v>
      </c>
      <c r="B106" s="142" t="s">
        <v>1779</v>
      </c>
      <c r="C106" s="56" t="s">
        <v>100</v>
      </c>
      <c r="D106" s="142" t="s">
        <v>1677</v>
      </c>
      <c r="E106" s="142"/>
      <c r="F106" s="142"/>
      <c r="G106" s="142"/>
      <c r="H106" s="142" t="s">
        <v>276</v>
      </c>
    </row>
    <row r="107" customHeight="1" spans="1:8">
      <c r="A107" s="56">
        <v>106</v>
      </c>
      <c r="B107" s="142" t="s">
        <v>1780</v>
      </c>
      <c r="C107" s="56" t="s">
        <v>29</v>
      </c>
      <c r="D107" s="142" t="s">
        <v>633</v>
      </c>
      <c r="E107" s="142" t="s">
        <v>378</v>
      </c>
      <c r="F107" s="142"/>
      <c r="G107" s="142"/>
      <c r="H107" s="142" t="s">
        <v>270</v>
      </c>
    </row>
    <row r="108" customHeight="1" spans="1:8">
      <c r="A108" s="56">
        <v>107</v>
      </c>
      <c r="B108" s="142" t="s">
        <v>1781</v>
      </c>
      <c r="C108" s="56" t="s">
        <v>25</v>
      </c>
      <c r="D108" s="142" t="s">
        <v>355</v>
      </c>
      <c r="E108" s="142" t="s">
        <v>355</v>
      </c>
      <c r="F108" s="142" t="s">
        <v>356</v>
      </c>
      <c r="G108" s="142" t="s">
        <v>355</v>
      </c>
      <c r="H108" s="142" t="s">
        <v>275</v>
      </c>
    </row>
    <row r="109" customHeight="1" spans="1:8">
      <c r="A109" s="56">
        <v>108</v>
      </c>
      <c r="B109" s="142" t="s">
        <v>1782</v>
      </c>
      <c r="C109" s="56" t="s">
        <v>25</v>
      </c>
      <c r="D109" s="142" t="s">
        <v>386</v>
      </c>
      <c r="E109" s="142" t="s">
        <v>51</v>
      </c>
      <c r="F109" s="142" t="s">
        <v>356</v>
      </c>
      <c r="G109" s="142" t="s">
        <v>1673</v>
      </c>
      <c r="H109" s="142" t="s">
        <v>275</v>
      </c>
    </row>
    <row r="110" customHeight="1" spans="1:8">
      <c r="A110" s="56">
        <v>109</v>
      </c>
      <c r="B110" s="142" t="s">
        <v>1783</v>
      </c>
      <c r="C110" s="56" t="s">
        <v>23</v>
      </c>
      <c r="D110" s="142" t="s">
        <v>386</v>
      </c>
      <c r="E110" s="142" t="s">
        <v>51</v>
      </c>
      <c r="F110" s="142"/>
      <c r="G110" s="142" t="s">
        <v>1673</v>
      </c>
      <c r="H110" s="142" t="s">
        <v>276</v>
      </c>
    </row>
    <row r="111" customHeight="1" spans="1:8">
      <c r="A111" s="56">
        <v>110</v>
      </c>
      <c r="B111" s="142" t="s">
        <v>1784</v>
      </c>
      <c r="C111" s="56" t="s">
        <v>23</v>
      </c>
      <c r="D111" s="142" t="s">
        <v>507</v>
      </c>
      <c r="E111" s="142" t="s">
        <v>51</v>
      </c>
      <c r="F111" s="142"/>
      <c r="G111" s="142" t="s">
        <v>1673</v>
      </c>
      <c r="H111" s="142" t="s">
        <v>276</v>
      </c>
    </row>
    <row r="112" customHeight="1" spans="1:8">
      <c r="A112" s="56">
        <v>111</v>
      </c>
      <c r="B112" s="142" t="s">
        <v>1785</v>
      </c>
      <c r="C112" s="56" t="s">
        <v>15</v>
      </c>
      <c r="D112" s="142" t="s">
        <v>590</v>
      </c>
      <c r="E112" s="142" t="s">
        <v>51</v>
      </c>
      <c r="F112" s="142"/>
      <c r="G112" s="142" t="s">
        <v>300</v>
      </c>
      <c r="H112" s="142" t="s">
        <v>274</v>
      </c>
    </row>
    <row r="113" customHeight="1" spans="1:8">
      <c r="A113" s="56">
        <v>112</v>
      </c>
      <c r="B113" s="142" t="s">
        <v>1786</v>
      </c>
      <c r="C113" s="56" t="s">
        <v>33</v>
      </c>
      <c r="D113" s="142" t="s">
        <v>553</v>
      </c>
      <c r="E113" s="142" t="s">
        <v>51</v>
      </c>
      <c r="F113" s="142"/>
      <c r="G113" s="142" t="s">
        <v>300</v>
      </c>
      <c r="H113" s="142" t="s">
        <v>273</v>
      </c>
    </row>
    <row r="114" customHeight="1" spans="1:8">
      <c r="A114" s="56">
        <v>113</v>
      </c>
      <c r="B114" s="142" t="s">
        <v>1787</v>
      </c>
      <c r="C114" s="56" t="s">
        <v>111</v>
      </c>
      <c r="D114" s="142" t="s">
        <v>366</v>
      </c>
      <c r="E114" s="142" t="s">
        <v>51</v>
      </c>
      <c r="F114" s="142" t="s">
        <v>356</v>
      </c>
      <c r="G114" s="142" t="s">
        <v>1673</v>
      </c>
      <c r="H114" s="142" t="s">
        <v>275</v>
      </c>
    </row>
    <row r="115" customHeight="1" spans="1:8">
      <c r="A115" s="56">
        <v>114</v>
      </c>
      <c r="B115" s="142" t="s">
        <v>1788</v>
      </c>
      <c r="C115" s="56" t="s">
        <v>111</v>
      </c>
      <c r="D115" s="142" t="s">
        <v>457</v>
      </c>
      <c r="E115" s="142" t="s">
        <v>51</v>
      </c>
      <c r="F115" s="142" t="s">
        <v>367</v>
      </c>
      <c r="G115" s="142" t="s">
        <v>300</v>
      </c>
      <c r="H115" s="142" t="s">
        <v>275</v>
      </c>
    </row>
    <row r="116" customHeight="1" spans="1:8">
      <c r="A116" s="56">
        <v>115</v>
      </c>
      <c r="B116" s="142" t="s">
        <v>1789</v>
      </c>
      <c r="C116" s="56" t="s">
        <v>175</v>
      </c>
      <c r="D116" s="142" t="s">
        <v>386</v>
      </c>
      <c r="E116" s="142" t="s">
        <v>51</v>
      </c>
      <c r="F116" s="142"/>
      <c r="G116" s="142" t="s">
        <v>1673</v>
      </c>
      <c r="H116" s="142" t="s">
        <v>273</v>
      </c>
    </row>
    <row r="117" customHeight="1" spans="1:8">
      <c r="A117" s="56">
        <v>116</v>
      </c>
      <c r="B117" s="142" t="s">
        <v>1790</v>
      </c>
      <c r="C117" s="56" t="s">
        <v>38</v>
      </c>
      <c r="D117" s="142" t="s">
        <v>1301</v>
      </c>
      <c r="E117" s="142" t="s">
        <v>51</v>
      </c>
      <c r="F117" s="142"/>
      <c r="G117" s="142" t="s">
        <v>1673</v>
      </c>
      <c r="H117" s="142" t="s">
        <v>274</v>
      </c>
    </row>
    <row r="118" customHeight="1" spans="1:8">
      <c r="A118" s="56">
        <v>117</v>
      </c>
      <c r="B118" s="142" t="s">
        <v>1791</v>
      </c>
      <c r="C118" s="56" t="s">
        <v>125</v>
      </c>
      <c r="D118" s="142" t="s">
        <v>612</v>
      </c>
      <c r="E118" s="142" t="s">
        <v>51</v>
      </c>
      <c r="F118" s="142" t="s">
        <v>367</v>
      </c>
      <c r="G118" s="142" t="s">
        <v>300</v>
      </c>
      <c r="H118" s="142" t="s">
        <v>277</v>
      </c>
    </row>
    <row r="119" customHeight="1" spans="1:8">
      <c r="A119" s="56">
        <v>118</v>
      </c>
      <c r="B119" s="142" t="s">
        <v>1792</v>
      </c>
      <c r="C119" s="56" t="s">
        <v>100</v>
      </c>
      <c r="D119" s="142" t="s">
        <v>492</v>
      </c>
      <c r="E119" s="142" t="s">
        <v>51</v>
      </c>
      <c r="F119" s="142" t="s">
        <v>367</v>
      </c>
      <c r="G119" s="142" t="s">
        <v>300</v>
      </c>
      <c r="H119" s="142" t="s">
        <v>276</v>
      </c>
    </row>
    <row r="120" customHeight="1" spans="1:8">
      <c r="A120" s="56">
        <v>119</v>
      </c>
      <c r="B120" s="142" t="s">
        <v>1793</v>
      </c>
      <c r="C120" s="56" t="s">
        <v>125</v>
      </c>
      <c r="D120" s="142"/>
      <c r="E120" s="142" t="s">
        <v>51</v>
      </c>
      <c r="F120" s="142"/>
      <c r="G120" s="142" t="s">
        <v>300</v>
      </c>
      <c r="H120" s="142" t="s">
        <v>277</v>
      </c>
    </row>
    <row r="121" customHeight="1" spans="1:8">
      <c r="A121" s="56">
        <v>120</v>
      </c>
      <c r="B121" s="142" t="s">
        <v>1794</v>
      </c>
      <c r="C121" s="56" t="s">
        <v>17</v>
      </c>
      <c r="D121" s="142" t="s">
        <v>1673</v>
      </c>
      <c r="E121" s="142" t="s">
        <v>51</v>
      </c>
      <c r="F121" s="142"/>
      <c r="G121" s="142" t="s">
        <v>1673</v>
      </c>
      <c r="H121" s="142" t="s">
        <v>273</v>
      </c>
    </row>
    <row r="122" customHeight="1" spans="1:8">
      <c r="A122" s="56">
        <v>121</v>
      </c>
      <c r="B122" s="142" t="s">
        <v>1795</v>
      </c>
      <c r="C122" s="56" t="s">
        <v>17</v>
      </c>
      <c r="D122" s="142" t="s">
        <v>355</v>
      </c>
      <c r="E122" s="142" t="s">
        <v>355</v>
      </c>
      <c r="F122" s="142" t="s">
        <v>356</v>
      </c>
      <c r="G122" s="142" t="s">
        <v>355</v>
      </c>
      <c r="H122" s="142" t="s">
        <v>273</v>
      </c>
    </row>
    <row r="123" customHeight="1" spans="1:8">
      <c r="A123" s="56">
        <v>122</v>
      </c>
      <c r="B123" s="142" t="s">
        <v>1796</v>
      </c>
      <c r="C123" s="56" t="s">
        <v>17</v>
      </c>
      <c r="D123" s="142" t="s">
        <v>861</v>
      </c>
      <c r="E123" s="142" t="s">
        <v>51</v>
      </c>
      <c r="F123" s="142"/>
      <c r="G123" s="142" t="s">
        <v>300</v>
      </c>
      <c r="H123" s="142" t="s">
        <v>273</v>
      </c>
    </row>
    <row r="124" customHeight="1" spans="1:8">
      <c r="A124" s="56">
        <v>123</v>
      </c>
      <c r="B124" s="142" t="s">
        <v>1797</v>
      </c>
      <c r="C124" s="56" t="s">
        <v>17</v>
      </c>
      <c r="D124" s="142" t="s">
        <v>457</v>
      </c>
      <c r="E124" s="142" t="s">
        <v>51</v>
      </c>
      <c r="F124" s="142"/>
      <c r="G124" s="142" t="s">
        <v>1673</v>
      </c>
      <c r="H124" s="142" t="s">
        <v>273</v>
      </c>
    </row>
    <row r="125" customHeight="1" spans="1:8">
      <c r="A125" s="56">
        <v>124</v>
      </c>
      <c r="B125" s="142" t="s">
        <v>1798</v>
      </c>
      <c r="C125" s="56" t="s">
        <v>17</v>
      </c>
      <c r="D125" s="142" t="s">
        <v>612</v>
      </c>
      <c r="E125" s="142" t="s">
        <v>51</v>
      </c>
      <c r="F125" s="142"/>
      <c r="G125" s="142" t="s">
        <v>300</v>
      </c>
      <c r="H125" s="142" t="s">
        <v>273</v>
      </c>
    </row>
    <row r="126" customHeight="1" spans="1:8">
      <c r="A126" s="56">
        <v>125</v>
      </c>
      <c r="B126" s="142" t="s">
        <v>1799</v>
      </c>
      <c r="C126" s="56" t="s">
        <v>17</v>
      </c>
      <c r="D126" s="142" t="s">
        <v>457</v>
      </c>
      <c r="E126" s="142" t="s">
        <v>51</v>
      </c>
      <c r="F126" s="142"/>
      <c r="G126" s="142" t="s">
        <v>300</v>
      </c>
      <c r="H126" s="142" t="s">
        <v>273</v>
      </c>
    </row>
    <row r="127" customHeight="1" spans="1:8">
      <c r="A127" s="56">
        <v>126</v>
      </c>
      <c r="B127" s="142" t="s">
        <v>1800</v>
      </c>
      <c r="C127" s="56" t="s">
        <v>33</v>
      </c>
      <c r="D127" s="142" t="s">
        <v>457</v>
      </c>
      <c r="E127" s="142" t="s">
        <v>51</v>
      </c>
      <c r="F127" s="142"/>
      <c r="G127" s="142" t="s">
        <v>300</v>
      </c>
      <c r="H127" s="142" t="s">
        <v>273</v>
      </c>
    </row>
    <row r="128" customHeight="1" spans="1:8">
      <c r="A128" s="56">
        <v>127</v>
      </c>
      <c r="B128" s="142" t="s">
        <v>1801</v>
      </c>
      <c r="C128" s="56" t="s">
        <v>19</v>
      </c>
      <c r="D128" s="142" t="s">
        <v>386</v>
      </c>
      <c r="E128" s="142" t="s">
        <v>378</v>
      </c>
      <c r="F128" s="142" t="s">
        <v>356</v>
      </c>
      <c r="G128" s="142"/>
      <c r="H128" s="142" t="s">
        <v>270</v>
      </c>
    </row>
    <row r="129" customHeight="1" spans="1:8">
      <c r="A129" s="56">
        <v>128</v>
      </c>
      <c r="B129" s="142" t="s">
        <v>1802</v>
      </c>
      <c r="C129" s="56" t="s">
        <v>175</v>
      </c>
      <c r="D129" s="142" t="s">
        <v>355</v>
      </c>
      <c r="E129" s="142" t="s">
        <v>355</v>
      </c>
      <c r="F129" s="142" t="s">
        <v>356</v>
      </c>
      <c r="G129" s="142" t="s">
        <v>355</v>
      </c>
      <c r="H129" s="142" t="s">
        <v>273</v>
      </c>
    </row>
    <row r="130" customHeight="1" spans="1:8">
      <c r="A130" s="56">
        <v>129</v>
      </c>
      <c r="B130" s="142" t="s">
        <v>1803</v>
      </c>
      <c r="C130" s="56" t="s">
        <v>125</v>
      </c>
      <c r="D130" s="142"/>
      <c r="E130" s="142"/>
      <c r="F130" s="142"/>
      <c r="G130" s="142"/>
      <c r="H130" s="142" t="s">
        <v>277</v>
      </c>
    </row>
    <row r="131" customHeight="1" spans="1:8">
      <c r="A131" s="56">
        <v>130</v>
      </c>
      <c r="B131" s="142" t="s">
        <v>1804</v>
      </c>
      <c r="C131" s="56" t="s">
        <v>125</v>
      </c>
      <c r="D131" s="142"/>
      <c r="E131" s="142" t="s">
        <v>51</v>
      </c>
      <c r="F131" s="142"/>
      <c r="G131" s="142" t="s">
        <v>1673</v>
      </c>
      <c r="H131" s="142" t="s">
        <v>277</v>
      </c>
    </row>
    <row r="132" customHeight="1" spans="1:8">
      <c r="A132" s="56">
        <v>131</v>
      </c>
      <c r="B132" s="142" t="s">
        <v>1805</v>
      </c>
      <c r="C132" s="56" t="s">
        <v>15</v>
      </c>
      <c r="D132" s="142" t="s">
        <v>457</v>
      </c>
      <c r="E132" s="142" t="s">
        <v>51</v>
      </c>
      <c r="F132" s="142"/>
      <c r="G132" s="142" t="s">
        <v>1673</v>
      </c>
      <c r="H132" s="142" t="s">
        <v>274</v>
      </c>
    </row>
    <row r="133" customHeight="1" spans="1:8">
      <c r="A133" s="56">
        <v>132</v>
      </c>
      <c r="B133" s="142" t="s">
        <v>1806</v>
      </c>
      <c r="C133" s="56" t="s">
        <v>13</v>
      </c>
      <c r="D133" s="142" t="s">
        <v>366</v>
      </c>
      <c r="E133" s="142" t="s">
        <v>51</v>
      </c>
      <c r="F133" s="142"/>
      <c r="G133" s="142" t="s">
        <v>1673</v>
      </c>
      <c r="H133" s="142" t="s">
        <v>270</v>
      </c>
    </row>
    <row r="134" customHeight="1" spans="1:8">
      <c r="A134" s="56">
        <v>133</v>
      </c>
      <c r="B134" s="142" t="s">
        <v>1807</v>
      </c>
      <c r="C134" s="56" t="s">
        <v>34</v>
      </c>
      <c r="D134" s="142" t="s">
        <v>648</v>
      </c>
      <c r="E134" s="142" t="s">
        <v>51</v>
      </c>
      <c r="F134" s="142" t="s">
        <v>356</v>
      </c>
      <c r="G134" s="142" t="s">
        <v>1673</v>
      </c>
      <c r="H134" s="142" t="s">
        <v>275</v>
      </c>
    </row>
    <row r="135" customHeight="1" spans="1:8">
      <c r="A135" s="56">
        <v>134</v>
      </c>
      <c r="B135" s="142" t="s">
        <v>1808</v>
      </c>
      <c r="C135" s="56" t="s">
        <v>34</v>
      </c>
      <c r="D135" s="142" t="s">
        <v>1809</v>
      </c>
      <c r="E135" s="142" t="s">
        <v>51</v>
      </c>
      <c r="F135" s="142" t="s">
        <v>356</v>
      </c>
      <c r="G135" s="142" t="s">
        <v>1673</v>
      </c>
      <c r="H135" s="142" t="s">
        <v>275</v>
      </c>
    </row>
    <row r="136" customHeight="1" spans="1:8">
      <c r="A136" s="56">
        <v>135</v>
      </c>
      <c r="B136" s="142" t="s">
        <v>1810</v>
      </c>
      <c r="C136" s="56" t="s">
        <v>34</v>
      </c>
      <c r="D136" s="142" t="s">
        <v>355</v>
      </c>
      <c r="E136" s="142" t="s">
        <v>355</v>
      </c>
      <c r="F136" s="142" t="s">
        <v>356</v>
      </c>
      <c r="G136" s="142" t="s">
        <v>355</v>
      </c>
      <c r="H136" s="142" t="s">
        <v>275</v>
      </c>
    </row>
    <row r="137" customHeight="1" spans="1:8">
      <c r="A137" s="56">
        <v>136</v>
      </c>
      <c r="B137" s="142" t="s">
        <v>1811</v>
      </c>
      <c r="C137" s="56" t="s">
        <v>34</v>
      </c>
      <c r="D137" s="142" t="s">
        <v>1677</v>
      </c>
      <c r="E137" s="142"/>
      <c r="F137" s="142"/>
      <c r="G137" s="142"/>
      <c r="H137" s="142" t="s">
        <v>275</v>
      </c>
    </row>
    <row r="138" customHeight="1" spans="1:8">
      <c r="A138" s="56">
        <v>137</v>
      </c>
      <c r="B138" s="142" t="s">
        <v>1812</v>
      </c>
      <c r="C138" s="56" t="s">
        <v>111</v>
      </c>
      <c r="D138" s="142" t="s">
        <v>1677</v>
      </c>
      <c r="E138" s="142"/>
      <c r="F138" s="142"/>
      <c r="G138" s="142"/>
      <c r="H138" s="142" t="s">
        <v>275</v>
      </c>
    </row>
    <row r="139" customHeight="1" spans="1:8">
      <c r="A139" s="56">
        <v>138</v>
      </c>
      <c r="B139" s="142" t="s">
        <v>1813</v>
      </c>
      <c r="C139" s="56" t="s">
        <v>13</v>
      </c>
      <c r="D139" s="142"/>
      <c r="E139" s="142"/>
      <c r="F139" s="142"/>
      <c r="G139" s="142"/>
      <c r="H139" s="142" t="s">
        <v>270</v>
      </c>
    </row>
    <row r="140" customHeight="1" spans="1:8">
      <c r="A140" s="56">
        <v>139</v>
      </c>
      <c r="B140" s="142" t="s">
        <v>1814</v>
      </c>
      <c r="C140" s="56" t="s">
        <v>33</v>
      </c>
      <c r="D140" s="142" t="s">
        <v>861</v>
      </c>
      <c r="E140" s="142" t="s">
        <v>51</v>
      </c>
      <c r="F140" s="142"/>
      <c r="G140" s="142" t="s">
        <v>300</v>
      </c>
      <c r="H140" s="142" t="s">
        <v>273</v>
      </c>
    </row>
    <row r="141" customHeight="1" spans="1:8">
      <c r="A141" s="56">
        <v>140</v>
      </c>
      <c r="B141" s="142" t="s">
        <v>1815</v>
      </c>
      <c r="C141" s="56" t="s">
        <v>33</v>
      </c>
      <c r="D141" s="142" t="s">
        <v>355</v>
      </c>
      <c r="E141" s="142" t="s">
        <v>355</v>
      </c>
      <c r="F141" s="142" t="s">
        <v>356</v>
      </c>
      <c r="G141" s="142" t="s">
        <v>355</v>
      </c>
      <c r="H141" s="142" t="s">
        <v>273</v>
      </c>
    </row>
    <row r="142" customHeight="1" spans="1:8">
      <c r="A142" s="56">
        <v>141</v>
      </c>
      <c r="B142" s="142" t="s">
        <v>1816</v>
      </c>
      <c r="C142" s="56" t="s">
        <v>34</v>
      </c>
      <c r="D142" s="142" t="s">
        <v>1677</v>
      </c>
      <c r="E142" s="142"/>
      <c r="F142" s="142"/>
      <c r="G142" s="142"/>
      <c r="H142" s="142" t="s">
        <v>275</v>
      </c>
    </row>
    <row r="143" customHeight="1" spans="1:8">
      <c r="A143" s="56">
        <v>142</v>
      </c>
      <c r="B143" s="142" t="s">
        <v>1817</v>
      </c>
      <c r="C143" s="56" t="s">
        <v>34</v>
      </c>
      <c r="D143" s="142" t="s">
        <v>648</v>
      </c>
      <c r="E143" s="142" t="s">
        <v>51</v>
      </c>
      <c r="F143" s="142" t="s">
        <v>367</v>
      </c>
      <c r="G143" s="142" t="s">
        <v>300</v>
      </c>
      <c r="H143" s="142" t="s">
        <v>275</v>
      </c>
    </row>
    <row r="144" customHeight="1" spans="1:8">
      <c r="A144" s="56">
        <v>143</v>
      </c>
      <c r="B144" s="142" t="s">
        <v>1818</v>
      </c>
      <c r="C144" s="56" t="s">
        <v>29</v>
      </c>
      <c r="D144" s="142" t="s">
        <v>437</v>
      </c>
      <c r="E144" s="142" t="s">
        <v>51</v>
      </c>
      <c r="F144" s="142" t="s">
        <v>367</v>
      </c>
      <c r="G144" s="142" t="s">
        <v>300</v>
      </c>
      <c r="H144" s="142" t="s">
        <v>270</v>
      </c>
    </row>
    <row r="145" customHeight="1" spans="1:8">
      <c r="A145" s="56">
        <v>144</v>
      </c>
      <c r="B145" s="142" t="s">
        <v>1819</v>
      </c>
      <c r="C145" s="56" t="s">
        <v>29</v>
      </c>
      <c r="D145" s="142" t="s">
        <v>355</v>
      </c>
      <c r="E145" s="142" t="s">
        <v>355</v>
      </c>
      <c r="F145" s="142" t="s">
        <v>356</v>
      </c>
      <c r="G145" s="142" t="s">
        <v>355</v>
      </c>
      <c r="H145" s="142" t="s">
        <v>270</v>
      </c>
    </row>
    <row r="146" customHeight="1" spans="1:8">
      <c r="A146" s="56">
        <v>145</v>
      </c>
      <c r="B146" s="142" t="s">
        <v>1820</v>
      </c>
      <c r="C146" s="56" t="s">
        <v>15</v>
      </c>
      <c r="D146" s="142" t="s">
        <v>386</v>
      </c>
      <c r="E146" s="142" t="s">
        <v>51</v>
      </c>
      <c r="F146" s="142"/>
      <c r="G146" s="142" t="s">
        <v>1673</v>
      </c>
      <c r="H146" s="142" t="s">
        <v>274</v>
      </c>
    </row>
    <row r="147" customHeight="1" spans="1:8">
      <c r="A147" s="56">
        <v>146</v>
      </c>
      <c r="B147" s="142" t="s">
        <v>1821</v>
      </c>
      <c r="C147" s="56" t="s">
        <v>25</v>
      </c>
      <c r="D147" s="142" t="s">
        <v>1677</v>
      </c>
      <c r="E147" s="142"/>
      <c r="F147" s="142"/>
      <c r="G147" s="142"/>
      <c r="H147" s="142" t="s">
        <v>275</v>
      </c>
    </row>
    <row r="148" customHeight="1" spans="1:8">
      <c r="A148" s="56">
        <v>147</v>
      </c>
      <c r="B148" s="142" t="s">
        <v>1822</v>
      </c>
      <c r="C148" s="56" t="s">
        <v>25</v>
      </c>
      <c r="D148" s="142" t="s">
        <v>1677</v>
      </c>
      <c r="E148" s="142"/>
      <c r="F148" s="142"/>
      <c r="G148" s="142"/>
      <c r="H148" s="142" t="s">
        <v>275</v>
      </c>
    </row>
    <row r="149" customHeight="1" spans="1:8">
      <c r="A149" s="56">
        <v>148</v>
      </c>
      <c r="B149" s="142" t="s">
        <v>1823</v>
      </c>
      <c r="C149" s="56" t="s">
        <v>25</v>
      </c>
      <c r="D149" s="142" t="s">
        <v>1677</v>
      </c>
      <c r="E149" s="142"/>
      <c r="F149" s="142"/>
      <c r="G149" s="142"/>
      <c r="H149" s="142" t="s">
        <v>275</v>
      </c>
    </row>
    <row r="150" customHeight="1" spans="1:8">
      <c r="A150" s="56">
        <v>149</v>
      </c>
      <c r="B150" s="142" t="s">
        <v>1824</v>
      </c>
      <c r="C150" s="56" t="s">
        <v>25</v>
      </c>
      <c r="D150" s="142" t="s">
        <v>1677</v>
      </c>
      <c r="E150" s="142"/>
      <c r="F150" s="142"/>
      <c r="G150" s="142"/>
      <c r="H150" s="142" t="s">
        <v>275</v>
      </c>
    </row>
    <row r="151" customHeight="1" spans="1:8">
      <c r="A151" s="56">
        <v>150</v>
      </c>
      <c r="B151" s="142" t="s">
        <v>1825</v>
      </c>
      <c r="C151" s="56" t="s">
        <v>23</v>
      </c>
      <c r="D151" s="142" t="s">
        <v>648</v>
      </c>
      <c r="E151" s="142" t="s">
        <v>51</v>
      </c>
      <c r="F151" s="142"/>
      <c r="G151" s="142" t="s">
        <v>1673</v>
      </c>
      <c r="H151" s="142" t="s">
        <v>276</v>
      </c>
    </row>
    <row r="152" customHeight="1" spans="1:8">
      <c r="A152" s="56">
        <v>151</v>
      </c>
      <c r="B152" s="142" t="s">
        <v>1826</v>
      </c>
      <c r="C152" s="56" t="s">
        <v>23</v>
      </c>
      <c r="D152" s="142" t="s">
        <v>1677</v>
      </c>
      <c r="E152" s="142"/>
      <c r="F152" s="142"/>
      <c r="G152" s="142"/>
      <c r="H152" s="142" t="s">
        <v>276</v>
      </c>
    </row>
    <row r="153" customHeight="1" spans="1:8">
      <c r="A153" s="56">
        <v>152</v>
      </c>
      <c r="B153" s="142" t="s">
        <v>1827</v>
      </c>
      <c r="C153" s="56" t="s">
        <v>100</v>
      </c>
      <c r="D153" s="142" t="s">
        <v>366</v>
      </c>
      <c r="E153" s="142" t="s">
        <v>51</v>
      </c>
      <c r="F153" s="142" t="s">
        <v>356</v>
      </c>
      <c r="G153" s="142" t="s">
        <v>1673</v>
      </c>
      <c r="H153" s="142" t="s">
        <v>276</v>
      </c>
    </row>
    <row r="154" customHeight="1" spans="1:8">
      <c r="A154" s="56">
        <v>153</v>
      </c>
      <c r="B154" s="142" t="s">
        <v>1828</v>
      </c>
      <c r="C154" s="56" t="s">
        <v>15</v>
      </c>
      <c r="D154" s="142" t="s">
        <v>366</v>
      </c>
      <c r="E154" s="142" t="s">
        <v>51</v>
      </c>
      <c r="F154" s="142"/>
      <c r="G154" s="142" t="s">
        <v>300</v>
      </c>
      <c r="H154" s="142" t="s">
        <v>274</v>
      </c>
    </row>
    <row r="155" customHeight="1" spans="1:8">
      <c r="A155" s="56">
        <v>154</v>
      </c>
      <c r="B155" s="142" t="s">
        <v>1829</v>
      </c>
      <c r="C155" s="56" t="s">
        <v>19</v>
      </c>
      <c r="D155" s="142" t="s">
        <v>1679</v>
      </c>
      <c r="E155" s="142"/>
      <c r="F155" s="142"/>
      <c r="G155" s="142"/>
      <c r="H155" s="142" t="s">
        <v>270</v>
      </c>
    </row>
    <row r="156" customHeight="1" spans="1:8">
      <c r="A156" s="56">
        <v>155</v>
      </c>
      <c r="B156" s="142" t="s">
        <v>1830</v>
      </c>
      <c r="C156" s="56" t="s">
        <v>17</v>
      </c>
      <c r="D156" s="142" t="s">
        <v>366</v>
      </c>
      <c r="E156" s="142" t="s">
        <v>51</v>
      </c>
      <c r="F156" s="142"/>
      <c r="G156" s="142" t="s">
        <v>1673</v>
      </c>
      <c r="H156" s="142" t="s">
        <v>273</v>
      </c>
    </row>
    <row r="157" customHeight="1" spans="1:8">
      <c r="A157" s="56">
        <v>156</v>
      </c>
      <c r="B157" s="142" t="s">
        <v>1831</v>
      </c>
      <c r="C157" s="56" t="s">
        <v>15</v>
      </c>
      <c r="D157" s="142" t="s">
        <v>355</v>
      </c>
      <c r="E157" s="142" t="s">
        <v>355</v>
      </c>
      <c r="F157" s="142" t="s">
        <v>356</v>
      </c>
      <c r="G157" s="142" t="s">
        <v>355</v>
      </c>
      <c r="H157" s="142" t="s">
        <v>274</v>
      </c>
    </row>
    <row r="158" customHeight="1" spans="1:8">
      <c r="A158" s="56">
        <v>157</v>
      </c>
      <c r="B158" s="142" t="s">
        <v>1832</v>
      </c>
      <c r="C158" s="56" t="s">
        <v>38</v>
      </c>
      <c r="D158" s="142" t="s">
        <v>386</v>
      </c>
      <c r="E158" s="142" t="s">
        <v>51</v>
      </c>
      <c r="F158" s="142"/>
      <c r="G158" s="142" t="s">
        <v>1673</v>
      </c>
      <c r="H158" s="142" t="s">
        <v>274</v>
      </c>
    </row>
    <row r="159" customHeight="1" spans="1:8">
      <c r="A159" s="56">
        <v>158</v>
      </c>
      <c r="B159" s="142" t="s">
        <v>1833</v>
      </c>
      <c r="C159" s="56" t="s">
        <v>38</v>
      </c>
      <c r="D159" s="142" t="s">
        <v>553</v>
      </c>
      <c r="E159" s="142" t="s">
        <v>51</v>
      </c>
      <c r="F159" s="142"/>
      <c r="G159" s="142" t="s">
        <v>1673</v>
      </c>
      <c r="H159" s="142" t="s">
        <v>274</v>
      </c>
    </row>
    <row r="160" customHeight="1" spans="1:8">
      <c r="A160" s="56">
        <v>159</v>
      </c>
      <c r="B160" s="142" t="s">
        <v>1834</v>
      </c>
      <c r="C160" s="56" t="s">
        <v>17</v>
      </c>
      <c r="D160" s="142" t="s">
        <v>1712</v>
      </c>
      <c r="E160" s="142"/>
      <c r="F160" s="142"/>
      <c r="G160" s="142"/>
      <c r="H160" s="142" t="s">
        <v>273</v>
      </c>
    </row>
    <row r="161" customHeight="1" spans="1:8">
      <c r="A161" s="56">
        <v>160</v>
      </c>
      <c r="B161" s="142" t="s">
        <v>1835</v>
      </c>
      <c r="C161" s="56" t="s">
        <v>125</v>
      </c>
      <c r="D161" s="142"/>
      <c r="E161" s="142" t="s">
        <v>51</v>
      </c>
      <c r="F161" s="142"/>
      <c r="G161" s="142" t="s">
        <v>1673</v>
      </c>
      <c r="H161" s="142" t="s">
        <v>277</v>
      </c>
    </row>
    <row r="162" customHeight="1" spans="1:8">
      <c r="A162" s="56">
        <v>161</v>
      </c>
      <c r="B162" s="142" t="s">
        <v>1836</v>
      </c>
      <c r="C162" s="56" t="s">
        <v>23</v>
      </c>
      <c r="D162" s="142" t="s">
        <v>457</v>
      </c>
      <c r="E162" s="142" t="s">
        <v>51</v>
      </c>
      <c r="F162" s="142" t="s">
        <v>367</v>
      </c>
      <c r="G162" s="142" t="s">
        <v>300</v>
      </c>
      <c r="H162" s="142" t="s">
        <v>276</v>
      </c>
    </row>
    <row r="163" customHeight="1" spans="1:8">
      <c r="A163" s="56">
        <v>162</v>
      </c>
      <c r="B163" s="142" t="s">
        <v>1837</v>
      </c>
      <c r="C163" s="56" t="s">
        <v>17</v>
      </c>
      <c r="D163" s="142" t="s">
        <v>355</v>
      </c>
      <c r="E163" s="142" t="s">
        <v>355</v>
      </c>
      <c r="F163" s="142" t="s">
        <v>356</v>
      </c>
      <c r="G163" s="142" t="s">
        <v>355</v>
      </c>
      <c r="H163" s="142" t="s">
        <v>273</v>
      </c>
    </row>
    <row r="164" customHeight="1" spans="1:8">
      <c r="A164" s="56">
        <v>163</v>
      </c>
      <c r="B164" s="142" t="s">
        <v>1838</v>
      </c>
      <c r="C164" s="56" t="s">
        <v>111</v>
      </c>
      <c r="D164" s="142" t="s">
        <v>648</v>
      </c>
      <c r="E164" s="142" t="s">
        <v>51</v>
      </c>
      <c r="F164" s="142" t="s">
        <v>367</v>
      </c>
      <c r="G164" s="142" t="s">
        <v>300</v>
      </c>
      <c r="H164" s="142" t="s">
        <v>275</v>
      </c>
    </row>
    <row r="165" customHeight="1" spans="1:8">
      <c r="A165" s="56">
        <v>164</v>
      </c>
      <c r="B165" s="142" t="s">
        <v>1839</v>
      </c>
      <c r="C165" s="56" t="s">
        <v>17</v>
      </c>
      <c r="D165" s="142" t="s">
        <v>612</v>
      </c>
      <c r="E165" s="142" t="s">
        <v>51</v>
      </c>
      <c r="F165" s="142"/>
      <c r="G165" s="142" t="s">
        <v>1673</v>
      </c>
      <c r="H165" s="142" t="s">
        <v>273</v>
      </c>
    </row>
    <row r="166" customHeight="1" spans="1:8">
      <c r="A166" s="56">
        <v>165</v>
      </c>
      <c r="B166" s="142" t="s">
        <v>1840</v>
      </c>
      <c r="C166" s="56" t="s">
        <v>23</v>
      </c>
      <c r="D166" s="142" t="s">
        <v>1841</v>
      </c>
      <c r="E166" s="142" t="s">
        <v>378</v>
      </c>
      <c r="F166" s="142" t="s">
        <v>356</v>
      </c>
      <c r="G166" s="142" t="s">
        <v>300</v>
      </c>
      <c r="H166" s="142" t="s">
        <v>276</v>
      </c>
    </row>
    <row r="167" customHeight="1" spans="1:8">
      <c r="A167" s="56">
        <v>166</v>
      </c>
      <c r="B167" s="142" t="s">
        <v>1842</v>
      </c>
      <c r="C167" s="56" t="s">
        <v>17</v>
      </c>
      <c r="D167" s="142" t="s">
        <v>355</v>
      </c>
      <c r="E167" s="142" t="s">
        <v>355</v>
      </c>
      <c r="F167" s="142" t="s">
        <v>356</v>
      </c>
      <c r="G167" s="142" t="s">
        <v>355</v>
      </c>
      <c r="H167" s="142" t="s">
        <v>273</v>
      </c>
    </row>
    <row r="168" customHeight="1" spans="1:8">
      <c r="A168" s="56">
        <v>167</v>
      </c>
      <c r="B168" s="142" t="s">
        <v>1843</v>
      </c>
      <c r="C168" s="56" t="s">
        <v>100</v>
      </c>
      <c r="D168" s="142" t="s">
        <v>1679</v>
      </c>
      <c r="E168" s="142"/>
      <c r="F168" s="142"/>
      <c r="G168" s="142"/>
      <c r="H168" s="142" t="s">
        <v>276</v>
      </c>
    </row>
    <row r="169" customHeight="1" spans="1:8">
      <c r="A169" s="56">
        <v>168</v>
      </c>
      <c r="B169" s="142" t="s">
        <v>1844</v>
      </c>
      <c r="C169" s="56" t="s">
        <v>100</v>
      </c>
      <c r="D169" s="142" t="s">
        <v>553</v>
      </c>
      <c r="E169" s="142" t="s">
        <v>51</v>
      </c>
      <c r="F169" s="142" t="s">
        <v>367</v>
      </c>
      <c r="G169" s="142" t="s">
        <v>300</v>
      </c>
      <c r="H169" s="142" t="s">
        <v>276</v>
      </c>
    </row>
    <row r="170" customHeight="1" spans="1:8">
      <c r="A170" s="56">
        <v>169</v>
      </c>
      <c r="B170" s="142" t="s">
        <v>1845</v>
      </c>
      <c r="C170" s="56" t="s">
        <v>100</v>
      </c>
      <c r="D170" s="142" t="s">
        <v>386</v>
      </c>
      <c r="E170" s="142" t="s">
        <v>378</v>
      </c>
      <c r="F170" s="142" t="s">
        <v>356</v>
      </c>
      <c r="G170" s="142" t="s">
        <v>1846</v>
      </c>
      <c r="H170" s="142" t="s">
        <v>276</v>
      </c>
    </row>
    <row r="171" customHeight="1" spans="1:8">
      <c r="A171" s="56">
        <v>170</v>
      </c>
      <c r="B171" s="142" t="s">
        <v>1847</v>
      </c>
      <c r="C171" s="56" t="s">
        <v>29</v>
      </c>
      <c r="D171" s="142" t="s">
        <v>492</v>
      </c>
      <c r="E171" s="142" t="s">
        <v>378</v>
      </c>
      <c r="F171" s="142" t="s">
        <v>356</v>
      </c>
      <c r="G171" s="142"/>
      <c r="H171" s="142" t="s">
        <v>270</v>
      </c>
    </row>
    <row r="172" customHeight="1" spans="1:8">
      <c r="A172" s="56">
        <v>171</v>
      </c>
      <c r="B172" s="142" t="s">
        <v>1848</v>
      </c>
      <c r="C172" s="56" t="s">
        <v>25</v>
      </c>
      <c r="D172" s="142" t="s">
        <v>1677</v>
      </c>
      <c r="E172" s="142"/>
      <c r="F172" s="142"/>
      <c r="G172" s="142"/>
      <c r="H172" s="142" t="s">
        <v>275</v>
      </c>
    </row>
    <row r="173" customHeight="1" spans="1:8">
      <c r="A173" s="56">
        <v>172</v>
      </c>
      <c r="B173" s="142" t="s">
        <v>1849</v>
      </c>
      <c r="C173" s="56" t="s">
        <v>25</v>
      </c>
      <c r="D173" s="142" t="s">
        <v>457</v>
      </c>
      <c r="E173" s="142" t="s">
        <v>51</v>
      </c>
      <c r="F173" s="142" t="s">
        <v>356</v>
      </c>
      <c r="G173" s="142" t="s">
        <v>1673</v>
      </c>
      <c r="H173" s="142" t="s">
        <v>275</v>
      </c>
    </row>
    <row r="174" customHeight="1" spans="1:8">
      <c r="A174" s="56">
        <v>173</v>
      </c>
      <c r="B174" s="142" t="s">
        <v>1850</v>
      </c>
      <c r="C174" s="56" t="s">
        <v>23</v>
      </c>
      <c r="D174" s="142" t="s">
        <v>457</v>
      </c>
      <c r="E174" s="142" t="s">
        <v>51</v>
      </c>
      <c r="F174" s="142" t="s">
        <v>367</v>
      </c>
      <c r="G174" s="142" t="s">
        <v>1673</v>
      </c>
      <c r="H174" s="142" t="s">
        <v>276</v>
      </c>
    </row>
    <row r="175" customHeight="1" spans="1:8">
      <c r="A175" s="56">
        <v>174</v>
      </c>
      <c r="B175" s="142" t="s">
        <v>1851</v>
      </c>
      <c r="C175" s="56" t="s">
        <v>38</v>
      </c>
      <c r="D175" s="194" t="s">
        <v>1852</v>
      </c>
      <c r="E175" s="142" t="s">
        <v>355</v>
      </c>
      <c r="F175" s="142" t="s">
        <v>356</v>
      </c>
      <c r="G175" s="142" t="s">
        <v>355</v>
      </c>
      <c r="H175" s="142" t="s">
        <v>274</v>
      </c>
    </row>
    <row r="176" customHeight="1" spans="1:8">
      <c r="A176" s="56">
        <v>175</v>
      </c>
      <c r="B176" s="142" t="s">
        <v>1853</v>
      </c>
      <c r="C176" s="56" t="s">
        <v>23</v>
      </c>
      <c r="D176" s="142" t="s">
        <v>355</v>
      </c>
      <c r="E176" s="142" t="s">
        <v>355</v>
      </c>
      <c r="F176" s="142" t="s">
        <v>356</v>
      </c>
      <c r="G176" s="142" t="s">
        <v>355</v>
      </c>
      <c r="H176" s="142" t="s">
        <v>276</v>
      </c>
    </row>
    <row r="177" customHeight="1" spans="1:8">
      <c r="A177" s="56">
        <v>176</v>
      </c>
      <c r="B177" s="142" t="s">
        <v>1854</v>
      </c>
      <c r="C177" s="56" t="s">
        <v>23</v>
      </c>
      <c r="D177" s="142" t="s">
        <v>507</v>
      </c>
      <c r="E177" s="142" t="s">
        <v>378</v>
      </c>
      <c r="F177" s="142" t="s">
        <v>356</v>
      </c>
      <c r="G177" s="142" t="s">
        <v>300</v>
      </c>
      <c r="H177" s="142" t="s">
        <v>276</v>
      </c>
    </row>
    <row r="178" customHeight="1" spans="1:8">
      <c r="A178" s="56">
        <v>177</v>
      </c>
      <c r="B178" s="142" t="s">
        <v>1855</v>
      </c>
      <c r="C178" s="56" t="s">
        <v>17</v>
      </c>
      <c r="D178" s="194" t="s">
        <v>355</v>
      </c>
      <c r="E178" s="142" t="s">
        <v>355</v>
      </c>
      <c r="F178" s="142" t="s">
        <v>356</v>
      </c>
      <c r="G178" s="194" t="s">
        <v>355</v>
      </c>
      <c r="H178" s="142" t="s">
        <v>273</v>
      </c>
    </row>
    <row r="179" customHeight="1" spans="1:8">
      <c r="A179" s="56">
        <v>178</v>
      </c>
      <c r="B179" s="142" t="s">
        <v>1856</v>
      </c>
      <c r="C179" s="56" t="s">
        <v>17</v>
      </c>
      <c r="D179" s="194" t="s">
        <v>777</v>
      </c>
      <c r="E179" s="194" t="s">
        <v>51</v>
      </c>
      <c r="F179" s="194"/>
      <c r="G179" s="194" t="s">
        <v>300</v>
      </c>
      <c r="H179" s="142" t="s">
        <v>273</v>
      </c>
    </row>
    <row r="180" customHeight="1" spans="1:8">
      <c r="A180" s="56">
        <v>179</v>
      </c>
      <c r="B180" s="142" t="s">
        <v>1857</v>
      </c>
      <c r="C180" s="56" t="s">
        <v>38</v>
      </c>
      <c r="D180" s="194" t="s">
        <v>411</v>
      </c>
      <c r="E180" s="194" t="s">
        <v>51</v>
      </c>
      <c r="F180" s="194"/>
      <c r="G180" s="194" t="s">
        <v>1673</v>
      </c>
      <c r="H180" s="142" t="s">
        <v>274</v>
      </c>
    </row>
    <row r="181" customHeight="1" spans="1:8">
      <c r="A181" s="56">
        <v>180</v>
      </c>
      <c r="B181" s="142" t="s">
        <v>1858</v>
      </c>
      <c r="C181" s="56" t="s">
        <v>23</v>
      </c>
      <c r="D181" s="142" t="s">
        <v>507</v>
      </c>
      <c r="E181" s="142" t="s">
        <v>51</v>
      </c>
      <c r="F181" s="142" t="s">
        <v>367</v>
      </c>
      <c r="G181" s="142" t="s">
        <v>300</v>
      </c>
      <c r="H181" s="142" t="s">
        <v>276</v>
      </c>
    </row>
    <row r="182" customHeight="1" spans="1:8">
      <c r="A182" s="56">
        <v>181</v>
      </c>
      <c r="B182" s="142" t="s">
        <v>1859</v>
      </c>
      <c r="C182" s="56" t="s">
        <v>125</v>
      </c>
      <c r="D182" s="194"/>
      <c r="E182" s="194"/>
      <c r="F182" s="194"/>
      <c r="G182" s="194"/>
      <c r="H182" s="142" t="s">
        <v>277</v>
      </c>
    </row>
    <row r="183" customHeight="1" spans="1:8">
      <c r="A183" s="56">
        <v>182</v>
      </c>
      <c r="B183" s="142" t="s">
        <v>1860</v>
      </c>
      <c r="C183" s="56" t="s">
        <v>175</v>
      </c>
      <c r="D183" s="194" t="s">
        <v>612</v>
      </c>
      <c r="E183" s="194" t="s">
        <v>51</v>
      </c>
      <c r="F183" s="194"/>
      <c r="G183" s="194" t="s">
        <v>1673</v>
      </c>
      <c r="H183" s="142" t="s">
        <v>273</v>
      </c>
    </row>
    <row r="184" customHeight="1" spans="1:8">
      <c r="A184" s="56">
        <v>183</v>
      </c>
      <c r="B184" s="142" t="s">
        <v>1861</v>
      </c>
      <c r="C184" s="56" t="s">
        <v>19</v>
      </c>
      <c r="D184" s="142" t="s">
        <v>386</v>
      </c>
      <c r="E184" s="142" t="s">
        <v>378</v>
      </c>
      <c r="F184" s="142" t="s">
        <v>356</v>
      </c>
      <c r="G184" s="142"/>
      <c r="H184" s="142" t="s">
        <v>270</v>
      </c>
    </row>
    <row r="185" customHeight="1" spans="1:8">
      <c r="A185" s="56">
        <v>184</v>
      </c>
      <c r="B185" s="142" t="s">
        <v>1862</v>
      </c>
      <c r="C185" s="56" t="s">
        <v>125</v>
      </c>
      <c r="D185" s="194"/>
      <c r="E185" s="194"/>
      <c r="F185" s="194"/>
      <c r="G185" s="194"/>
      <c r="H185" s="142" t="s">
        <v>277</v>
      </c>
    </row>
    <row r="186" customHeight="1" spans="1:8">
      <c r="A186" s="56">
        <v>185</v>
      </c>
      <c r="B186" s="142" t="s">
        <v>1863</v>
      </c>
      <c r="C186" s="56" t="s">
        <v>17</v>
      </c>
      <c r="D186" s="194" t="s">
        <v>1673</v>
      </c>
      <c r="E186" s="194"/>
      <c r="F186" s="194"/>
      <c r="G186" s="194" t="s">
        <v>1673</v>
      </c>
      <c r="H186" s="142" t="s">
        <v>273</v>
      </c>
    </row>
    <row r="187" customHeight="1" spans="1:8">
      <c r="A187" s="56">
        <v>186</v>
      </c>
      <c r="B187" s="142" t="s">
        <v>1864</v>
      </c>
      <c r="C187" s="56" t="s">
        <v>17</v>
      </c>
      <c r="D187" s="194" t="s">
        <v>612</v>
      </c>
      <c r="E187" s="194" t="s">
        <v>51</v>
      </c>
      <c r="F187" s="194"/>
      <c r="G187" s="194" t="s">
        <v>300</v>
      </c>
      <c r="H187" s="142" t="s">
        <v>273</v>
      </c>
    </row>
    <row r="188" customHeight="1" spans="1:8">
      <c r="A188" s="56">
        <v>187</v>
      </c>
      <c r="B188" s="142" t="s">
        <v>1865</v>
      </c>
      <c r="C188" s="56" t="s">
        <v>17</v>
      </c>
      <c r="D188" s="194" t="s">
        <v>366</v>
      </c>
      <c r="E188" s="194" t="s">
        <v>51</v>
      </c>
      <c r="F188" s="194"/>
      <c r="G188" s="142" t="s">
        <v>300</v>
      </c>
      <c r="H188" s="142" t="s">
        <v>273</v>
      </c>
    </row>
    <row r="189" customHeight="1" spans="1:8">
      <c r="A189" s="56">
        <v>188</v>
      </c>
      <c r="B189" s="142" t="s">
        <v>1866</v>
      </c>
      <c r="C189" s="56" t="s">
        <v>100</v>
      </c>
      <c r="D189" s="142" t="s">
        <v>1841</v>
      </c>
      <c r="E189" s="142" t="s">
        <v>378</v>
      </c>
      <c r="F189" s="142" t="s">
        <v>356</v>
      </c>
      <c r="G189" s="142" t="s">
        <v>378</v>
      </c>
      <c r="H189" s="142" t="s">
        <v>276</v>
      </c>
    </row>
    <row r="190" customHeight="1" spans="1:8">
      <c r="A190" s="56">
        <v>189</v>
      </c>
      <c r="B190" s="142" t="s">
        <v>1867</v>
      </c>
      <c r="C190" s="56" t="s">
        <v>111</v>
      </c>
      <c r="D190" s="142" t="s">
        <v>633</v>
      </c>
      <c r="E190" s="142" t="s">
        <v>51</v>
      </c>
      <c r="F190" s="142" t="s">
        <v>356</v>
      </c>
      <c r="G190" s="142" t="s">
        <v>1673</v>
      </c>
      <c r="H190" s="142" t="s">
        <v>275</v>
      </c>
    </row>
    <row r="191" customHeight="1" spans="1:8">
      <c r="A191" s="56">
        <v>190</v>
      </c>
      <c r="B191" s="142" t="s">
        <v>1868</v>
      </c>
      <c r="C191" s="56" t="s">
        <v>111</v>
      </c>
      <c r="D191" s="142" t="s">
        <v>861</v>
      </c>
      <c r="E191" s="142" t="s">
        <v>51</v>
      </c>
      <c r="F191" s="142" t="s">
        <v>356</v>
      </c>
      <c r="G191" s="142" t="s">
        <v>1673</v>
      </c>
      <c r="H191" s="142" t="s">
        <v>275</v>
      </c>
    </row>
    <row r="192" customHeight="1" spans="1:8">
      <c r="A192" s="56">
        <v>191</v>
      </c>
      <c r="B192" s="142" t="s">
        <v>1869</v>
      </c>
      <c r="C192" s="56" t="s">
        <v>34</v>
      </c>
      <c r="D192" s="142" t="s">
        <v>1677</v>
      </c>
      <c r="E192" s="142"/>
      <c r="F192" s="142"/>
      <c r="G192" s="142"/>
      <c r="H192" s="142" t="s">
        <v>275</v>
      </c>
    </row>
    <row r="193" customHeight="1" spans="1:8">
      <c r="A193" s="56">
        <v>192</v>
      </c>
      <c r="B193" s="142" t="s">
        <v>1870</v>
      </c>
      <c r="C193" s="56" t="s">
        <v>34</v>
      </c>
      <c r="D193" s="142" t="s">
        <v>1677</v>
      </c>
      <c r="E193" s="142"/>
      <c r="F193" s="142"/>
      <c r="G193" s="142"/>
      <c r="H193" s="142" t="s">
        <v>275</v>
      </c>
    </row>
    <row r="194" customHeight="1" spans="1:8">
      <c r="A194" s="56">
        <v>193</v>
      </c>
      <c r="B194" s="142" t="s">
        <v>1871</v>
      </c>
      <c r="C194" s="56" t="s">
        <v>29</v>
      </c>
      <c r="D194" s="142" t="s">
        <v>648</v>
      </c>
      <c r="E194" s="142" t="s">
        <v>51</v>
      </c>
      <c r="F194" s="142" t="s">
        <v>367</v>
      </c>
      <c r="G194" s="142" t="s">
        <v>300</v>
      </c>
      <c r="H194" s="142" t="s">
        <v>270</v>
      </c>
    </row>
    <row r="195" customHeight="1" spans="1:8">
      <c r="A195" s="56">
        <v>194</v>
      </c>
      <c r="B195" s="142" t="s">
        <v>1872</v>
      </c>
      <c r="C195" s="56" t="s">
        <v>100</v>
      </c>
      <c r="D195" s="142" t="s">
        <v>1183</v>
      </c>
      <c r="E195" s="142" t="s">
        <v>51</v>
      </c>
      <c r="F195" s="142" t="s">
        <v>356</v>
      </c>
      <c r="G195" s="142" t="s">
        <v>1673</v>
      </c>
      <c r="H195" s="142" t="s">
        <v>276</v>
      </c>
    </row>
    <row r="196" customHeight="1" spans="1:8">
      <c r="A196" s="56">
        <v>195</v>
      </c>
      <c r="B196" s="142" t="s">
        <v>1873</v>
      </c>
      <c r="C196" s="56" t="s">
        <v>25</v>
      </c>
      <c r="D196" s="142" t="s">
        <v>1677</v>
      </c>
      <c r="E196" s="142"/>
      <c r="F196" s="142"/>
      <c r="G196" s="142"/>
      <c r="H196" s="142" t="s">
        <v>275</v>
      </c>
    </row>
    <row r="197" customHeight="1" spans="1:8">
      <c r="A197" s="56">
        <v>196</v>
      </c>
      <c r="B197" s="142" t="s">
        <v>1874</v>
      </c>
      <c r="C197" s="56" t="s">
        <v>25</v>
      </c>
      <c r="D197" s="142"/>
      <c r="E197" s="142"/>
      <c r="F197" s="142"/>
      <c r="G197" s="142"/>
      <c r="H197" s="142" t="s">
        <v>275</v>
      </c>
    </row>
    <row r="198" customHeight="1" spans="1:8">
      <c r="A198" s="56">
        <v>197</v>
      </c>
      <c r="B198" s="142" t="s">
        <v>1875</v>
      </c>
      <c r="C198" s="56" t="s">
        <v>23</v>
      </c>
      <c r="D198" s="142" t="s">
        <v>437</v>
      </c>
      <c r="E198" s="142" t="s">
        <v>51</v>
      </c>
      <c r="F198" s="142" t="s">
        <v>367</v>
      </c>
      <c r="G198" s="142" t="s">
        <v>300</v>
      </c>
      <c r="H198" s="142" t="s">
        <v>276</v>
      </c>
    </row>
    <row r="199" customHeight="1" spans="1:8">
      <c r="A199" s="56">
        <v>198</v>
      </c>
      <c r="B199" s="142" t="s">
        <v>1876</v>
      </c>
      <c r="C199" s="56" t="s">
        <v>23</v>
      </c>
      <c r="D199" s="142" t="s">
        <v>1018</v>
      </c>
      <c r="E199" s="142" t="s">
        <v>51</v>
      </c>
      <c r="F199" s="142" t="s">
        <v>356</v>
      </c>
      <c r="G199" s="142" t="s">
        <v>1673</v>
      </c>
      <c r="H199" s="142" t="s">
        <v>276</v>
      </c>
    </row>
    <row r="200" customHeight="1" spans="1:8">
      <c r="A200" s="56">
        <v>199</v>
      </c>
      <c r="B200" s="142" t="s">
        <v>1877</v>
      </c>
      <c r="C200" s="56" t="s">
        <v>23</v>
      </c>
      <c r="D200" s="142" t="s">
        <v>633</v>
      </c>
      <c r="E200" s="142" t="s">
        <v>378</v>
      </c>
      <c r="F200" s="142"/>
      <c r="G200" s="142"/>
      <c r="H200" s="142" t="s">
        <v>276</v>
      </c>
    </row>
    <row r="201" customHeight="1" spans="1:8">
      <c r="A201" s="56">
        <v>200</v>
      </c>
      <c r="B201" s="142" t="s">
        <v>1878</v>
      </c>
      <c r="C201" s="56" t="s">
        <v>15</v>
      </c>
      <c r="D201" s="194" t="s">
        <v>386</v>
      </c>
      <c r="E201" s="194" t="s">
        <v>378</v>
      </c>
      <c r="F201" s="194"/>
      <c r="G201" s="194"/>
      <c r="H201" s="142" t="s">
        <v>274</v>
      </c>
    </row>
    <row r="202" customHeight="1" spans="1:8">
      <c r="A202" s="56">
        <v>201</v>
      </c>
      <c r="B202" s="142" t="s">
        <v>1879</v>
      </c>
      <c r="C202" s="56" t="s">
        <v>15</v>
      </c>
      <c r="D202" s="194" t="s">
        <v>386</v>
      </c>
      <c r="E202" s="194" t="s">
        <v>51</v>
      </c>
      <c r="F202" s="194"/>
      <c r="G202" s="194" t="s">
        <v>1673</v>
      </c>
      <c r="H202" s="142" t="s">
        <v>274</v>
      </c>
    </row>
    <row r="203" customHeight="1" spans="1:8">
      <c r="A203" s="56">
        <v>202</v>
      </c>
      <c r="B203" s="142" t="s">
        <v>1880</v>
      </c>
      <c r="C203" s="56" t="s">
        <v>15</v>
      </c>
      <c r="D203" s="194" t="s">
        <v>355</v>
      </c>
      <c r="E203" s="194" t="s">
        <v>355</v>
      </c>
      <c r="F203" s="194"/>
      <c r="G203" s="194"/>
      <c r="H203" s="142" t="s">
        <v>274</v>
      </c>
    </row>
    <row r="204" customHeight="1" spans="1:8">
      <c r="A204" s="56">
        <v>203</v>
      </c>
      <c r="B204" s="142" t="s">
        <v>1881</v>
      </c>
      <c r="C204" s="56" t="s">
        <v>33</v>
      </c>
      <c r="D204" s="194" t="s">
        <v>355</v>
      </c>
      <c r="E204" s="142" t="s">
        <v>355</v>
      </c>
      <c r="F204" s="142" t="s">
        <v>356</v>
      </c>
      <c r="G204" s="194" t="s">
        <v>355</v>
      </c>
      <c r="H204" s="142" t="s">
        <v>273</v>
      </c>
    </row>
    <row r="205" customHeight="1" spans="1:8">
      <c r="A205" s="56">
        <v>204</v>
      </c>
      <c r="B205" s="142" t="s">
        <v>1882</v>
      </c>
      <c r="C205" s="56" t="s">
        <v>33</v>
      </c>
      <c r="D205" s="194" t="s">
        <v>386</v>
      </c>
      <c r="E205" s="194" t="s">
        <v>51</v>
      </c>
      <c r="F205" s="194"/>
      <c r="G205" s="194" t="s">
        <v>1673</v>
      </c>
      <c r="H205" s="142" t="s">
        <v>273</v>
      </c>
    </row>
    <row r="206" customHeight="1" spans="1:8">
      <c r="A206" s="56">
        <v>205</v>
      </c>
      <c r="B206" s="142" t="s">
        <v>1883</v>
      </c>
      <c r="C206" s="56" t="s">
        <v>111</v>
      </c>
      <c r="D206" s="142"/>
      <c r="E206" s="142"/>
      <c r="F206" s="142"/>
      <c r="G206" s="142"/>
      <c r="H206" s="142" t="s">
        <v>275</v>
      </c>
    </row>
    <row r="207" customHeight="1" spans="1:8">
      <c r="A207" s="56">
        <v>206</v>
      </c>
      <c r="B207" s="142" t="s">
        <v>1884</v>
      </c>
      <c r="C207" s="56" t="s">
        <v>125</v>
      </c>
      <c r="D207" s="194"/>
      <c r="E207" s="194"/>
      <c r="F207" s="194"/>
      <c r="G207" s="194"/>
      <c r="H207" s="142" t="s">
        <v>277</v>
      </c>
    </row>
    <row r="208" customHeight="1" spans="1:8">
      <c r="A208" s="56">
        <v>207</v>
      </c>
      <c r="B208" s="142" t="s">
        <v>1885</v>
      </c>
      <c r="C208" s="56" t="s">
        <v>23</v>
      </c>
      <c r="D208" s="142" t="s">
        <v>1677</v>
      </c>
      <c r="E208" s="142"/>
      <c r="F208" s="142"/>
      <c r="G208" s="142"/>
      <c r="H208" s="142" t="s">
        <v>276</v>
      </c>
    </row>
    <row r="209" customHeight="1" spans="1:8">
      <c r="A209" s="56">
        <v>208</v>
      </c>
      <c r="B209" s="142" t="s">
        <v>1886</v>
      </c>
      <c r="C209" s="56" t="s">
        <v>17</v>
      </c>
      <c r="D209" s="194" t="s">
        <v>411</v>
      </c>
      <c r="E209" s="194" t="s">
        <v>51</v>
      </c>
      <c r="F209" s="194"/>
      <c r="G209" s="194" t="s">
        <v>300</v>
      </c>
      <c r="H209" s="142" t="s">
        <v>273</v>
      </c>
    </row>
    <row r="210" customHeight="1" spans="1:8">
      <c r="A210" s="56">
        <v>209</v>
      </c>
      <c r="B210" s="142" t="s">
        <v>1887</v>
      </c>
      <c r="C210" s="56" t="s">
        <v>19</v>
      </c>
      <c r="D210" s="142" t="s">
        <v>507</v>
      </c>
      <c r="E210" s="142" t="s">
        <v>51</v>
      </c>
      <c r="F210" s="142" t="s">
        <v>367</v>
      </c>
      <c r="G210" s="142" t="s">
        <v>1673</v>
      </c>
      <c r="H210" s="142" t="s">
        <v>270</v>
      </c>
    </row>
    <row r="211" customHeight="1" spans="1:8">
      <c r="A211" s="56">
        <v>210</v>
      </c>
      <c r="B211" s="142" t="s">
        <v>1888</v>
      </c>
      <c r="C211" s="56" t="s">
        <v>175</v>
      </c>
      <c r="D211" s="194" t="s">
        <v>355</v>
      </c>
      <c r="E211" s="142" t="s">
        <v>355</v>
      </c>
      <c r="F211" s="142" t="s">
        <v>356</v>
      </c>
      <c r="G211" s="194" t="s">
        <v>355</v>
      </c>
      <c r="H211" s="142" t="s">
        <v>273</v>
      </c>
    </row>
    <row r="212" customHeight="1" spans="1:8">
      <c r="A212" s="56">
        <v>211</v>
      </c>
      <c r="B212" s="142" t="s">
        <v>1889</v>
      </c>
      <c r="C212" s="56" t="s">
        <v>23</v>
      </c>
      <c r="D212" s="142" t="s">
        <v>457</v>
      </c>
      <c r="E212" s="142" t="s">
        <v>51</v>
      </c>
      <c r="F212" s="142" t="s">
        <v>367</v>
      </c>
      <c r="G212" s="142" t="s">
        <v>300</v>
      </c>
      <c r="H212" s="142" t="s">
        <v>276</v>
      </c>
    </row>
    <row r="213" customHeight="1" spans="1:8">
      <c r="A213" s="56">
        <v>212</v>
      </c>
      <c r="B213" s="142" t="s">
        <v>1890</v>
      </c>
      <c r="C213" s="56" t="s">
        <v>38</v>
      </c>
      <c r="D213" s="194" t="s">
        <v>590</v>
      </c>
      <c r="E213" s="194" t="s">
        <v>51</v>
      </c>
      <c r="F213" s="194"/>
      <c r="G213" s="194" t="s">
        <v>1673</v>
      </c>
      <c r="H213" s="142" t="s">
        <v>274</v>
      </c>
    </row>
    <row r="214" customHeight="1" spans="1:8">
      <c r="A214" s="56">
        <v>213</v>
      </c>
      <c r="B214" s="142" t="s">
        <v>1891</v>
      </c>
      <c r="C214" s="56" t="s">
        <v>175</v>
      </c>
      <c r="D214" s="194" t="s">
        <v>457</v>
      </c>
      <c r="E214" s="194" t="s">
        <v>51</v>
      </c>
      <c r="F214" s="194"/>
      <c r="G214" s="194" t="s">
        <v>1673</v>
      </c>
      <c r="H214" s="142" t="s">
        <v>273</v>
      </c>
    </row>
    <row r="215" customHeight="1" spans="1:8">
      <c r="A215" s="56">
        <v>214</v>
      </c>
      <c r="B215" s="142" t="s">
        <v>1778</v>
      </c>
      <c r="C215" s="56" t="s">
        <v>23</v>
      </c>
      <c r="D215" s="142" t="s">
        <v>750</v>
      </c>
      <c r="E215" s="142" t="s">
        <v>378</v>
      </c>
      <c r="F215" s="142" t="s">
        <v>356</v>
      </c>
      <c r="G215" s="142" t="s">
        <v>300</v>
      </c>
      <c r="H215" s="142" t="s">
        <v>276</v>
      </c>
    </row>
    <row r="216" customHeight="1" spans="1:8">
      <c r="A216" s="56">
        <v>215</v>
      </c>
      <c r="B216" s="142" t="s">
        <v>1892</v>
      </c>
      <c r="C216" s="56" t="s">
        <v>38</v>
      </c>
      <c r="D216" s="194" t="s">
        <v>366</v>
      </c>
      <c r="E216" s="194" t="s">
        <v>51</v>
      </c>
      <c r="F216" s="194"/>
      <c r="G216" s="194" t="s">
        <v>300</v>
      </c>
      <c r="H216" s="142" t="s">
        <v>274</v>
      </c>
    </row>
    <row r="217" customHeight="1" spans="1:8">
      <c r="A217" s="56">
        <v>216</v>
      </c>
      <c r="B217" s="142" t="s">
        <v>1893</v>
      </c>
      <c r="C217" s="56" t="s">
        <v>111</v>
      </c>
      <c r="D217" s="142" t="s">
        <v>507</v>
      </c>
      <c r="E217" s="142" t="s">
        <v>51</v>
      </c>
      <c r="F217" s="142"/>
      <c r="G217" s="142" t="s">
        <v>300</v>
      </c>
      <c r="H217" s="142" t="s">
        <v>275</v>
      </c>
    </row>
    <row r="218" customHeight="1" spans="1:8">
      <c r="A218" s="56">
        <v>217</v>
      </c>
      <c r="B218" s="142" t="s">
        <v>1894</v>
      </c>
      <c r="C218" s="56" t="s">
        <v>17</v>
      </c>
      <c r="D218" s="194" t="s">
        <v>355</v>
      </c>
      <c r="E218" s="142" t="s">
        <v>355</v>
      </c>
      <c r="F218" s="142" t="s">
        <v>356</v>
      </c>
      <c r="G218" s="194" t="s">
        <v>355</v>
      </c>
      <c r="H218" s="142" t="s">
        <v>273</v>
      </c>
    </row>
    <row r="219" customHeight="1" spans="1:8">
      <c r="A219" s="56">
        <v>218</v>
      </c>
      <c r="B219" s="142" t="s">
        <v>1895</v>
      </c>
      <c r="C219" s="56" t="s">
        <v>15</v>
      </c>
      <c r="D219" s="194" t="s">
        <v>633</v>
      </c>
      <c r="E219" s="194" t="s">
        <v>51</v>
      </c>
      <c r="F219" s="194"/>
      <c r="G219" s="194" t="s">
        <v>1673</v>
      </c>
      <c r="H219" s="142" t="s">
        <v>274</v>
      </c>
    </row>
    <row r="220" customHeight="1" spans="1:8">
      <c r="A220" s="56">
        <v>219</v>
      </c>
      <c r="B220" s="142" t="s">
        <v>1896</v>
      </c>
      <c r="C220" s="56" t="s">
        <v>13</v>
      </c>
      <c r="D220" s="142" t="s">
        <v>507</v>
      </c>
      <c r="E220" s="142" t="s">
        <v>51</v>
      </c>
      <c r="F220" s="142" t="s">
        <v>367</v>
      </c>
      <c r="G220" s="142" t="s">
        <v>300</v>
      </c>
      <c r="H220" s="142" t="s">
        <v>270</v>
      </c>
    </row>
    <row r="221" customHeight="1" spans="1:8">
      <c r="A221" s="56">
        <v>220</v>
      </c>
      <c r="B221" s="142" t="s">
        <v>1897</v>
      </c>
      <c r="C221" s="56" t="s">
        <v>19</v>
      </c>
      <c r="D221" s="142" t="s">
        <v>507</v>
      </c>
      <c r="E221" s="142" t="s">
        <v>51</v>
      </c>
      <c r="F221" s="142" t="s">
        <v>367</v>
      </c>
      <c r="G221" s="142" t="s">
        <v>300</v>
      </c>
      <c r="H221" s="142" t="s">
        <v>270</v>
      </c>
    </row>
    <row r="222" customHeight="1" spans="1:8">
      <c r="A222" s="56">
        <v>221</v>
      </c>
      <c r="B222" s="142" t="s">
        <v>1898</v>
      </c>
      <c r="C222" s="56" t="s">
        <v>38</v>
      </c>
      <c r="D222" s="194" t="s">
        <v>437</v>
      </c>
      <c r="E222" s="194" t="s">
        <v>51</v>
      </c>
      <c r="F222" s="194" t="s">
        <v>367</v>
      </c>
      <c r="G222" s="194" t="s">
        <v>1673</v>
      </c>
      <c r="H222" s="142" t="s">
        <v>274</v>
      </c>
    </row>
    <row r="223" customHeight="1" spans="1:8">
      <c r="A223" s="56">
        <v>222</v>
      </c>
      <c r="B223" s="142" t="s">
        <v>1899</v>
      </c>
      <c r="C223" s="56" t="s">
        <v>175</v>
      </c>
      <c r="D223" s="142" t="s">
        <v>1673</v>
      </c>
      <c r="E223" s="142"/>
      <c r="F223" s="142"/>
      <c r="G223" s="142" t="s">
        <v>1673</v>
      </c>
      <c r="H223" s="142" t="s">
        <v>273</v>
      </c>
    </row>
    <row r="224" customHeight="1" spans="1:8">
      <c r="A224" s="56">
        <v>223</v>
      </c>
      <c r="B224" s="142" t="s">
        <v>1900</v>
      </c>
      <c r="C224" s="56" t="s">
        <v>17</v>
      </c>
      <c r="D224" s="142" t="s">
        <v>355</v>
      </c>
      <c r="E224" s="142" t="s">
        <v>355</v>
      </c>
      <c r="F224" s="142" t="s">
        <v>356</v>
      </c>
      <c r="G224" s="142" t="s">
        <v>355</v>
      </c>
      <c r="H224" s="142" t="s">
        <v>273</v>
      </c>
    </row>
    <row r="225" customHeight="1" spans="1:8">
      <c r="A225" s="56">
        <v>224</v>
      </c>
      <c r="B225" s="142" t="s">
        <v>1901</v>
      </c>
      <c r="C225" s="56" t="s">
        <v>38</v>
      </c>
      <c r="D225" s="142" t="s">
        <v>1902</v>
      </c>
      <c r="E225" s="142" t="s">
        <v>51</v>
      </c>
      <c r="F225" s="142" t="s">
        <v>367</v>
      </c>
      <c r="G225" s="142" t="s">
        <v>1673</v>
      </c>
      <c r="H225" s="142" t="s">
        <v>274</v>
      </c>
    </row>
    <row r="226" customHeight="1" spans="1:8">
      <c r="A226" s="56">
        <v>225</v>
      </c>
      <c r="B226" s="142" t="s">
        <v>1903</v>
      </c>
      <c r="C226" s="56" t="s">
        <v>19</v>
      </c>
      <c r="D226" s="142" t="s">
        <v>366</v>
      </c>
      <c r="E226" s="142" t="s">
        <v>51</v>
      </c>
      <c r="F226" s="142" t="s">
        <v>356</v>
      </c>
      <c r="G226" s="142" t="s">
        <v>1673</v>
      </c>
      <c r="H226" s="142" t="s">
        <v>270</v>
      </c>
    </row>
    <row r="227" customHeight="1" spans="1:8">
      <c r="A227" s="56">
        <v>226</v>
      </c>
      <c r="B227" s="142" t="s">
        <v>1904</v>
      </c>
      <c r="C227" s="56" t="s">
        <v>19</v>
      </c>
      <c r="D227" s="142" t="s">
        <v>411</v>
      </c>
      <c r="E227" s="142" t="s">
        <v>51</v>
      </c>
      <c r="F227" s="142" t="s">
        <v>367</v>
      </c>
      <c r="G227" s="142" t="s">
        <v>300</v>
      </c>
      <c r="H227" s="142" t="s">
        <v>270</v>
      </c>
    </row>
    <row r="228" customHeight="1" spans="1:8">
      <c r="A228" s="56">
        <v>227</v>
      </c>
      <c r="B228" s="142" t="s">
        <v>1905</v>
      </c>
      <c r="C228" s="56" t="s">
        <v>17</v>
      </c>
      <c r="D228" s="142" t="s">
        <v>355</v>
      </c>
      <c r="E228" s="142" t="s">
        <v>355</v>
      </c>
      <c r="F228" s="142" t="s">
        <v>356</v>
      </c>
      <c r="G228" s="142" t="s">
        <v>355</v>
      </c>
      <c r="H228" s="142" t="s">
        <v>273</v>
      </c>
    </row>
    <row r="229" customHeight="1" spans="1:8">
      <c r="A229" s="56">
        <v>228</v>
      </c>
      <c r="B229" s="142" t="s">
        <v>1906</v>
      </c>
      <c r="C229" s="56" t="s">
        <v>100</v>
      </c>
      <c r="D229" s="142" t="s">
        <v>1677</v>
      </c>
      <c r="E229" s="142"/>
      <c r="F229" s="142"/>
      <c r="G229" s="142"/>
      <c r="H229" s="142" t="s">
        <v>276</v>
      </c>
    </row>
    <row r="230" customHeight="1" spans="1:8">
      <c r="A230" s="56">
        <v>229</v>
      </c>
      <c r="B230" s="142" t="s">
        <v>1907</v>
      </c>
      <c r="C230" s="56" t="s">
        <v>29</v>
      </c>
      <c r="D230" s="142" t="s">
        <v>590</v>
      </c>
      <c r="E230" s="142" t="s">
        <v>51</v>
      </c>
      <c r="F230" s="142" t="s">
        <v>356</v>
      </c>
      <c r="G230" s="142" t="s">
        <v>300</v>
      </c>
      <c r="H230" s="142" t="s">
        <v>270</v>
      </c>
    </row>
    <row r="231" customHeight="1" spans="1:8">
      <c r="A231" s="56">
        <v>230</v>
      </c>
      <c r="B231" s="142" t="s">
        <v>1908</v>
      </c>
      <c r="C231" s="56" t="s">
        <v>29</v>
      </c>
      <c r="D231" s="142" t="s">
        <v>633</v>
      </c>
      <c r="E231" s="142" t="s">
        <v>51</v>
      </c>
      <c r="F231" s="142" t="s">
        <v>356</v>
      </c>
      <c r="G231" s="142" t="s">
        <v>1673</v>
      </c>
      <c r="H231" s="142" t="s">
        <v>270</v>
      </c>
    </row>
    <row r="232" customHeight="1" spans="1:8">
      <c r="A232" s="56">
        <v>231</v>
      </c>
      <c r="B232" s="142" t="s">
        <v>1909</v>
      </c>
      <c r="C232" s="56" t="s">
        <v>15</v>
      </c>
      <c r="D232" s="142" t="s">
        <v>553</v>
      </c>
      <c r="E232" s="142" t="s">
        <v>51</v>
      </c>
      <c r="F232" s="142" t="s">
        <v>367</v>
      </c>
      <c r="G232" s="142" t="s">
        <v>1673</v>
      </c>
      <c r="H232" s="142" t="s">
        <v>274</v>
      </c>
    </row>
    <row r="233" customHeight="1" spans="1:8">
      <c r="A233" s="56">
        <v>232</v>
      </c>
      <c r="B233" s="142" t="s">
        <v>1910</v>
      </c>
      <c r="C233" s="56" t="s">
        <v>15</v>
      </c>
      <c r="D233" s="142" t="s">
        <v>1902</v>
      </c>
      <c r="E233" s="142" t="s">
        <v>51</v>
      </c>
      <c r="F233" s="142" t="s">
        <v>367</v>
      </c>
      <c r="G233" s="142" t="s">
        <v>1673</v>
      </c>
      <c r="H233" s="142" t="s">
        <v>274</v>
      </c>
    </row>
    <row r="234" customHeight="1" spans="1:8">
      <c r="A234" s="56">
        <v>233</v>
      </c>
      <c r="B234" s="142" t="s">
        <v>1911</v>
      </c>
      <c r="C234" s="56" t="s">
        <v>15</v>
      </c>
      <c r="D234" s="142" t="s">
        <v>553</v>
      </c>
      <c r="E234" s="142" t="s">
        <v>51</v>
      </c>
      <c r="F234" s="142"/>
      <c r="G234" s="142" t="s">
        <v>1673</v>
      </c>
      <c r="H234" s="142" t="s">
        <v>274</v>
      </c>
    </row>
    <row r="235" customHeight="1" spans="1:8">
      <c r="A235" s="56">
        <v>234</v>
      </c>
      <c r="B235" s="142" t="s">
        <v>1912</v>
      </c>
      <c r="C235" s="56" t="s">
        <v>15</v>
      </c>
      <c r="D235" s="142" t="s">
        <v>507</v>
      </c>
      <c r="E235" s="142" t="s">
        <v>51</v>
      </c>
      <c r="F235" s="142" t="s">
        <v>367</v>
      </c>
      <c r="G235" s="142" t="s">
        <v>300</v>
      </c>
      <c r="H235" s="142" t="s">
        <v>274</v>
      </c>
    </row>
    <row r="236" customHeight="1" spans="1:8">
      <c r="A236" s="56">
        <v>235</v>
      </c>
      <c r="B236" s="142" t="s">
        <v>1913</v>
      </c>
      <c r="C236" s="56" t="s">
        <v>13</v>
      </c>
      <c r="D236" s="142" t="s">
        <v>386</v>
      </c>
      <c r="E236" s="142" t="s">
        <v>378</v>
      </c>
      <c r="F236" s="142" t="s">
        <v>356</v>
      </c>
      <c r="G236" s="142"/>
      <c r="H236" s="142" t="s">
        <v>270</v>
      </c>
    </row>
    <row r="237" customHeight="1" spans="1:8">
      <c r="A237" s="56">
        <v>236</v>
      </c>
      <c r="B237" s="142" t="s">
        <v>1914</v>
      </c>
      <c r="C237" s="56" t="s">
        <v>33</v>
      </c>
      <c r="D237" s="142" t="s">
        <v>612</v>
      </c>
      <c r="E237" s="142" t="s">
        <v>378</v>
      </c>
      <c r="F237" s="142" t="s">
        <v>356</v>
      </c>
      <c r="G237" s="142" t="s">
        <v>378</v>
      </c>
      <c r="H237" s="142" t="s">
        <v>273</v>
      </c>
    </row>
    <row r="238" customHeight="1" spans="1:8">
      <c r="A238" s="56">
        <v>237</v>
      </c>
      <c r="B238" s="142" t="s">
        <v>1915</v>
      </c>
      <c r="C238" s="56" t="s">
        <v>34</v>
      </c>
      <c r="D238" s="142"/>
      <c r="E238" s="142"/>
      <c r="F238" s="142"/>
      <c r="G238" s="142"/>
      <c r="H238" s="142" t="s">
        <v>275</v>
      </c>
    </row>
    <row r="239" customHeight="1" spans="1:8">
      <c r="A239" s="56">
        <v>238</v>
      </c>
      <c r="B239" s="142" t="s">
        <v>1916</v>
      </c>
      <c r="C239" s="56" t="s">
        <v>111</v>
      </c>
      <c r="D239" s="142"/>
      <c r="E239" s="142"/>
      <c r="F239" s="142"/>
      <c r="G239" s="142"/>
      <c r="H239" s="142" t="s">
        <v>275</v>
      </c>
    </row>
    <row r="240" customHeight="1" spans="1:8">
      <c r="A240" s="56">
        <v>239</v>
      </c>
      <c r="B240" s="142" t="s">
        <v>1917</v>
      </c>
      <c r="C240" s="56" t="s">
        <v>111</v>
      </c>
      <c r="D240" s="142" t="s">
        <v>437</v>
      </c>
      <c r="E240" s="142" t="s">
        <v>51</v>
      </c>
      <c r="F240" s="142"/>
      <c r="G240" s="142" t="s">
        <v>300</v>
      </c>
      <c r="H240" s="142" t="s">
        <v>275</v>
      </c>
    </row>
    <row r="241" customHeight="1" spans="1:8">
      <c r="A241" s="56">
        <v>240</v>
      </c>
      <c r="B241" s="142" t="s">
        <v>1918</v>
      </c>
      <c r="C241" s="56" t="s">
        <v>111</v>
      </c>
      <c r="D241" s="142"/>
      <c r="E241" s="142"/>
      <c r="F241" s="142"/>
      <c r="G241" s="142"/>
      <c r="H241" s="142" t="s">
        <v>275</v>
      </c>
    </row>
    <row r="242" customHeight="1" spans="1:8">
      <c r="A242" s="56">
        <v>241</v>
      </c>
      <c r="B242" s="142" t="s">
        <v>1919</v>
      </c>
      <c r="C242" s="56" t="s">
        <v>17</v>
      </c>
      <c r="D242" s="142" t="s">
        <v>437</v>
      </c>
      <c r="E242" s="142" t="s">
        <v>51</v>
      </c>
      <c r="F242" s="142"/>
      <c r="G242" s="142" t="s">
        <v>300</v>
      </c>
      <c r="H242" s="142" t="s">
        <v>273</v>
      </c>
    </row>
    <row r="243" customHeight="1" spans="1:8">
      <c r="A243" s="56">
        <v>242</v>
      </c>
      <c r="B243" s="142" t="s">
        <v>1920</v>
      </c>
      <c r="C243" s="56" t="s">
        <v>19</v>
      </c>
      <c r="D243" s="142"/>
      <c r="E243" s="142"/>
      <c r="F243" s="142"/>
      <c r="G243" s="142"/>
      <c r="H243" s="142" t="s">
        <v>270</v>
      </c>
    </row>
    <row r="244" customHeight="1" spans="1:8">
      <c r="A244" s="56">
        <v>243</v>
      </c>
      <c r="B244" s="142" t="s">
        <v>1921</v>
      </c>
      <c r="C244" s="56" t="s">
        <v>17</v>
      </c>
      <c r="D244" s="142" t="s">
        <v>750</v>
      </c>
      <c r="E244" s="142" t="s">
        <v>51</v>
      </c>
      <c r="F244" s="142"/>
      <c r="G244" s="142" t="s">
        <v>300</v>
      </c>
      <c r="H244" s="142" t="s">
        <v>273</v>
      </c>
    </row>
    <row r="245" customHeight="1" spans="1:8">
      <c r="A245" s="56">
        <v>244</v>
      </c>
      <c r="B245" s="142" t="s">
        <v>1922</v>
      </c>
      <c r="C245" s="56" t="s">
        <v>17</v>
      </c>
      <c r="D245" s="142" t="s">
        <v>507</v>
      </c>
      <c r="E245" s="142" t="s">
        <v>51</v>
      </c>
      <c r="F245" s="142"/>
      <c r="G245" s="142" t="s">
        <v>300</v>
      </c>
      <c r="H245" s="142" t="s">
        <v>273</v>
      </c>
    </row>
    <row r="246" customHeight="1" spans="1:8">
      <c r="A246" s="56">
        <v>245</v>
      </c>
      <c r="B246" s="142" t="s">
        <v>1923</v>
      </c>
      <c r="C246" s="56" t="s">
        <v>17</v>
      </c>
      <c r="D246" s="142" t="s">
        <v>633</v>
      </c>
      <c r="E246" s="142" t="s">
        <v>51</v>
      </c>
      <c r="F246" s="142"/>
      <c r="G246" s="142" t="s">
        <v>300</v>
      </c>
      <c r="H246" s="142" t="s">
        <v>273</v>
      </c>
    </row>
    <row r="247" customHeight="1" spans="1:8">
      <c r="A247" s="56">
        <v>246</v>
      </c>
      <c r="B247" s="142" t="s">
        <v>1924</v>
      </c>
      <c r="C247" s="56" t="s">
        <v>17</v>
      </c>
      <c r="D247" s="142" t="s">
        <v>1673</v>
      </c>
      <c r="E247" s="142"/>
      <c r="F247" s="142"/>
      <c r="G247" s="142" t="s">
        <v>1673</v>
      </c>
      <c r="H247" s="142" t="s">
        <v>273</v>
      </c>
    </row>
    <row r="248" customHeight="1" spans="1:8">
      <c r="A248" s="56">
        <v>247</v>
      </c>
      <c r="B248" s="142" t="s">
        <v>1925</v>
      </c>
      <c r="C248" s="56" t="s">
        <v>125</v>
      </c>
      <c r="D248" s="142"/>
      <c r="E248" s="142"/>
      <c r="F248" s="142"/>
      <c r="G248" s="142"/>
      <c r="H248" s="142" t="s">
        <v>277</v>
      </c>
    </row>
    <row r="249" customHeight="1" spans="1:8">
      <c r="A249" s="56">
        <v>248</v>
      </c>
      <c r="B249" s="142" t="s">
        <v>1926</v>
      </c>
      <c r="C249" s="56" t="s">
        <v>125</v>
      </c>
      <c r="D249" s="142"/>
      <c r="E249" s="142"/>
      <c r="F249" s="142"/>
      <c r="G249" s="142"/>
      <c r="H249" s="142" t="s">
        <v>277</v>
      </c>
    </row>
    <row r="250" customHeight="1" spans="1:8">
      <c r="A250" s="56">
        <v>249</v>
      </c>
      <c r="B250" s="142" t="s">
        <v>1927</v>
      </c>
      <c r="C250" s="56" t="s">
        <v>17</v>
      </c>
      <c r="D250" s="142" t="s">
        <v>1673</v>
      </c>
      <c r="E250" s="142"/>
      <c r="F250" s="142"/>
      <c r="G250" s="142" t="s">
        <v>1673</v>
      </c>
      <c r="H250" s="142" t="s">
        <v>273</v>
      </c>
    </row>
    <row r="251" customHeight="1" spans="1:8">
      <c r="A251" s="56">
        <v>250</v>
      </c>
      <c r="B251" s="142" t="s">
        <v>1928</v>
      </c>
      <c r="C251" s="56" t="s">
        <v>100</v>
      </c>
      <c r="D251" s="142" t="s">
        <v>366</v>
      </c>
      <c r="E251" s="142" t="s">
        <v>51</v>
      </c>
      <c r="F251" s="142" t="s">
        <v>367</v>
      </c>
      <c r="G251" s="142" t="s">
        <v>1673</v>
      </c>
      <c r="H251" s="142" t="s">
        <v>276</v>
      </c>
    </row>
    <row r="252" customHeight="1" spans="1:8">
      <c r="A252" s="56">
        <v>251</v>
      </c>
      <c r="B252" s="142" t="s">
        <v>1929</v>
      </c>
      <c r="C252" s="56" t="s">
        <v>100</v>
      </c>
      <c r="D252" s="142" t="s">
        <v>366</v>
      </c>
      <c r="E252" s="142" t="s">
        <v>51</v>
      </c>
      <c r="F252" s="142" t="s">
        <v>367</v>
      </c>
      <c r="G252" s="142" t="s">
        <v>1673</v>
      </c>
      <c r="H252" s="142" t="s">
        <v>276</v>
      </c>
    </row>
    <row r="253" customHeight="1" spans="1:8">
      <c r="A253" s="56">
        <v>252</v>
      </c>
      <c r="B253" s="142" t="s">
        <v>1930</v>
      </c>
      <c r="C253" s="56" t="s">
        <v>100</v>
      </c>
      <c r="D253" s="142" t="s">
        <v>1677</v>
      </c>
      <c r="E253" s="142"/>
      <c r="F253" s="142"/>
      <c r="G253" s="142"/>
      <c r="H253" s="142" t="s">
        <v>276</v>
      </c>
    </row>
    <row r="254" customHeight="1" spans="1:8">
      <c r="A254" s="56">
        <v>253</v>
      </c>
      <c r="B254" s="142" t="s">
        <v>1931</v>
      </c>
      <c r="C254" s="56" t="s">
        <v>23</v>
      </c>
      <c r="D254" s="142" t="s">
        <v>1677</v>
      </c>
      <c r="E254" s="142"/>
      <c r="F254" s="142"/>
      <c r="G254" s="142"/>
      <c r="H254" s="142" t="s">
        <v>276</v>
      </c>
    </row>
    <row r="255" customHeight="1" spans="1:8">
      <c r="A255" s="56">
        <v>254</v>
      </c>
      <c r="B255" s="142" t="s">
        <v>1932</v>
      </c>
      <c r="C255" s="56" t="s">
        <v>13</v>
      </c>
      <c r="D255" s="142"/>
      <c r="E255" s="142"/>
      <c r="F255" s="142"/>
      <c r="G255" s="142"/>
      <c r="H255" s="142" t="s">
        <v>270</v>
      </c>
    </row>
    <row r="256" customHeight="1" spans="1:8">
      <c r="A256" s="56">
        <v>255</v>
      </c>
      <c r="B256" s="142" t="s">
        <v>1933</v>
      </c>
      <c r="C256" s="56" t="s">
        <v>33</v>
      </c>
      <c r="D256" s="142" t="s">
        <v>424</v>
      </c>
      <c r="E256" s="142" t="s">
        <v>378</v>
      </c>
      <c r="F256" s="142"/>
      <c r="G256" s="142" t="s">
        <v>378</v>
      </c>
      <c r="H256" s="142" t="s">
        <v>273</v>
      </c>
    </row>
    <row r="257" customHeight="1" spans="1:8">
      <c r="A257" s="56">
        <v>256</v>
      </c>
      <c r="B257" s="142" t="s">
        <v>1934</v>
      </c>
      <c r="C257" s="56" t="s">
        <v>111</v>
      </c>
      <c r="D257" s="142"/>
      <c r="E257" s="142"/>
      <c r="F257" s="142"/>
      <c r="G257" s="142"/>
      <c r="H257" s="142" t="s">
        <v>275</v>
      </c>
    </row>
    <row r="258" customHeight="1" spans="1:8">
      <c r="A258" s="56">
        <v>257</v>
      </c>
      <c r="B258" s="142" t="s">
        <v>1935</v>
      </c>
      <c r="C258" s="56" t="s">
        <v>111</v>
      </c>
      <c r="D258" s="142"/>
      <c r="E258" s="142"/>
      <c r="F258" s="142"/>
      <c r="G258" s="142"/>
      <c r="H258" s="142" t="s">
        <v>275</v>
      </c>
    </row>
    <row r="259" customHeight="1" spans="1:8">
      <c r="A259" s="56">
        <v>258</v>
      </c>
      <c r="B259" s="142" t="s">
        <v>1936</v>
      </c>
      <c r="C259" s="56" t="s">
        <v>38</v>
      </c>
      <c r="D259" s="142" t="s">
        <v>366</v>
      </c>
      <c r="E259" s="142" t="s">
        <v>51</v>
      </c>
      <c r="F259" s="142" t="s">
        <v>367</v>
      </c>
      <c r="G259" s="142" t="s">
        <v>1673</v>
      </c>
      <c r="H259" s="142" t="s">
        <v>274</v>
      </c>
    </row>
    <row r="260" customHeight="1" spans="1:8">
      <c r="A260" s="56">
        <v>259</v>
      </c>
      <c r="B260" s="142" t="s">
        <v>1937</v>
      </c>
      <c r="C260" s="56" t="s">
        <v>19</v>
      </c>
      <c r="D260" s="142"/>
      <c r="E260" s="142"/>
      <c r="F260" s="142"/>
      <c r="G260" s="142"/>
      <c r="H260" s="142" t="s">
        <v>270</v>
      </c>
    </row>
    <row r="261" customHeight="1" spans="1:8">
      <c r="A261" s="56">
        <v>260</v>
      </c>
      <c r="B261" s="142" t="s">
        <v>1938</v>
      </c>
      <c r="C261" s="56" t="s">
        <v>19</v>
      </c>
      <c r="D261" s="142"/>
      <c r="E261" s="142"/>
      <c r="F261" s="142"/>
      <c r="G261" s="142"/>
      <c r="H261" s="142" t="s">
        <v>270</v>
      </c>
    </row>
    <row r="262" customHeight="1" spans="1:8">
      <c r="A262" s="56">
        <v>261</v>
      </c>
      <c r="B262" s="142" t="s">
        <v>1939</v>
      </c>
      <c r="C262" s="56" t="s">
        <v>38</v>
      </c>
      <c r="D262" s="142" t="s">
        <v>1902</v>
      </c>
      <c r="E262" s="142" t="s">
        <v>51</v>
      </c>
      <c r="F262" s="142" t="s">
        <v>367</v>
      </c>
      <c r="G262" s="142" t="s">
        <v>1673</v>
      </c>
      <c r="H262" s="142" t="s">
        <v>274</v>
      </c>
    </row>
    <row r="263" customHeight="1" spans="1:8">
      <c r="A263" s="56">
        <v>262</v>
      </c>
      <c r="B263" s="142" t="s">
        <v>1940</v>
      </c>
      <c r="C263" s="56" t="s">
        <v>19</v>
      </c>
      <c r="D263" s="142" t="s">
        <v>861</v>
      </c>
      <c r="E263" s="142" t="s">
        <v>378</v>
      </c>
      <c r="F263" s="142" t="s">
        <v>356</v>
      </c>
      <c r="G263" s="142"/>
      <c r="H263" s="142" t="s">
        <v>270</v>
      </c>
    </row>
    <row r="264" customHeight="1" spans="1:8">
      <c r="A264" s="56">
        <v>263</v>
      </c>
      <c r="B264" s="142" t="s">
        <v>1941</v>
      </c>
      <c r="C264" s="56" t="s">
        <v>100</v>
      </c>
      <c r="D264" s="142" t="s">
        <v>633</v>
      </c>
      <c r="E264" s="142" t="s">
        <v>378</v>
      </c>
      <c r="F264" s="142"/>
      <c r="G264" s="142"/>
      <c r="H264" s="142" t="s">
        <v>276</v>
      </c>
    </row>
    <row r="265" customHeight="1" spans="1:8">
      <c r="A265" s="56">
        <v>264</v>
      </c>
      <c r="B265" s="142" t="s">
        <v>1942</v>
      </c>
      <c r="C265" s="56" t="s">
        <v>100</v>
      </c>
      <c r="D265" s="142" t="s">
        <v>386</v>
      </c>
      <c r="E265" s="142" t="s">
        <v>51</v>
      </c>
      <c r="F265" s="142" t="s">
        <v>367</v>
      </c>
      <c r="G265" s="142" t="s">
        <v>1673</v>
      </c>
      <c r="H265" s="142" t="s">
        <v>276</v>
      </c>
    </row>
    <row r="266" customHeight="1" spans="1:8">
      <c r="A266" s="56">
        <v>265</v>
      </c>
      <c r="B266" s="142" t="s">
        <v>1943</v>
      </c>
      <c r="C266" s="56" t="s">
        <v>100</v>
      </c>
      <c r="D266" s="142" t="s">
        <v>386</v>
      </c>
      <c r="E266" s="142" t="s">
        <v>51</v>
      </c>
      <c r="F266" s="142"/>
      <c r="G266" s="142" t="s">
        <v>1673</v>
      </c>
      <c r="H266" s="142" t="s">
        <v>276</v>
      </c>
    </row>
    <row r="267" customHeight="1" spans="1:8">
      <c r="A267" s="56">
        <v>266</v>
      </c>
      <c r="B267" s="142" t="s">
        <v>1944</v>
      </c>
      <c r="C267" s="56" t="s">
        <v>100</v>
      </c>
      <c r="D267" s="142" t="s">
        <v>612</v>
      </c>
      <c r="E267" s="142" t="s">
        <v>51</v>
      </c>
      <c r="F267" s="142" t="s">
        <v>367</v>
      </c>
      <c r="G267" s="142" t="s">
        <v>1673</v>
      </c>
      <c r="H267" s="142" t="s">
        <v>276</v>
      </c>
    </row>
    <row r="268" customHeight="1" spans="1:8">
      <c r="A268" s="56">
        <v>267</v>
      </c>
      <c r="B268" s="142" t="s">
        <v>1837</v>
      </c>
      <c r="C268" s="56" t="s">
        <v>34</v>
      </c>
      <c r="D268" s="194"/>
      <c r="E268" s="194"/>
      <c r="F268" s="194"/>
      <c r="G268" s="194"/>
      <c r="H268" s="142" t="s">
        <v>275</v>
      </c>
    </row>
    <row r="269" customHeight="1" spans="1:8">
      <c r="A269" s="56">
        <v>268</v>
      </c>
      <c r="B269" s="142" t="s">
        <v>1945</v>
      </c>
      <c r="C269" s="56" t="s">
        <v>34</v>
      </c>
      <c r="D269" s="194"/>
      <c r="E269" s="194"/>
      <c r="F269" s="194"/>
      <c r="G269" s="194"/>
      <c r="H269" s="142" t="s">
        <v>275</v>
      </c>
    </row>
    <row r="270" customHeight="1" spans="1:8">
      <c r="A270" s="56">
        <v>269</v>
      </c>
      <c r="B270" s="142" t="s">
        <v>1946</v>
      </c>
      <c r="C270" s="56" t="s">
        <v>34</v>
      </c>
      <c r="D270" s="194"/>
      <c r="E270" s="194"/>
      <c r="F270" s="194"/>
      <c r="G270" s="194"/>
      <c r="H270" s="142" t="s">
        <v>275</v>
      </c>
    </row>
    <row r="271" customHeight="1" spans="1:8">
      <c r="A271" s="56">
        <v>270</v>
      </c>
      <c r="B271" s="142" t="s">
        <v>1947</v>
      </c>
      <c r="C271" s="56" t="s">
        <v>29</v>
      </c>
      <c r="D271" s="142"/>
      <c r="E271" s="142"/>
      <c r="F271" s="142"/>
      <c r="G271" s="142"/>
      <c r="H271" s="142" t="s">
        <v>270</v>
      </c>
    </row>
    <row r="272" customHeight="1" spans="1:8">
      <c r="A272" s="56">
        <v>271</v>
      </c>
      <c r="B272" s="142" t="s">
        <v>1948</v>
      </c>
      <c r="C272" s="56" t="s">
        <v>29</v>
      </c>
      <c r="D272" s="142" t="s">
        <v>437</v>
      </c>
      <c r="E272" s="142" t="s">
        <v>51</v>
      </c>
      <c r="F272" s="142"/>
      <c r="G272" s="142" t="s">
        <v>300</v>
      </c>
      <c r="H272" s="142" t="s">
        <v>270</v>
      </c>
    </row>
    <row r="273" customHeight="1" spans="1:8">
      <c r="A273" s="56">
        <v>272</v>
      </c>
      <c r="B273" s="142" t="s">
        <v>1949</v>
      </c>
      <c r="C273" s="56" t="s">
        <v>17</v>
      </c>
      <c r="D273" s="194" t="s">
        <v>612</v>
      </c>
      <c r="E273" s="194" t="s">
        <v>51</v>
      </c>
      <c r="F273" s="194"/>
      <c r="G273" s="194" t="s">
        <v>1673</v>
      </c>
      <c r="H273" s="142" t="s">
        <v>273</v>
      </c>
    </row>
    <row r="274" customHeight="1" spans="1:8">
      <c r="A274" s="56">
        <v>273</v>
      </c>
      <c r="B274" s="142" t="s">
        <v>1950</v>
      </c>
      <c r="C274" s="56" t="s">
        <v>125</v>
      </c>
      <c r="D274" s="194"/>
      <c r="E274" s="194"/>
      <c r="F274" s="194"/>
      <c r="G274" s="194"/>
      <c r="H274" s="142" t="s">
        <v>277</v>
      </c>
    </row>
    <row r="275" customHeight="1" spans="1:8">
      <c r="A275" s="56">
        <v>274</v>
      </c>
      <c r="B275" s="142" t="s">
        <v>1951</v>
      </c>
      <c r="C275" s="56" t="s">
        <v>17</v>
      </c>
      <c r="D275" s="194" t="s">
        <v>355</v>
      </c>
      <c r="E275" s="142" t="s">
        <v>355</v>
      </c>
      <c r="F275" s="142" t="s">
        <v>356</v>
      </c>
      <c r="G275" s="194" t="s">
        <v>355</v>
      </c>
      <c r="H275" s="142" t="s">
        <v>273</v>
      </c>
    </row>
    <row r="276" customHeight="1" spans="1:8">
      <c r="A276" s="56">
        <v>275</v>
      </c>
      <c r="B276" s="142" t="s">
        <v>1952</v>
      </c>
      <c r="C276" s="56" t="s">
        <v>17</v>
      </c>
      <c r="D276" s="194" t="s">
        <v>1018</v>
      </c>
      <c r="E276" s="194" t="s">
        <v>51</v>
      </c>
      <c r="F276" s="194"/>
      <c r="G276" s="194" t="s">
        <v>1673</v>
      </c>
      <c r="H276" s="142" t="s">
        <v>273</v>
      </c>
    </row>
    <row r="277" customHeight="1" spans="1:8">
      <c r="A277" s="56">
        <v>276</v>
      </c>
      <c r="B277" s="142" t="s">
        <v>1953</v>
      </c>
      <c r="C277" s="56" t="s">
        <v>100</v>
      </c>
      <c r="D277" s="142" t="s">
        <v>366</v>
      </c>
      <c r="E277" s="142"/>
      <c r="F277" s="142"/>
      <c r="G277" s="142"/>
      <c r="H277" s="142" t="s">
        <v>276</v>
      </c>
    </row>
    <row r="278" customHeight="1" spans="1:8">
      <c r="A278" s="56">
        <v>277</v>
      </c>
      <c r="B278" s="142" t="s">
        <v>1954</v>
      </c>
      <c r="C278" s="56" t="s">
        <v>100</v>
      </c>
      <c r="D278" s="142" t="s">
        <v>366</v>
      </c>
      <c r="E278" s="142" t="s">
        <v>51</v>
      </c>
      <c r="F278" s="142" t="s">
        <v>356</v>
      </c>
      <c r="G278" s="142" t="s">
        <v>1673</v>
      </c>
      <c r="H278" s="142" t="s">
        <v>276</v>
      </c>
    </row>
    <row r="279" customHeight="1" spans="1:8">
      <c r="A279" s="56">
        <v>278</v>
      </c>
      <c r="B279" s="142" t="s">
        <v>1955</v>
      </c>
      <c r="C279" s="56" t="s">
        <v>25</v>
      </c>
      <c r="D279" s="194"/>
      <c r="E279" s="194"/>
      <c r="F279" s="194"/>
      <c r="G279" s="194"/>
      <c r="H279" s="142" t="s">
        <v>275</v>
      </c>
    </row>
    <row r="280" customHeight="1" spans="1:8">
      <c r="A280" s="56">
        <v>279</v>
      </c>
      <c r="B280" s="142" t="s">
        <v>1956</v>
      </c>
      <c r="C280" s="56" t="s">
        <v>25</v>
      </c>
      <c r="D280" s="194"/>
      <c r="E280" s="194"/>
      <c r="F280" s="194"/>
      <c r="G280" s="194"/>
      <c r="H280" s="142" t="s">
        <v>275</v>
      </c>
    </row>
    <row r="281" customHeight="1" spans="1:8">
      <c r="A281" s="56">
        <v>280</v>
      </c>
      <c r="B281" s="142" t="s">
        <v>1957</v>
      </c>
      <c r="C281" s="56" t="s">
        <v>23</v>
      </c>
      <c r="D281" s="142" t="s">
        <v>457</v>
      </c>
      <c r="E281" s="142" t="s">
        <v>51</v>
      </c>
      <c r="F281" s="142" t="s">
        <v>367</v>
      </c>
      <c r="G281" s="142" t="s">
        <v>1673</v>
      </c>
      <c r="H281" s="142" t="s">
        <v>276</v>
      </c>
    </row>
    <row r="282" customHeight="1" spans="1:8">
      <c r="A282" s="56">
        <v>281</v>
      </c>
      <c r="B282" s="142" t="s">
        <v>1958</v>
      </c>
      <c r="C282" s="56" t="s">
        <v>15</v>
      </c>
      <c r="D282" s="142" t="s">
        <v>386</v>
      </c>
      <c r="E282" s="142" t="s">
        <v>51</v>
      </c>
      <c r="F282" s="142" t="s">
        <v>367</v>
      </c>
      <c r="G282" s="142" t="s">
        <v>1673</v>
      </c>
      <c r="H282" s="142" t="s">
        <v>274</v>
      </c>
    </row>
    <row r="283" customHeight="1" spans="1:8">
      <c r="A283" s="56">
        <v>282</v>
      </c>
      <c r="B283" s="142" t="s">
        <v>1959</v>
      </c>
      <c r="C283" s="56" t="s">
        <v>111</v>
      </c>
      <c r="D283" s="194"/>
      <c r="E283" s="194"/>
      <c r="F283" s="194"/>
      <c r="G283" s="194"/>
      <c r="H283" s="142" t="s">
        <v>275</v>
      </c>
    </row>
    <row r="284" customHeight="1" spans="1:8">
      <c r="A284" s="56">
        <v>283</v>
      </c>
      <c r="B284" s="142" t="s">
        <v>1960</v>
      </c>
      <c r="C284" s="56" t="s">
        <v>29</v>
      </c>
      <c r="D284" s="142"/>
      <c r="E284" s="142"/>
      <c r="F284" s="142"/>
      <c r="G284" s="142"/>
      <c r="H284" s="142" t="s">
        <v>270</v>
      </c>
    </row>
    <row r="285" customHeight="1" spans="1:8">
      <c r="A285" s="56">
        <v>284</v>
      </c>
      <c r="B285" s="142" t="s">
        <v>1961</v>
      </c>
      <c r="C285" s="56" t="s">
        <v>29</v>
      </c>
      <c r="D285" s="142"/>
      <c r="E285" s="142"/>
      <c r="F285" s="142"/>
      <c r="G285" s="142"/>
      <c r="H285" s="142" t="s">
        <v>270</v>
      </c>
    </row>
    <row r="286" customHeight="1" spans="1:8">
      <c r="A286" s="56">
        <v>285</v>
      </c>
      <c r="B286" s="142" t="s">
        <v>1962</v>
      </c>
      <c r="C286" s="56" t="s">
        <v>29</v>
      </c>
      <c r="D286" s="142"/>
      <c r="E286" s="142"/>
      <c r="F286" s="142"/>
      <c r="G286" s="142"/>
      <c r="H286" s="142" t="s">
        <v>270</v>
      </c>
    </row>
    <row r="287" customHeight="1" spans="1:8">
      <c r="A287" s="56">
        <v>286</v>
      </c>
      <c r="B287" s="142" t="s">
        <v>1963</v>
      </c>
      <c r="C287" s="56" t="s">
        <v>38</v>
      </c>
      <c r="D287" s="194"/>
      <c r="E287" s="194"/>
      <c r="F287" s="194"/>
      <c r="G287" s="194"/>
      <c r="H287" s="142" t="s">
        <v>274</v>
      </c>
    </row>
    <row r="288" customHeight="1" spans="1:8">
      <c r="A288" s="56">
        <v>287</v>
      </c>
      <c r="B288" s="142" t="s">
        <v>1964</v>
      </c>
      <c r="C288" s="56" t="s">
        <v>125</v>
      </c>
      <c r="D288" s="194"/>
      <c r="E288" s="194"/>
      <c r="F288" s="194"/>
      <c r="G288" s="194"/>
      <c r="H288" s="142" t="s">
        <v>277</v>
      </c>
    </row>
    <row r="289" customHeight="1" spans="1:8">
      <c r="A289" s="56">
        <v>288</v>
      </c>
      <c r="B289" s="142" t="s">
        <v>1965</v>
      </c>
      <c r="C289" s="56" t="s">
        <v>38</v>
      </c>
      <c r="D289" s="194" t="s">
        <v>612</v>
      </c>
      <c r="E289" s="194" t="s">
        <v>51</v>
      </c>
      <c r="F289" s="194"/>
      <c r="G289" s="194" t="s">
        <v>300</v>
      </c>
      <c r="H289" s="142" t="s">
        <v>274</v>
      </c>
    </row>
    <row r="290" customHeight="1" spans="1:8">
      <c r="A290" s="56">
        <v>289</v>
      </c>
      <c r="B290" s="142" t="s">
        <v>1966</v>
      </c>
      <c r="C290" s="56" t="s">
        <v>19</v>
      </c>
      <c r="D290" s="142"/>
      <c r="E290" s="142"/>
      <c r="F290" s="142"/>
      <c r="G290" s="142"/>
      <c r="H290" s="142" t="s">
        <v>270</v>
      </c>
    </row>
    <row r="291" customHeight="1" spans="1:8">
      <c r="A291" s="56">
        <v>290</v>
      </c>
      <c r="B291" s="142" t="s">
        <v>1967</v>
      </c>
      <c r="C291" s="56" t="s">
        <v>38</v>
      </c>
      <c r="D291" s="194"/>
      <c r="E291" s="194"/>
      <c r="F291" s="194"/>
      <c r="G291" s="194"/>
      <c r="H291" s="142" t="s">
        <v>274</v>
      </c>
    </row>
    <row r="292" customHeight="1" spans="1:8">
      <c r="A292" s="56">
        <v>291</v>
      </c>
      <c r="B292" s="142" t="s">
        <v>1968</v>
      </c>
      <c r="C292" s="56" t="s">
        <v>19</v>
      </c>
      <c r="D292" s="142"/>
      <c r="E292" s="142"/>
      <c r="F292" s="142"/>
      <c r="G292" s="142"/>
      <c r="H292" s="142" t="s">
        <v>270</v>
      </c>
    </row>
    <row r="293" customHeight="1" spans="1:8">
      <c r="A293" s="56">
        <v>292</v>
      </c>
      <c r="B293" s="142" t="s">
        <v>1969</v>
      </c>
      <c r="C293" s="56" t="s">
        <v>38</v>
      </c>
      <c r="D293" s="194"/>
      <c r="E293" s="194"/>
      <c r="F293" s="194"/>
      <c r="G293" s="194"/>
      <c r="H293" s="142" t="s">
        <v>274</v>
      </c>
    </row>
    <row r="294" customHeight="1" spans="1:8">
      <c r="A294" s="56">
        <v>293</v>
      </c>
      <c r="B294" s="142" t="s">
        <v>1970</v>
      </c>
      <c r="C294" s="56" t="s">
        <v>19</v>
      </c>
      <c r="D294" s="142"/>
      <c r="E294" s="142"/>
      <c r="F294" s="142"/>
      <c r="G294" s="142"/>
      <c r="H294" s="142" t="s">
        <v>270</v>
      </c>
    </row>
    <row r="295" customHeight="1" spans="1:8">
      <c r="A295" s="56">
        <v>294</v>
      </c>
      <c r="B295" s="142" t="s">
        <v>1971</v>
      </c>
      <c r="C295" s="56" t="s">
        <v>17</v>
      </c>
      <c r="D295" s="194" t="s">
        <v>1673</v>
      </c>
      <c r="E295" s="194"/>
      <c r="F295" s="194"/>
      <c r="G295" s="194" t="s">
        <v>1673</v>
      </c>
      <c r="H295" s="142" t="s">
        <v>273</v>
      </c>
    </row>
    <row r="296" customHeight="1" spans="1:8">
      <c r="A296" s="56">
        <v>295</v>
      </c>
      <c r="B296" s="142" t="s">
        <v>1972</v>
      </c>
      <c r="C296" s="56" t="s">
        <v>100</v>
      </c>
      <c r="D296" s="194"/>
      <c r="E296" s="194"/>
      <c r="F296" s="194"/>
      <c r="G296" s="194"/>
      <c r="H296" s="142" t="s">
        <v>276</v>
      </c>
    </row>
    <row r="297" customHeight="1" spans="1:8">
      <c r="A297" s="56">
        <v>296</v>
      </c>
      <c r="B297" s="142" t="s">
        <v>1973</v>
      </c>
      <c r="C297" s="56" t="s">
        <v>100</v>
      </c>
      <c r="D297" s="194"/>
      <c r="E297" s="194"/>
      <c r="F297" s="194"/>
      <c r="G297" s="194"/>
      <c r="H297" s="142" t="s">
        <v>276</v>
      </c>
    </row>
    <row r="298" customHeight="1" spans="1:8">
      <c r="A298" s="56">
        <v>297</v>
      </c>
      <c r="B298" s="142" t="s">
        <v>1974</v>
      </c>
      <c r="C298" s="56" t="s">
        <v>23</v>
      </c>
      <c r="D298" s="194"/>
      <c r="E298" s="194"/>
      <c r="F298" s="194"/>
      <c r="G298" s="194"/>
      <c r="H298" s="142" t="s">
        <v>276</v>
      </c>
    </row>
    <row r="299" customHeight="1" spans="1:8">
      <c r="A299" s="56">
        <v>298</v>
      </c>
      <c r="B299" s="142" t="s">
        <v>1975</v>
      </c>
      <c r="C299" s="56" t="s">
        <v>15</v>
      </c>
      <c r="D299" s="194"/>
      <c r="E299" s="194"/>
      <c r="F299" s="194"/>
      <c r="G299" s="194"/>
      <c r="H299" s="142" t="s">
        <v>274</v>
      </c>
    </row>
    <row r="300" customHeight="1" spans="1:8">
      <c r="A300" s="56">
        <v>299</v>
      </c>
      <c r="B300" s="142" t="s">
        <v>1976</v>
      </c>
      <c r="C300" s="56" t="s">
        <v>33</v>
      </c>
      <c r="D300" s="194" t="s">
        <v>777</v>
      </c>
      <c r="E300" s="194" t="s">
        <v>51</v>
      </c>
      <c r="F300" s="194"/>
      <c r="G300" s="194" t="s">
        <v>1673</v>
      </c>
      <c r="H300" s="142" t="s">
        <v>273</v>
      </c>
    </row>
    <row r="301" customHeight="1" spans="1:8">
      <c r="A301" s="56">
        <v>300</v>
      </c>
      <c r="B301" s="142" t="s">
        <v>1977</v>
      </c>
      <c r="C301" s="56" t="s">
        <v>111</v>
      </c>
      <c r="D301" s="194"/>
      <c r="E301" s="194"/>
      <c r="F301" s="194"/>
      <c r="G301" s="194"/>
      <c r="H301" s="142" t="s">
        <v>275</v>
      </c>
    </row>
    <row r="302" customHeight="1" spans="1:8">
      <c r="A302" s="56">
        <v>301</v>
      </c>
      <c r="B302" s="142" t="s">
        <v>1978</v>
      </c>
      <c r="C302" s="56" t="s">
        <v>38</v>
      </c>
      <c r="D302" s="142"/>
      <c r="E302" s="142"/>
      <c r="F302" s="142"/>
      <c r="G302" s="142"/>
      <c r="H302" s="142" t="s">
        <v>274</v>
      </c>
    </row>
    <row r="303" customHeight="1" spans="1:8">
      <c r="A303" s="56">
        <v>302</v>
      </c>
      <c r="B303" s="142" t="s">
        <v>1979</v>
      </c>
      <c r="C303" s="56" t="s">
        <v>38</v>
      </c>
      <c r="D303" s="142"/>
      <c r="E303" s="142"/>
      <c r="F303" s="142"/>
      <c r="G303" s="142"/>
      <c r="H303" s="142" t="s">
        <v>274</v>
      </c>
    </row>
    <row r="304" customHeight="1" spans="1:8">
      <c r="A304" s="56">
        <v>303</v>
      </c>
      <c r="B304" s="142" t="s">
        <v>1980</v>
      </c>
      <c r="C304" s="56" t="s">
        <v>38</v>
      </c>
      <c r="D304" s="142" t="s">
        <v>457</v>
      </c>
      <c r="E304" s="142" t="s">
        <v>51</v>
      </c>
      <c r="F304" s="142"/>
      <c r="G304" s="194" t="s">
        <v>300</v>
      </c>
      <c r="H304" s="142" t="s">
        <v>274</v>
      </c>
    </row>
    <row r="305" customHeight="1" spans="1:8">
      <c r="A305" s="56">
        <v>304</v>
      </c>
      <c r="B305" s="142" t="s">
        <v>1981</v>
      </c>
      <c r="C305" s="56" t="s">
        <v>11</v>
      </c>
      <c r="D305" s="142"/>
      <c r="E305" s="142"/>
      <c r="F305" s="142"/>
      <c r="G305" s="142"/>
      <c r="H305" s="142" t="s">
        <v>270</v>
      </c>
    </row>
    <row r="306" customHeight="1" spans="1:8">
      <c r="A306" s="56">
        <v>305</v>
      </c>
      <c r="B306" s="142" t="s">
        <v>1982</v>
      </c>
      <c r="C306" s="56" t="s">
        <v>11</v>
      </c>
      <c r="D306" s="142"/>
      <c r="E306" s="142"/>
      <c r="F306" s="142"/>
      <c r="G306" s="142"/>
      <c r="H306" s="142" t="s">
        <v>270</v>
      </c>
    </row>
    <row r="307" customHeight="1" spans="1:8">
      <c r="A307" s="56">
        <v>306</v>
      </c>
      <c r="B307" s="142" t="s">
        <v>1983</v>
      </c>
      <c r="C307" s="56" t="s">
        <v>111</v>
      </c>
      <c r="D307" s="142" t="s">
        <v>633</v>
      </c>
      <c r="E307" s="142" t="s">
        <v>51</v>
      </c>
      <c r="F307" s="142"/>
      <c r="G307" s="194" t="s">
        <v>300</v>
      </c>
      <c r="H307" s="142" t="s">
        <v>275</v>
      </c>
    </row>
    <row r="308" customHeight="1" spans="1:8">
      <c r="A308" s="56">
        <v>307</v>
      </c>
      <c r="B308" s="142" t="s">
        <v>1984</v>
      </c>
      <c r="C308" s="56" t="s">
        <v>38</v>
      </c>
      <c r="D308" s="142"/>
      <c r="E308" s="142"/>
      <c r="F308" s="142"/>
      <c r="G308" s="142"/>
      <c r="H308" s="142" t="s">
        <v>274</v>
      </c>
    </row>
    <row r="309" customHeight="1" spans="1:8">
      <c r="A309" s="56">
        <v>308</v>
      </c>
      <c r="B309" s="142" t="s">
        <v>1985</v>
      </c>
      <c r="C309" s="56" t="s">
        <v>125</v>
      </c>
      <c r="D309" s="142"/>
      <c r="E309" s="142"/>
      <c r="F309" s="142"/>
      <c r="G309" s="142"/>
      <c r="H309" s="142" t="s">
        <v>277</v>
      </c>
    </row>
    <row r="310" customHeight="1" spans="1:8">
      <c r="A310" s="56">
        <v>309</v>
      </c>
      <c r="B310" s="142" t="s">
        <v>1986</v>
      </c>
      <c r="C310" s="56" t="s">
        <v>111</v>
      </c>
      <c r="D310" s="142"/>
      <c r="E310" s="142"/>
      <c r="F310" s="142"/>
      <c r="G310" s="142"/>
      <c r="H310" s="142" t="s">
        <v>275</v>
      </c>
    </row>
    <row r="311" customHeight="1" spans="1:8">
      <c r="A311" s="56">
        <v>310</v>
      </c>
      <c r="B311" s="142" t="s">
        <v>1987</v>
      </c>
      <c r="C311" s="56" t="s">
        <v>17</v>
      </c>
      <c r="D311" s="142" t="s">
        <v>633</v>
      </c>
      <c r="E311" s="142" t="s">
        <v>51</v>
      </c>
      <c r="F311" s="142"/>
      <c r="G311" s="142" t="s">
        <v>300</v>
      </c>
      <c r="H311" s="142" t="s">
        <v>273</v>
      </c>
    </row>
    <row r="312" customHeight="1" spans="1:8">
      <c r="A312" s="56">
        <v>311</v>
      </c>
      <c r="B312" s="142" t="s">
        <v>1988</v>
      </c>
      <c r="C312" s="56" t="s">
        <v>38</v>
      </c>
      <c r="D312" s="142" t="s">
        <v>777</v>
      </c>
      <c r="E312" s="142" t="s">
        <v>51</v>
      </c>
      <c r="F312" s="142"/>
      <c r="G312" s="194" t="s">
        <v>300</v>
      </c>
      <c r="H312" s="142" t="s">
        <v>274</v>
      </c>
    </row>
    <row r="313" customHeight="1" spans="1:8">
      <c r="A313" s="56">
        <v>312</v>
      </c>
      <c r="B313" s="142" t="s">
        <v>1989</v>
      </c>
      <c r="C313" s="56" t="s">
        <v>38</v>
      </c>
      <c r="D313" s="142" t="s">
        <v>457</v>
      </c>
      <c r="E313" s="142" t="s">
        <v>51</v>
      </c>
      <c r="F313" s="142"/>
      <c r="G313" s="194" t="s">
        <v>300</v>
      </c>
      <c r="H313" s="142" t="s">
        <v>274</v>
      </c>
    </row>
    <row r="314" customHeight="1" spans="1:8">
      <c r="A314" s="56">
        <v>313</v>
      </c>
      <c r="B314" s="142" t="s">
        <v>1990</v>
      </c>
      <c r="C314" s="56" t="s">
        <v>17</v>
      </c>
      <c r="D314" s="142" t="s">
        <v>1673</v>
      </c>
      <c r="E314" s="142"/>
      <c r="F314" s="142"/>
      <c r="G314" s="142" t="s">
        <v>1673</v>
      </c>
      <c r="H314" s="142" t="s">
        <v>273</v>
      </c>
    </row>
    <row r="315" customHeight="1" spans="1:8">
      <c r="A315" s="56">
        <v>314</v>
      </c>
      <c r="B315" s="142" t="s">
        <v>1991</v>
      </c>
      <c r="C315" s="56" t="s">
        <v>38</v>
      </c>
      <c r="D315" s="142"/>
      <c r="E315" s="142"/>
      <c r="F315" s="142"/>
      <c r="G315" s="142"/>
      <c r="H315" s="142" t="s">
        <v>274</v>
      </c>
    </row>
    <row r="316" customHeight="1" spans="1:8">
      <c r="A316" s="56">
        <v>315</v>
      </c>
      <c r="B316" s="142" t="s">
        <v>1992</v>
      </c>
      <c r="C316" s="56" t="s">
        <v>125</v>
      </c>
      <c r="D316" s="142" t="s">
        <v>612</v>
      </c>
      <c r="E316" s="142" t="s">
        <v>51</v>
      </c>
      <c r="F316" s="142"/>
      <c r="G316" s="194" t="s">
        <v>300</v>
      </c>
      <c r="H316" s="142" t="s">
        <v>277</v>
      </c>
    </row>
    <row r="317" customHeight="1" spans="1:8">
      <c r="A317" s="56">
        <v>316</v>
      </c>
      <c r="B317" s="142" t="s">
        <v>1993</v>
      </c>
      <c r="C317" s="56" t="s">
        <v>17</v>
      </c>
      <c r="D317" s="142" t="s">
        <v>1673</v>
      </c>
      <c r="E317" s="142"/>
      <c r="F317" s="142"/>
      <c r="G317" s="142" t="s">
        <v>1673</v>
      </c>
      <c r="H317" s="142" t="s">
        <v>273</v>
      </c>
    </row>
    <row r="318" customHeight="1" spans="1:8">
      <c r="A318" s="56">
        <v>317</v>
      </c>
      <c r="B318" s="142" t="s">
        <v>1994</v>
      </c>
      <c r="C318" s="56" t="s">
        <v>100</v>
      </c>
      <c r="D318" s="142"/>
      <c r="E318" s="142"/>
      <c r="F318" s="142"/>
      <c r="G318" s="142"/>
      <c r="H318" s="142" t="s">
        <v>276</v>
      </c>
    </row>
    <row r="319" customHeight="1" spans="1:8">
      <c r="A319" s="56">
        <v>318</v>
      </c>
      <c r="B319" s="142" t="s">
        <v>1995</v>
      </c>
      <c r="C319" s="56" t="s">
        <v>100</v>
      </c>
      <c r="D319" s="142"/>
      <c r="E319" s="142"/>
      <c r="F319" s="142"/>
      <c r="G319" s="142"/>
      <c r="H319" s="142" t="s">
        <v>276</v>
      </c>
    </row>
    <row r="320" customHeight="1" spans="1:8">
      <c r="A320" s="56">
        <v>319</v>
      </c>
      <c r="B320" s="142" t="s">
        <v>1996</v>
      </c>
      <c r="C320" s="56" t="s">
        <v>25</v>
      </c>
      <c r="D320" s="142"/>
      <c r="E320" s="142"/>
      <c r="F320" s="142"/>
      <c r="G320" s="142"/>
      <c r="H320" s="142" t="s">
        <v>275</v>
      </c>
    </row>
    <row r="321" customHeight="1" spans="1:8">
      <c r="A321" s="56">
        <v>320</v>
      </c>
      <c r="B321" s="142" t="s">
        <v>1997</v>
      </c>
      <c r="C321" s="56" t="s">
        <v>25</v>
      </c>
      <c r="D321" s="142"/>
      <c r="E321" s="142"/>
      <c r="F321" s="142"/>
      <c r="G321" s="142"/>
      <c r="H321" s="142" t="s">
        <v>275</v>
      </c>
    </row>
    <row r="322" customHeight="1" spans="1:8">
      <c r="A322" s="56">
        <v>321</v>
      </c>
      <c r="B322" s="142" t="s">
        <v>1998</v>
      </c>
      <c r="C322" s="56" t="s">
        <v>23</v>
      </c>
      <c r="D322" s="142"/>
      <c r="E322" s="142"/>
      <c r="F322" s="142"/>
      <c r="G322" s="142"/>
      <c r="H322" s="142" t="s">
        <v>276</v>
      </c>
    </row>
    <row r="323" customHeight="1" spans="1:8">
      <c r="A323" s="56">
        <v>322</v>
      </c>
      <c r="B323" s="142" t="s">
        <v>1999</v>
      </c>
      <c r="C323" s="56" t="s">
        <v>15</v>
      </c>
      <c r="D323" s="142"/>
      <c r="E323" s="142"/>
      <c r="F323" s="142"/>
      <c r="G323" s="142"/>
      <c r="H323" s="142" t="s">
        <v>274</v>
      </c>
    </row>
    <row r="324" customHeight="1" spans="1:8">
      <c r="A324" s="56">
        <v>323</v>
      </c>
      <c r="B324" s="142" t="s">
        <v>2000</v>
      </c>
      <c r="C324" s="56" t="s">
        <v>15</v>
      </c>
      <c r="D324" s="142"/>
      <c r="E324" s="142"/>
      <c r="F324" s="142"/>
      <c r="G324" s="142"/>
      <c r="H324" s="142" t="s">
        <v>274</v>
      </c>
    </row>
    <row r="325" customHeight="1" spans="1:8">
      <c r="A325" s="56">
        <v>324</v>
      </c>
      <c r="B325" s="142" t="s">
        <v>2001</v>
      </c>
      <c r="C325" s="56" t="s">
        <v>15</v>
      </c>
      <c r="D325" s="142"/>
      <c r="E325" s="142"/>
      <c r="F325" s="142"/>
      <c r="G325" s="142"/>
      <c r="H325" s="142" t="s">
        <v>274</v>
      </c>
    </row>
    <row r="326" customHeight="1" spans="1:8">
      <c r="A326" s="56">
        <v>325</v>
      </c>
      <c r="B326" s="142" t="s">
        <v>2002</v>
      </c>
      <c r="C326" s="56" t="s">
        <v>13</v>
      </c>
      <c r="D326" s="142"/>
      <c r="E326" s="142"/>
      <c r="F326" s="142"/>
      <c r="G326" s="142"/>
      <c r="H326" s="142" t="s">
        <v>270</v>
      </c>
    </row>
    <row r="327" customHeight="1" spans="1:8">
      <c r="A327" s="56">
        <v>326</v>
      </c>
      <c r="B327" s="142" t="s">
        <v>2003</v>
      </c>
      <c r="C327" s="56" t="s">
        <v>13</v>
      </c>
      <c r="D327" s="142"/>
      <c r="E327" s="142"/>
      <c r="F327" s="142"/>
      <c r="G327" s="142"/>
      <c r="H327" s="142" t="s">
        <v>270</v>
      </c>
    </row>
    <row r="328" customHeight="1" spans="1:8">
      <c r="A328" s="56">
        <v>327</v>
      </c>
      <c r="B328" s="142" t="s">
        <v>2004</v>
      </c>
      <c r="C328" s="56" t="s">
        <v>33</v>
      </c>
      <c r="D328" s="142" t="s">
        <v>777</v>
      </c>
      <c r="E328" s="142" t="s">
        <v>51</v>
      </c>
      <c r="F328" s="142"/>
      <c r="G328" s="142" t="s">
        <v>1673</v>
      </c>
      <c r="H328" s="142" t="s">
        <v>273</v>
      </c>
    </row>
    <row r="329" customHeight="1" spans="1:8">
      <c r="A329" s="56">
        <v>328</v>
      </c>
      <c r="B329" s="142" t="s">
        <v>2005</v>
      </c>
      <c r="C329" s="56" t="s">
        <v>33</v>
      </c>
      <c r="D329" s="142" t="s">
        <v>1673</v>
      </c>
      <c r="E329" s="142"/>
      <c r="F329" s="142"/>
      <c r="G329" s="142" t="s">
        <v>1673</v>
      </c>
      <c r="H329" s="142" t="s">
        <v>273</v>
      </c>
    </row>
    <row r="330" customHeight="1" spans="1:8">
      <c r="A330" s="56">
        <v>329</v>
      </c>
      <c r="B330" s="142" t="s">
        <v>2006</v>
      </c>
      <c r="C330" s="56" t="s">
        <v>34</v>
      </c>
      <c r="D330" s="142"/>
      <c r="E330" s="142"/>
      <c r="F330" s="142"/>
      <c r="G330" s="142"/>
      <c r="H330" s="142" t="s">
        <v>275</v>
      </c>
    </row>
    <row r="331" customHeight="1" spans="1:8">
      <c r="A331" s="56">
        <v>330</v>
      </c>
      <c r="B331" s="142" t="s">
        <v>2007</v>
      </c>
      <c r="C331" s="56" t="s">
        <v>111</v>
      </c>
      <c r="D331" s="142"/>
      <c r="E331" s="142"/>
      <c r="F331" s="142"/>
      <c r="G331" s="142"/>
      <c r="H331" s="142" t="s">
        <v>275</v>
      </c>
    </row>
    <row r="332" customHeight="1" spans="1:8">
      <c r="A332" s="56">
        <v>331</v>
      </c>
      <c r="B332" s="142" t="s">
        <v>2008</v>
      </c>
      <c r="C332" s="56" t="s">
        <v>111</v>
      </c>
      <c r="D332" s="142"/>
      <c r="E332" s="142"/>
      <c r="F332" s="142"/>
      <c r="G332" s="142"/>
      <c r="H332" s="142" t="s">
        <v>275</v>
      </c>
    </row>
    <row r="333" customHeight="1" spans="1:8">
      <c r="A333" s="56">
        <v>332</v>
      </c>
      <c r="B333" s="142" t="s">
        <v>1807</v>
      </c>
      <c r="C333" s="56" t="s">
        <v>34</v>
      </c>
      <c r="D333" s="142" t="s">
        <v>437</v>
      </c>
      <c r="E333" s="142" t="s">
        <v>51</v>
      </c>
      <c r="F333" s="142"/>
      <c r="G333" s="194" t="s">
        <v>300</v>
      </c>
      <c r="H333" s="56" t="s">
        <v>275</v>
      </c>
    </row>
    <row r="334" customHeight="1" spans="1:8">
      <c r="A334" s="56">
        <v>333</v>
      </c>
      <c r="B334" s="142" t="s">
        <v>2009</v>
      </c>
      <c r="C334" s="56" t="s">
        <v>19</v>
      </c>
      <c r="D334" s="142"/>
      <c r="E334" s="142"/>
      <c r="F334" s="142"/>
      <c r="G334" s="142"/>
      <c r="H334" s="56" t="s">
        <v>270</v>
      </c>
    </row>
    <row r="335" customHeight="1" spans="1:8">
      <c r="A335" s="56">
        <v>334</v>
      </c>
      <c r="B335" s="142" t="s">
        <v>1992</v>
      </c>
      <c r="C335" s="56" t="s">
        <v>17</v>
      </c>
      <c r="D335" s="142" t="s">
        <v>386</v>
      </c>
      <c r="E335" s="142" t="s">
        <v>378</v>
      </c>
      <c r="F335" s="142" t="s">
        <v>356</v>
      </c>
      <c r="G335" s="194" t="s">
        <v>378</v>
      </c>
      <c r="H335" s="56" t="s">
        <v>273</v>
      </c>
    </row>
    <row r="336" customHeight="1" spans="1:8">
      <c r="A336" s="56">
        <v>335</v>
      </c>
      <c r="B336" s="142" t="s">
        <v>2010</v>
      </c>
      <c r="C336" s="56" t="s">
        <v>38</v>
      </c>
      <c r="D336" s="142"/>
      <c r="E336" s="142"/>
      <c r="F336" s="142"/>
      <c r="G336" s="142"/>
      <c r="H336" s="56" t="s">
        <v>274</v>
      </c>
    </row>
    <row r="337" customHeight="1" spans="1:8">
      <c r="A337" s="56">
        <v>336</v>
      </c>
      <c r="B337" s="142" t="s">
        <v>2011</v>
      </c>
      <c r="C337" s="56" t="s">
        <v>17</v>
      </c>
      <c r="D337" s="142" t="s">
        <v>553</v>
      </c>
      <c r="E337" s="142" t="s">
        <v>51</v>
      </c>
      <c r="F337" s="142"/>
      <c r="G337" s="142" t="s">
        <v>300</v>
      </c>
      <c r="H337" s="56" t="s">
        <v>273</v>
      </c>
    </row>
    <row r="338" customHeight="1" spans="1:8">
      <c r="A338" s="56">
        <v>337</v>
      </c>
      <c r="B338" s="142" t="s">
        <v>1992</v>
      </c>
      <c r="C338" s="56" t="s">
        <v>19</v>
      </c>
      <c r="D338" s="142"/>
      <c r="E338" s="142"/>
      <c r="F338" s="142"/>
      <c r="G338" s="142"/>
      <c r="H338" s="56" t="s">
        <v>270</v>
      </c>
    </row>
    <row r="339" customHeight="1" spans="1:8">
      <c r="A339" s="56">
        <v>338</v>
      </c>
      <c r="B339" s="142" t="s">
        <v>2012</v>
      </c>
      <c r="C339" s="56" t="s">
        <v>11</v>
      </c>
      <c r="D339" s="142"/>
      <c r="E339" s="142"/>
      <c r="F339" s="142"/>
      <c r="G339" s="142"/>
      <c r="H339" s="56" t="s">
        <v>270</v>
      </c>
    </row>
    <row r="340" customHeight="1" spans="1:8">
      <c r="A340" s="56">
        <v>339</v>
      </c>
      <c r="B340" s="142" t="s">
        <v>2013</v>
      </c>
      <c r="C340" s="56" t="s">
        <v>17</v>
      </c>
      <c r="D340" s="142"/>
      <c r="E340" s="142"/>
      <c r="F340" s="142"/>
      <c r="G340" s="142"/>
      <c r="H340" s="56" t="s">
        <v>273</v>
      </c>
    </row>
    <row r="341" customHeight="1" spans="1:8">
      <c r="A341" s="56">
        <v>340</v>
      </c>
      <c r="B341" s="142" t="s">
        <v>2014</v>
      </c>
      <c r="C341" s="56" t="s">
        <v>100</v>
      </c>
      <c r="D341" s="142"/>
      <c r="E341" s="142"/>
      <c r="F341" s="142"/>
      <c r="G341" s="142"/>
      <c r="H341" s="56" t="s">
        <v>276</v>
      </c>
    </row>
    <row r="342" customHeight="1" spans="1:8">
      <c r="A342" s="56">
        <v>341</v>
      </c>
      <c r="B342" s="142" t="s">
        <v>2015</v>
      </c>
      <c r="C342" s="56" t="s">
        <v>100</v>
      </c>
      <c r="D342" s="142"/>
      <c r="E342" s="142"/>
      <c r="F342" s="142"/>
      <c r="G342" s="142"/>
      <c r="H342" s="56" t="s">
        <v>276</v>
      </c>
    </row>
    <row r="343" customHeight="1" spans="1:8">
      <c r="A343" s="56">
        <v>342</v>
      </c>
      <c r="B343" s="142" t="s">
        <v>2016</v>
      </c>
      <c r="C343" s="56" t="s">
        <v>29</v>
      </c>
      <c r="D343" s="142" t="s">
        <v>457</v>
      </c>
      <c r="E343" s="142" t="s">
        <v>51</v>
      </c>
      <c r="F343" s="142"/>
      <c r="G343" s="194" t="s">
        <v>300</v>
      </c>
      <c r="H343" s="56" t="s">
        <v>270</v>
      </c>
    </row>
    <row r="344" customHeight="1" spans="1:8">
      <c r="A344" s="56">
        <v>343</v>
      </c>
      <c r="B344" s="142" t="s">
        <v>2017</v>
      </c>
      <c r="C344" s="56" t="s">
        <v>29</v>
      </c>
      <c r="D344" s="142"/>
      <c r="E344" s="142"/>
      <c r="F344" s="142"/>
      <c r="G344" s="142"/>
      <c r="H344" s="56" t="s">
        <v>270</v>
      </c>
    </row>
    <row r="345" customHeight="1" spans="1:8">
      <c r="A345" s="56">
        <v>344</v>
      </c>
      <c r="B345" s="142" t="s">
        <v>2018</v>
      </c>
      <c r="C345" s="56" t="s">
        <v>29</v>
      </c>
      <c r="D345" s="142"/>
      <c r="E345" s="142"/>
      <c r="F345" s="142"/>
      <c r="G345" s="142"/>
      <c r="H345" s="56" t="s">
        <v>270</v>
      </c>
    </row>
    <row r="346" customHeight="1" spans="1:8">
      <c r="A346" s="56">
        <v>345</v>
      </c>
      <c r="B346" s="142" t="s">
        <v>2019</v>
      </c>
      <c r="C346" s="56" t="s">
        <v>25</v>
      </c>
      <c r="D346" s="142"/>
      <c r="E346" s="142"/>
      <c r="F346" s="142"/>
      <c r="G346" s="142"/>
      <c r="H346" s="56" t="s">
        <v>275</v>
      </c>
    </row>
    <row r="347" customHeight="1" spans="1:8">
      <c r="A347" s="56">
        <v>346</v>
      </c>
      <c r="B347" s="142" t="s">
        <v>2020</v>
      </c>
      <c r="C347" s="56" t="s">
        <v>25</v>
      </c>
      <c r="D347" s="142"/>
      <c r="E347" s="142"/>
      <c r="F347" s="142"/>
      <c r="G347" s="142"/>
      <c r="H347" s="56" t="s">
        <v>275</v>
      </c>
    </row>
    <row r="348" customHeight="1" spans="1:8">
      <c r="A348" s="56">
        <v>347</v>
      </c>
      <c r="B348" s="142" t="s">
        <v>2021</v>
      </c>
      <c r="C348" s="56" t="s">
        <v>25</v>
      </c>
      <c r="D348" s="142"/>
      <c r="E348" s="142"/>
      <c r="F348" s="142"/>
      <c r="G348" s="142"/>
      <c r="H348" s="56" t="s">
        <v>275</v>
      </c>
    </row>
    <row r="349" customHeight="1" spans="1:8">
      <c r="A349" s="56">
        <v>348</v>
      </c>
      <c r="B349" s="142" t="s">
        <v>2022</v>
      </c>
      <c r="C349" s="56" t="s">
        <v>23</v>
      </c>
      <c r="D349" s="142"/>
      <c r="E349" s="142"/>
      <c r="F349" s="142"/>
      <c r="G349" s="142"/>
      <c r="H349" s="56" t="s">
        <v>276</v>
      </c>
    </row>
    <row r="350" customHeight="1" spans="1:8">
      <c r="A350" s="56">
        <v>349</v>
      </c>
      <c r="B350" s="142" t="s">
        <v>2023</v>
      </c>
      <c r="C350" s="56" t="s">
        <v>23</v>
      </c>
      <c r="D350" s="142"/>
      <c r="E350" s="142"/>
      <c r="F350" s="142"/>
      <c r="G350" s="142"/>
      <c r="H350" s="56" t="s">
        <v>276</v>
      </c>
    </row>
    <row r="351" customHeight="1" spans="1:8">
      <c r="A351" s="56">
        <v>350</v>
      </c>
      <c r="B351" s="142" t="s">
        <v>2024</v>
      </c>
      <c r="C351" s="56" t="s">
        <v>23</v>
      </c>
      <c r="D351" s="142"/>
      <c r="E351" s="142"/>
      <c r="F351" s="142"/>
      <c r="G351" s="142"/>
      <c r="H351" s="56" t="s">
        <v>276</v>
      </c>
    </row>
    <row r="352" customHeight="1" spans="1:8">
      <c r="A352" s="56">
        <v>351</v>
      </c>
      <c r="B352" s="142" t="s">
        <v>2025</v>
      </c>
      <c r="C352" s="56" t="s">
        <v>23</v>
      </c>
      <c r="D352" s="142"/>
      <c r="E352" s="142"/>
      <c r="F352" s="142"/>
      <c r="G352" s="142"/>
      <c r="H352" s="56" t="s">
        <v>276</v>
      </c>
    </row>
    <row r="353" customHeight="1" spans="1:8">
      <c r="A353" s="56">
        <v>352</v>
      </c>
      <c r="B353" s="142" t="s">
        <v>2026</v>
      </c>
      <c r="C353" s="56" t="s">
        <v>15</v>
      </c>
      <c r="D353" s="142"/>
      <c r="E353" s="142"/>
      <c r="F353" s="142"/>
      <c r="G353" s="142"/>
      <c r="H353" s="56" t="s">
        <v>274</v>
      </c>
    </row>
    <row r="354" customHeight="1" spans="1:8">
      <c r="A354" s="56">
        <v>353</v>
      </c>
      <c r="B354" s="142" t="s">
        <v>2027</v>
      </c>
      <c r="C354" s="56" t="s">
        <v>15</v>
      </c>
      <c r="D354" s="142"/>
      <c r="E354" s="142"/>
      <c r="F354" s="142"/>
      <c r="G354" s="142"/>
      <c r="H354" s="56" t="s">
        <v>274</v>
      </c>
    </row>
    <row r="355" customHeight="1" spans="1:8">
      <c r="A355" s="56">
        <v>354</v>
      </c>
      <c r="B355" s="142" t="s">
        <v>2028</v>
      </c>
      <c r="C355" s="56" t="s">
        <v>15</v>
      </c>
      <c r="D355" s="142" t="s">
        <v>386</v>
      </c>
      <c r="E355" s="142" t="s">
        <v>51</v>
      </c>
      <c r="F355" s="142"/>
      <c r="G355" s="194" t="s">
        <v>300</v>
      </c>
      <c r="H355" s="56" t="s">
        <v>274</v>
      </c>
    </row>
    <row r="356" customHeight="1" spans="1:8">
      <c r="A356" s="56">
        <v>355</v>
      </c>
      <c r="B356" s="142" t="s">
        <v>2029</v>
      </c>
      <c r="C356" s="56" t="s">
        <v>15</v>
      </c>
      <c r="D356" s="142"/>
      <c r="E356" s="142"/>
      <c r="F356" s="142"/>
      <c r="G356" s="142"/>
      <c r="H356" s="56" t="s">
        <v>274</v>
      </c>
    </row>
    <row r="357" customHeight="1" spans="1:8">
      <c r="A357" s="56">
        <v>356</v>
      </c>
      <c r="B357" s="142" t="s">
        <v>2030</v>
      </c>
      <c r="C357" s="56" t="s">
        <v>13</v>
      </c>
      <c r="D357" s="142"/>
      <c r="E357" s="142"/>
      <c r="F357" s="142"/>
      <c r="G357" s="142"/>
      <c r="H357" s="56" t="s">
        <v>270</v>
      </c>
    </row>
    <row r="358" customHeight="1" spans="1:8">
      <c r="A358" s="56">
        <v>357</v>
      </c>
      <c r="B358" s="142" t="s">
        <v>2031</v>
      </c>
      <c r="C358" s="56" t="s">
        <v>13</v>
      </c>
      <c r="D358" s="142"/>
      <c r="E358" s="142"/>
      <c r="F358" s="142"/>
      <c r="G358" s="142"/>
      <c r="H358" s="56" t="s">
        <v>270</v>
      </c>
    </row>
    <row r="359" customHeight="1" spans="1:8">
      <c r="A359" s="56">
        <v>358</v>
      </c>
      <c r="B359" s="142" t="s">
        <v>2032</v>
      </c>
      <c r="C359" s="56" t="s">
        <v>33</v>
      </c>
      <c r="D359" s="142"/>
      <c r="E359" s="142"/>
      <c r="F359" s="142"/>
      <c r="G359" s="142"/>
      <c r="H359" s="56" t="s">
        <v>273</v>
      </c>
    </row>
    <row r="360" customHeight="1" spans="1:8">
      <c r="A360" s="56">
        <v>359</v>
      </c>
      <c r="B360" s="142" t="s">
        <v>2033</v>
      </c>
      <c r="C360" s="56" t="s">
        <v>33</v>
      </c>
      <c r="D360" s="142"/>
      <c r="E360" s="142"/>
      <c r="F360" s="142"/>
      <c r="G360" s="142"/>
      <c r="H360" s="56" t="s">
        <v>273</v>
      </c>
    </row>
    <row r="361" customHeight="1" spans="1:8">
      <c r="A361" s="56">
        <v>360</v>
      </c>
      <c r="B361" s="142" t="s">
        <v>2034</v>
      </c>
      <c r="C361" s="56" t="s">
        <v>38</v>
      </c>
      <c r="D361" s="142" t="s">
        <v>553</v>
      </c>
      <c r="E361" s="142" t="s">
        <v>51</v>
      </c>
      <c r="F361" s="142"/>
      <c r="G361" s="194" t="s">
        <v>300</v>
      </c>
      <c r="H361" s="56" t="s">
        <v>274</v>
      </c>
    </row>
    <row r="362" customHeight="1" spans="1:8">
      <c r="A362" s="56">
        <v>361</v>
      </c>
      <c r="B362" s="142" t="s">
        <v>2035</v>
      </c>
      <c r="C362" s="56" t="s">
        <v>38</v>
      </c>
      <c r="D362" s="142"/>
      <c r="E362" s="142"/>
      <c r="F362" s="142"/>
      <c r="G362" s="142"/>
      <c r="H362" s="56" t="s">
        <v>274</v>
      </c>
    </row>
    <row r="363" customHeight="1" spans="1:8">
      <c r="A363" s="56">
        <v>362</v>
      </c>
      <c r="B363" s="142" t="s">
        <v>2036</v>
      </c>
      <c r="C363" s="56" t="s">
        <v>175</v>
      </c>
      <c r="D363" s="142" t="s">
        <v>612</v>
      </c>
      <c r="E363" s="142" t="s">
        <v>51</v>
      </c>
      <c r="F363" s="142"/>
      <c r="G363" s="142" t="s">
        <v>1673</v>
      </c>
      <c r="H363" s="56" t="s">
        <v>273</v>
      </c>
    </row>
    <row r="364" customHeight="1" spans="1:8">
      <c r="A364" s="56">
        <v>363</v>
      </c>
      <c r="B364" s="142" t="s">
        <v>2037</v>
      </c>
      <c r="C364" s="56" t="s">
        <v>17</v>
      </c>
      <c r="D364" s="142" t="s">
        <v>355</v>
      </c>
      <c r="E364" s="142"/>
      <c r="F364" s="142"/>
      <c r="G364" s="142" t="s">
        <v>355</v>
      </c>
      <c r="H364" s="56" t="s">
        <v>273</v>
      </c>
    </row>
    <row r="365" customHeight="1" spans="1:8">
      <c r="A365" s="56">
        <v>364</v>
      </c>
      <c r="B365" s="142" t="s">
        <v>2038</v>
      </c>
      <c r="C365" s="56" t="s">
        <v>17</v>
      </c>
      <c r="D365" s="142"/>
      <c r="E365" s="142"/>
      <c r="F365" s="142"/>
      <c r="G365" s="142"/>
      <c r="H365" s="56" t="s">
        <v>273</v>
      </c>
    </row>
    <row r="366" customHeight="1" spans="1:8">
      <c r="A366" s="56">
        <v>365</v>
      </c>
      <c r="B366" s="142" t="s">
        <v>2039</v>
      </c>
      <c r="C366" s="56" t="s">
        <v>17</v>
      </c>
      <c r="D366" s="142" t="s">
        <v>355</v>
      </c>
      <c r="E366" s="142" t="s">
        <v>355</v>
      </c>
      <c r="F366" s="142"/>
      <c r="G366" s="142" t="s">
        <v>355</v>
      </c>
      <c r="H366" s="56" t="s">
        <v>273</v>
      </c>
    </row>
    <row r="367" customHeight="1" spans="1:8">
      <c r="A367" s="56">
        <v>366</v>
      </c>
      <c r="B367" s="142" t="s">
        <v>2040</v>
      </c>
      <c r="C367" s="56" t="s">
        <v>17</v>
      </c>
      <c r="D367" s="142" t="s">
        <v>1018</v>
      </c>
      <c r="E367" s="142" t="s">
        <v>51</v>
      </c>
      <c r="F367" s="142"/>
      <c r="G367" s="142" t="s">
        <v>1673</v>
      </c>
      <c r="H367" s="56" t="s">
        <v>273</v>
      </c>
    </row>
    <row r="368" customHeight="1" spans="1:8">
      <c r="A368" s="56">
        <v>367</v>
      </c>
      <c r="B368" s="142" t="s">
        <v>2041</v>
      </c>
      <c r="C368" s="56" t="s">
        <v>125</v>
      </c>
      <c r="D368" s="142"/>
      <c r="E368" s="142"/>
      <c r="F368" s="142"/>
      <c r="G368" s="142"/>
      <c r="H368" s="56" t="s">
        <v>277</v>
      </c>
    </row>
    <row r="369" customHeight="1" spans="1:8">
      <c r="A369" s="56">
        <v>368</v>
      </c>
      <c r="B369" s="142" t="s">
        <v>2042</v>
      </c>
      <c r="C369" s="56" t="s">
        <v>17</v>
      </c>
      <c r="D369" s="142"/>
      <c r="E369" s="142"/>
      <c r="F369" s="142"/>
      <c r="G369" s="142"/>
      <c r="H369" s="56" t="s">
        <v>273</v>
      </c>
    </row>
    <row r="370" customHeight="1" spans="1:8">
      <c r="A370" s="56">
        <v>369</v>
      </c>
      <c r="B370" s="142" t="s">
        <v>2043</v>
      </c>
      <c r="C370" s="56" t="s">
        <v>111</v>
      </c>
      <c r="D370" s="142" t="s">
        <v>777</v>
      </c>
      <c r="E370" s="142" t="s">
        <v>51</v>
      </c>
      <c r="F370" s="142"/>
      <c r="G370" s="194" t="s">
        <v>300</v>
      </c>
      <c r="H370" s="56" t="s">
        <v>275</v>
      </c>
    </row>
    <row r="371" customHeight="1" spans="1:8">
      <c r="A371" s="56">
        <v>370</v>
      </c>
      <c r="B371" s="142" t="s">
        <v>2044</v>
      </c>
      <c r="C371" s="56" t="s">
        <v>175</v>
      </c>
      <c r="D371" s="142"/>
      <c r="E371" s="142"/>
      <c r="F371" s="142"/>
      <c r="G371" s="142"/>
      <c r="H371" s="56" t="s">
        <v>273</v>
      </c>
    </row>
    <row r="372" customHeight="1" spans="1:8">
      <c r="A372" s="56">
        <v>371</v>
      </c>
      <c r="B372" s="142" t="s">
        <v>2045</v>
      </c>
      <c r="C372" s="56" t="s">
        <v>175</v>
      </c>
      <c r="D372" s="142"/>
      <c r="E372" s="142"/>
      <c r="F372" s="142"/>
      <c r="G372" s="142"/>
      <c r="H372" s="56" t="s">
        <v>273</v>
      </c>
    </row>
    <row r="373" customHeight="1" spans="1:8">
      <c r="A373" s="56">
        <v>372</v>
      </c>
      <c r="B373" s="142" t="s">
        <v>2046</v>
      </c>
      <c r="C373" s="56" t="s">
        <v>17</v>
      </c>
      <c r="D373" s="142" t="s">
        <v>366</v>
      </c>
      <c r="E373" s="142" t="s">
        <v>51</v>
      </c>
      <c r="F373" s="142"/>
      <c r="G373" s="142" t="s">
        <v>300</v>
      </c>
      <c r="H373" s="56" t="s">
        <v>273</v>
      </c>
    </row>
    <row r="374" customHeight="1" spans="1:8">
      <c r="A374" s="56">
        <v>373</v>
      </c>
      <c r="B374" s="142" t="s">
        <v>1688</v>
      </c>
      <c r="C374" s="56" t="s">
        <v>38</v>
      </c>
      <c r="D374" s="142"/>
      <c r="E374" s="142"/>
      <c r="F374" s="142"/>
      <c r="G374" s="142"/>
      <c r="H374" s="56" t="s">
        <v>274</v>
      </c>
    </row>
    <row r="375" customHeight="1" spans="1:8">
      <c r="A375" s="56">
        <v>374</v>
      </c>
      <c r="B375" s="142" t="s">
        <v>2047</v>
      </c>
      <c r="C375" s="56" t="s">
        <v>175</v>
      </c>
      <c r="D375" s="142" t="s">
        <v>366</v>
      </c>
      <c r="E375" s="142" t="s">
        <v>51</v>
      </c>
      <c r="F375" s="142"/>
      <c r="G375" s="142" t="s">
        <v>300</v>
      </c>
      <c r="H375" s="56" t="s">
        <v>273</v>
      </c>
    </row>
    <row r="376" customHeight="1" spans="1:8">
      <c r="A376" s="56">
        <v>375</v>
      </c>
      <c r="B376" s="142" t="s">
        <v>1942</v>
      </c>
      <c r="C376" s="56" t="s">
        <v>38</v>
      </c>
      <c r="D376" s="142"/>
      <c r="E376" s="142"/>
      <c r="F376" s="142"/>
      <c r="G376" s="142"/>
      <c r="H376" s="56" t="s">
        <v>274</v>
      </c>
    </row>
    <row r="377" customHeight="1" spans="1:8">
      <c r="A377" s="56">
        <v>376</v>
      </c>
      <c r="B377" s="142" t="s">
        <v>2048</v>
      </c>
      <c r="C377" s="56" t="s">
        <v>11</v>
      </c>
      <c r="D377" s="142"/>
      <c r="E377" s="142"/>
      <c r="F377" s="142"/>
      <c r="G377" s="142"/>
      <c r="H377" s="56" t="s">
        <v>270</v>
      </c>
    </row>
    <row r="378" customHeight="1" spans="1:8">
      <c r="A378" s="56">
        <v>377</v>
      </c>
      <c r="B378" s="142" t="s">
        <v>2049</v>
      </c>
      <c r="C378" s="56" t="s">
        <v>11</v>
      </c>
      <c r="D378" s="142"/>
      <c r="E378" s="142"/>
      <c r="F378" s="142"/>
      <c r="G378" s="142"/>
      <c r="H378" s="56" t="s">
        <v>270</v>
      </c>
    </row>
    <row r="379" customHeight="1" spans="1:8">
      <c r="A379" s="56">
        <v>378</v>
      </c>
      <c r="B379" s="142" t="s">
        <v>2050</v>
      </c>
      <c r="C379" s="56" t="s">
        <v>100</v>
      </c>
      <c r="D379" s="142" t="s">
        <v>648</v>
      </c>
      <c r="E379" s="142" t="s">
        <v>51</v>
      </c>
      <c r="F379" s="142"/>
      <c r="G379" s="194" t="s">
        <v>300</v>
      </c>
      <c r="H379" s="56" t="s">
        <v>276</v>
      </c>
    </row>
    <row r="380" customHeight="1" spans="1:8">
      <c r="A380" s="56">
        <v>379</v>
      </c>
      <c r="B380" s="142" t="s">
        <v>2051</v>
      </c>
      <c r="C380" s="56" t="s">
        <v>100</v>
      </c>
      <c r="D380" s="142"/>
      <c r="E380" s="142"/>
      <c r="F380" s="142"/>
      <c r="G380" s="142"/>
      <c r="H380" s="56" t="s">
        <v>276</v>
      </c>
    </row>
    <row r="381" customHeight="1" spans="1:8">
      <c r="A381" s="56">
        <v>380</v>
      </c>
      <c r="B381" s="142" t="s">
        <v>2052</v>
      </c>
      <c r="C381" s="56" t="s">
        <v>29</v>
      </c>
      <c r="D381" s="142"/>
      <c r="E381" s="142"/>
      <c r="F381" s="142"/>
      <c r="G381" s="142"/>
      <c r="H381" s="56" t="s">
        <v>270</v>
      </c>
    </row>
    <row r="382" customHeight="1" spans="1:8">
      <c r="A382" s="56">
        <v>381</v>
      </c>
      <c r="B382" s="142" t="s">
        <v>2053</v>
      </c>
      <c r="C382" s="56" t="s">
        <v>29</v>
      </c>
      <c r="D382" s="142"/>
      <c r="E382" s="142"/>
      <c r="F382" s="142"/>
      <c r="G382" s="142"/>
      <c r="H382" s="56" t="s">
        <v>270</v>
      </c>
    </row>
    <row r="383" customHeight="1" spans="1:8">
      <c r="A383" s="56">
        <v>382</v>
      </c>
      <c r="B383" s="142" t="s">
        <v>2054</v>
      </c>
      <c r="C383" s="56" t="s">
        <v>29</v>
      </c>
      <c r="D383" s="142"/>
      <c r="E383" s="142"/>
      <c r="F383" s="142"/>
      <c r="G383" s="142"/>
      <c r="H383" s="56" t="s">
        <v>270</v>
      </c>
    </row>
    <row r="384" customHeight="1" spans="1:8">
      <c r="A384" s="56">
        <v>383</v>
      </c>
      <c r="B384" s="142" t="s">
        <v>2055</v>
      </c>
      <c r="C384" s="56" t="s">
        <v>29</v>
      </c>
      <c r="D384" s="142"/>
      <c r="E384" s="142"/>
      <c r="F384" s="142"/>
      <c r="G384" s="142"/>
      <c r="H384" s="56" t="s">
        <v>270</v>
      </c>
    </row>
    <row r="385" customHeight="1" spans="1:8">
      <c r="A385" s="56">
        <v>384</v>
      </c>
      <c r="B385" s="142" t="s">
        <v>2056</v>
      </c>
      <c r="C385" s="56" t="s">
        <v>25</v>
      </c>
      <c r="D385" s="142"/>
      <c r="E385" s="142"/>
      <c r="F385" s="142"/>
      <c r="G385" s="142"/>
      <c r="H385" s="56" t="s">
        <v>275</v>
      </c>
    </row>
    <row r="386" customHeight="1" spans="1:8">
      <c r="A386" s="56">
        <v>385</v>
      </c>
      <c r="B386" s="142" t="s">
        <v>2057</v>
      </c>
      <c r="C386" s="56" t="s">
        <v>15</v>
      </c>
      <c r="D386" s="142"/>
      <c r="E386" s="142"/>
      <c r="F386" s="142"/>
      <c r="G386" s="142"/>
      <c r="H386" s="56" t="s">
        <v>274</v>
      </c>
    </row>
    <row r="387" customHeight="1" spans="1:8">
      <c r="A387" s="56">
        <v>386</v>
      </c>
      <c r="B387" s="142" t="s">
        <v>2058</v>
      </c>
      <c r="C387" s="56" t="s">
        <v>15</v>
      </c>
      <c r="D387" s="142"/>
      <c r="E387" s="142"/>
      <c r="F387" s="142"/>
      <c r="G387" s="142"/>
      <c r="H387" s="56" t="s">
        <v>274</v>
      </c>
    </row>
    <row r="388" customHeight="1" spans="1:8">
      <c r="A388" s="56">
        <v>387</v>
      </c>
      <c r="B388" s="142" t="s">
        <v>2059</v>
      </c>
      <c r="C388" s="56" t="s">
        <v>15</v>
      </c>
      <c r="D388" s="142"/>
      <c r="E388" s="142"/>
      <c r="F388" s="142"/>
      <c r="G388" s="142"/>
      <c r="H388" s="56" t="s">
        <v>274</v>
      </c>
    </row>
    <row r="389" customHeight="1" spans="1:8">
      <c r="A389" s="56">
        <v>388</v>
      </c>
      <c r="B389" s="142" t="s">
        <v>2060</v>
      </c>
      <c r="C389" s="56" t="s">
        <v>15</v>
      </c>
      <c r="D389" s="142"/>
      <c r="E389" s="142"/>
      <c r="F389" s="142"/>
      <c r="G389" s="142"/>
      <c r="H389" s="56" t="s">
        <v>274</v>
      </c>
    </row>
    <row r="390" customHeight="1" spans="1:8">
      <c r="A390" s="56">
        <v>389</v>
      </c>
      <c r="B390" s="142" t="s">
        <v>2061</v>
      </c>
      <c r="C390" s="56" t="s">
        <v>15</v>
      </c>
      <c r="D390" s="142"/>
      <c r="E390" s="142"/>
      <c r="F390" s="142"/>
      <c r="G390" s="142"/>
      <c r="H390" s="56" t="s">
        <v>274</v>
      </c>
    </row>
    <row r="391" customHeight="1" spans="1:8">
      <c r="A391" s="56">
        <v>390</v>
      </c>
      <c r="B391" s="142" t="s">
        <v>2062</v>
      </c>
      <c r="C391" s="56" t="s">
        <v>13</v>
      </c>
      <c r="D391" s="142"/>
      <c r="E391" s="142"/>
      <c r="F391" s="142"/>
      <c r="G391" s="142"/>
      <c r="H391" s="56" t="s">
        <v>270</v>
      </c>
    </row>
    <row r="392" customHeight="1" spans="1:8">
      <c r="A392" s="56">
        <v>391</v>
      </c>
      <c r="B392" s="142" t="s">
        <v>2063</v>
      </c>
      <c r="C392" s="56" t="s">
        <v>33</v>
      </c>
      <c r="D392" s="142" t="s">
        <v>507</v>
      </c>
      <c r="E392" s="142" t="s">
        <v>51</v>
      </c>
      <c r="F392" s="142"/>
      <c r="G392" s="142" t="s">
        <v>300</v>
      </c>
      <c r="H392" s="56" t="s">
        <v>273</v>
      </c>
    </row>
    <row r="393" customHeight="1" spans="1:8">
      <c r="A393" s="56">
        <v>392</v>
      </c>
      <c r="B393" s="142" t="s">
        <v>2064</v>
      </c>
      <c r="C393" s="56" t="s">
        <v>33</v>
      </c>
      <c r="D393" s="142"/>
      <c r="E393" s="142"/>
      <c r="F393" s="142"/>
      <c r="G393" s="142"/>
      <c r="H393" s="56" t="s">
        <v>273</v>
      </c>
    </row>
    <row r="394" customHeight="1" spans="1:8">
      <c r="A394" s="56">
        <v>393</v>
      </c>
      <c r="B394" s="142" t="s">
        <v>2065</v>
      </c>
      <c r="C394" s="56" t="s">
        <v>34</v>
      </c>
      <c r="D394" s="142"/>
      <c r="E394" s="142"/>
      <c r="F394" s="142"/>
      <c r="G394" s="142"/>
      <c r="H394" s="56" t="s">
        <v>275</v>
      </c>
    </row>
    <row r="395" customHeight="1" spans="1:8">
      <c r="A395" s="56">
        <v>394</v>
      </c>
      <c r="B395" s="142" t="s">
        <v>2066</v>
      </c>
      <c r="C395" s="56" t="s">
        <v>34</v>
      </c>
      <c r="D395" s="142"/>
      <c r="E395" s="142"/>
      <c r="F395" s="142"/>
      <c r="G395" s="142"/>
      <c r="H395" s="56" t="s">
        <v>275</v>
      </c>
    </row>
    <row r="396" customHeight="1" spans="1:8">
      <c r="A396" s="56">
        <v>395</v>
      </c>
      <c r="B396" s="142" t="s">
        <v>2067</v>
      </c>
      <c r="C396" s="56" t="s">
        <v>34</v>
      </c>
      <c r="H396" s="56" t="s">
        <v>275</v>
      </c>
    </row>
    <row r="397" customHeight="1" spans="1:8">
      <c r="A397" s="56">
        <v>396</v>
      </c>
      <c r="B397" s="142" t="s">
        <v>2068</v>
      </c>
      <c r="C397" s="56" t="s">
        <v>111</v>
      </c>
      <c r="H397" s="56" t="s">
        <v>275</v>
      </c>
    </row>
  </sheetData>
  <conditionalFormatting sqref="B1">
    <cfRule type="duplicateValues" dxfId="1" priority="420"/>
  </conditionalFormatting>
  <conditionalFormatting sqref="B2:B397">
    <cfRule type="duplicateValues" dxfId="1" priority="1"/>
  </conditionalFormatting>
  <conditionalFormatting sqref="A1:G1 A2:A397 C2:G397 A398:G1048576">
    <cfRule type="expression" dxfId="4" priority="393">
      <formula>$A1&lt;&gt;""</formula>
    </cfRule>
  </conditionalFormatting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F72"/>
  <sheetViews>
    <sheetView zoomScale="85" zoomScaleNormal="85" workbookViewId="0">
      <pane ySplit="1" topLeftCell="A2" activePane="bottomLeft" state="frozen"/>
      <selection/>
      <selection pane="bottomLeft" activeCell="E1" sqref="E1"/>
    </sheetView>
  </sheetViews>
  <sheetFormatPr defaultColWidth="9" defaultRowHeight="15.75" outlineLevelCol="5"/>
  <cols>
    <col min="1" max="1" width="4.375" customWidth="1"/>
    <col min="2" max="2" width="32.25" customWidth="1"/>
    <col min="3" max="3" width="24.75" customWidth="1"/>
    <col min="4" max="4" width="17.375" customWidth="1"/>
    <col min="5" max="5" width="11" customWidth="1"/>
    <col min="6" max="6" width="6.375" customWidth="1"/>
  </cols>
  <sheetData>
    <row r="1" spans="1:6">
      <c r="A1" s="198" t="s">
        <v>326</v>
      </c>
      <c r="B1" s="198" t="s">
        <v>1415</v>
      </c>
      <c r="C1" s="198" t="s">
        <v>47</v>
      </c>
      <c r="D1" s="198" t="s">
        <v>2069</v>
      </c>
      <c r="E1" s="198" t="s">
        <v>338</v>
      </c>
      <c r="F1" s="198" t="s">
        <v>2070</v>
      </c>
    </row>
    <row r="2" spans="1:6">
      <c r="A2" s="60">
        <v>1</v>
      </c>
      <c r="B2" s="142" t="s">
        <v>2071</v>
      </c>
      <c r="C2" s="60" t="s">
        <v>2072</v>
      </c>
      <c r="D2" s="60" t="s">
        <v>100</v>
      </c>
      <c r="E2" s="60" t="s">
        <v>355</v>
      </c>
      <c r="F2" s="60" t="s">
        <v>355</v>
      </c>
    </row>
    <row r="3" spans="1:6">
      <c r="A3" s="60">
        <v>2</v>
      </c>
      <c r="B3" s="142" t="s">
        <v>2073</v>
      </c>
      <c r="C3" s="60" t="s">
        <v>176</v>
      </c>
      <c r="D3" s="60" t="s">
        <v>175</v>
      </c>
      <c r="E3" s="60" t="s">
        <v>1018</v>
      </c>
      <c r="F3" s="60" t="s">
        <v>51</v>
      </c>
    </row>
    <row r="4" spans="1:6">
      <c r="A4" s="60">
        <v>3</v>
      </c>
      <c r="B4" s="142" t="s">
        <v>2074</v>
      </c>
      <c r="C4" s="60" t="s">
        <v>176</v>
      </c>
      <c r="D4" s="60" t="s">
        <v>175</v>
      </c>
      <c r="E4" s="60" t="s">
        <v>411</v>
      </c>
      <c r="F4" s="60" t="s">
        <v>51</v>
      </c>
    </row>
    <row r="5" spans="1:6">
      <c r="A5" s="60">
        <v>4</v>
      </c>
      <c r="B5" s="142" t="s">
        <v>2075</v>
      </c>
      <c r="C5" s="60" t="s">
        <v>67</v>
      </c>
      <c r="D5" s="60" t="s">
        <v>17</v>
      </c>
      <c r="E5" s="60" t="s">
        <v>355</v>
      </c>
      <c r="F5" s="60" t="s">
        <v>355</v>
      </c>
    </row>
    <row r="6" spans="1:6">
      <c r="A6" s="60">
        <v>5</v>
      </c>
      <c r="B6" s="142" t="s">
        <v>2076</v>
      </c>
      <c r="C6" s="60" t="s">
        <v>2077</v>
      </c>
      <c r="D6" s="60" t="s">
        <v>19</v>
      </c>
      <c r="E6" s="60" t="s">
        <v>507</v>
      </c>
      <c r="F6" s="60" t="s">
        <v>51</v>
      </c>
    </row>
    <row r="7" spans="1:6">
      <c r="A7" s="60">
        <v>6</v>
      </c>
      <c r="B7" s="142" t="s">
        <v>1914</v>
      </c>
      <c r="C7" s="60" t="s">
        <v>2078</v>
      </c>
      <c r="D7" s="60" t="s">
        <v>33</v>
      </c>
      <c r="E7" s="60" t="s">
        <v>378</v>
      </c>
      <c r="F7" s="60" t="s">
        <v>378</v>
      </c>
    </row>
    <row r="8" spans="1:6">
      <c r="A8" s="60">
        <v>7</v>
      </c>
      <c r="B8" s="142" t="s">
        <v>2079</v>
      </c>
      <c r="C8" s="60" t="s">
        <v>2080</v>
      </c>
      <c r="D8" s="60" t="s">
        <v>125</v>
      </c>
      <c r="E8" s="60"/>
      <c r="F8" s="60"/>
    </row>
    <row r="9" spans="1:6">
      <c r="A9" s="60">
        <v>8</v>
      </c>
      <c r="B9" s="142" t="s">
        <v>1835</v>
      </c>
      <c r="C9" s="60" t="s">
        <v>2081</v>
      </c>
      <c r="D9" s="60" t="s">
        <v>125</v>
      </c>
      <c r="E9" s="60"/>
      <c r="F9" s="60"/>
    </row>
    <row r="10" spans="1:6">
      <c r="A10" s="60">
        <v>9</v>
      </c>
      <c r="B10" s="142" t="s">
        <v>1682</v>
      </c>
      <c r="C10" s="60" t="s">
        <v>118</v>
      </c>
      <c r="D10" s="60" t="s">
        <v>25</v>
      </c>
      <c r="E10" s="60" t="s">
        <v>355</v>
      </c>
      <c r="F10" s="60" t="s">
        <v>355</v>
      </c>
    </row>
    <row r="11" spans="1:6">
      <c r="A11" s="60">
        <v>10</v>
      </c>
      <c r="B11" s="142" t="s">
        <v>1791</v>
      </c>
      <c r="C11" s="60" t="s">
        <v>151</v>
      </c>
      <c r="D11" s="60" t="s">
        <v>125</v>
      </c>
      <c r="E11" s="60"/>
      <c r="F11" s="60"/>
    </row>
    <row r="12" spans="1:6">
      <c r="A12" s="60">
        <v>11</v>
      </c>
      <c r="B12" s="142" t="s">
        <v>1900</v>
      </c>
      <c r="C12" s="60" t="s">
        <v>68</v>
      </c>
      <c r="D12" s="60" t="s">
        <v>17</v>
      </c>
      <c r="E12" s="60" t="s">
        <v>355</v>
      </c>
      <c r="F12" s="60" t="s">
        <v>355</v>
      </c>
    </row>
    <row r="13" spans="1:6">
      <c r="A13" s="60">
        <v>12</v>
      </c>
      <c r="B13" s="142" t="s">
        <v>2082</v>
      </c>
      <c r="C13" s="60" t="s">
        <v>2083</v>
      </c>
      <c r="D13" s="60" t="s">
        <v>23</v>
      </c>
      <c r="E13" s="60" t="s">
        <v>553</v>
      </c>
      <c r="F13" s="60" t="s">
        <v>51</v>
      </c>
    </row>
    <row r="14" spans="1:6">
      <c r="A14" s="60">
        <v>13</v>
      </c>
      <c r="B14" s="142" t="s">
        <v>1948</v>
      </c>
      <c r="C14" s="60" t="s">
        <v>160</v>
      </c>
      <c r="D14" s="60" t="s">
        <v>29</v>
      </c>
      <c r="E14" s="60" t="s">
        <v>437</v>
      </c>
      <c r="F14" s="60" t="s">
        <v>51</v>
      </c>
    </row>
    <row r="15" spans="1:6">
      <c r="A15" s="60">
        <v>14</v>
      </c>
      <c r="B15" s="142" t="s">
        <v>2084</v>
      </c>
      <c r="C15" s="60" t="s">
        <v>65</v>
      </c>
      <c r="D15" s="60" t="s">
        <v>17</v>
      </c>
      <c r="E15" s="60" t="s">
        <v>2085</v>
      </c>
      <c r="F15" s="60" t="s">
        <v>378</v>
      </c>
    </row>
    <row r="16" spans="1:6">
      <c r="A16" s="60">
        <v>15</v>
      </c>
      <c r="B16" s="142" t="s">
        <v>2084</v>
      </c>
      <c r="C16" s="60" t="s">
        <v>65</v>
      </c>
      <c r="D16" s="60" t="s">
        <v>17</v>
      </c>
      <c r="E16" s="60" t="s">
        <v>2085</v>
      </c>
      <c r="F16" s="60" t="s">
        <v>378</v>
      </c>
    </row>
    <row r="17" spans="1:6">
      <c r="A17" s="60">
        <v>16</v>
      </c>
      <c r="B17" s="142" t="s">
        <v>2084</v>
      </c>
      <c r="C17" s="60" t="s">
        <v>65</v>
      </c>
      <c r="D17" s="60" t="s">
        <v>17</v>
      </c>
      <c r="E17" s="60" t="s">
        <v>2085</v>
      </c>
      <c r="F17" s="60" t="s">
        <v>378</v>
      </c>
    </row>
    <row r="18" spans="1:6">
      <c r="A18" s="60">
        <v>17</v>
      </c>
      <c r="B18" s="142" t="s">
        <v>2084</v>
      </c>
      <c r="C18" s="60" t="s">
        <v>65</v>
      </c>
      <c r="D18" s="60" t="s">
        <v>17</v>
      </c>
      <c r="E18" s="60" t="s">
        <v>2085</v>
      </c>
      <c r="F18" s="60" t="s">
        <v>378</v>
      </c>
    </row>
    <row r="19" spans="1:6">
      <c r="A19" s="60">
        <v>18</v>
      </c>
      <c r="B19" s="142" t="s">
        <v>2084</v>
      </c>
      <c r="C19" s="60" t="s">
        <v>65</v>
      </c>
      <c r="D19" s="60" t="s">
        <v>17</v>
      </c>
      <c r="E19" s="60" t="s">
        <v>2085</v>
      </c>
      <c r="F19" s="60" t="s">
        <v>378</v>
      </c>
    </row>
    <row r="20" spans="1:6">
      <c r="A20" s="60">
        <v>19</v>
      </c>
      <c r="B20" s="142" t="s">
        <v>2084</v>
      </c>
      <c r="C20" s="60" t="s">
        <v>65</v>
      </c>
      <c r="D20" s="60" t="s">
        <v>17</v>
      </c>
      <c r="E20" s="60" t="s">
        <v>2085</v>
      </c>
      <c r="F20" s="60" t="s">
        <v>378</v>
      </c>
    </row>
    <row r="21" spans="1:6">
      <c r="A21" s="60">
        <v>20</v>
      </c>
      <c r="B21" s="142" t="s">
        <v>2084</v>
      </c>
      <c r="C21" s="60" t="s">
        <v>65</v>
      </c>
      <c r="D21" s="60" t="s">
        <v>17</v>
      </c>
      <c r="E21" s="60" t="s">
        <v>2085</v>
      </c>
      <c r="F21" s="60" t="s">
        <v>378</v>
      </c>
    </row>
    <row r="22" spans="1:6">
      <c r="A22" s="60">
        <v>21</v>
      </c>
      <c r="B22" s="142" t="s">
        <v>2086</v>
      </c>
      <c r="C22" s="60" t="s">
        <v>2087</v>
      </c>
      <c r="D22" s="60" t="s">
        <v>125</v>
      </c>
      <c r="E22" s="60"/>
      <c r="F22" s="60"/>
    </row>
    <row r="23" spans="1:6">
      <c r="A23" s="60">
        <v>22</v>
      </c>
      <c r="B23" s="142" t="s">
        <v>2088</v>
      </c>
      <c r="C23" s="60" t="s">
        <v>165</v>
      </c>
      <c r="D23" s="60" t="s">
        <v>34</v>
      </c>
      <c r="E23" s="60" t="s">
        <v>777</v>
      </c>
      <c r="F23" s="60" t="s">
        <v>51</v>
      </c>
    </row>
    <row r="24" spans="1:6">
      <c r="A24" s="60">
        <v>23</v>
      </c>
      <c r="B24" s="142" t="s">
        <v>2089</v>
      </c>
      <c r="C24" s="60" t="s">
        <v>115</v>
      </c>
      <c r="D24" s="60" t="s">
        <v>25</v>
      </c>
      <c r="E24" s="60" t="s">
        <v>437</v>
      </c>
      <c r="F24" s="60" t="s">
        <v>51</v>
      </c>
    </row>
    <row r="25" spans="1:6">
      <c r="A25" s="60">
        <v>24</v>
      </c>
      <c r="B25" s="142" t="s">
        <v>2028</v>
      </c>
      <c r="C25" s="60" t="s">
        <v>2090</v>
      </c>
      <c r="D25" s="60" t="s">
        <v>15</v>
      </c>
      <c r="E25" s="60" t="s">
        <v>386</v>
      </c>
      <c r="F25" s="60" t="s">
        <v>51</v>
      </c>
    </row>
    <row r="26" spans="1:6">
      <c r="A26" s="60">
        <v>25</v>
      </c>
      <c r="B26" s="142" t="s">
        <v>2091</v>
      </c>
      <c r="C26" s="60" t="s">
        <v>176</v>
      </c>
      <c r="D26" s="60" t="s">
        <v>175</v>
      </c>
      <c r="E26" s="60" t="s">
        <v>366</v>
      </c>
      <c r="F26" s="60" t="s">
        <v>51</v>
      </c>
    </row>
    <row r="27" spans="1:6">
      <c r="A27" s="60">
        <v>26</v>
      </c>
      <c r="B27" s="142" t="s">
        <v>2084</v>
      </c>
      <c r="C27" s="60" t="s">
        <v>65</v>
      </c>
      <c r="D27" s="60" t="s">
        <v>17</v>
      </c>
      <c r="E27" s="60" t="s">
        <v>2085</v>
      </c>
      <c r="F27" s="60" t="s">
        <v>378</v>
      </c>
    </row>
    <row r="28" spans="1:6">
      <c r="A28" s="60">
        <v>27</v>
      </c>
      <c r="B28" s="142" t="s">
        <v>1707</v>
      </c>
      <c r="C28" s="60" t="s">
        <v>121</v>
      </c>
      <c r="D28" s="60" t="s">
        <v>25</v>
      </c>
      <c r="E28" s="60" t="s">
        <v>1301</v>
      </c>
      <c r="F28" s="60" t="s">
        <v>51</v>
      </c>
    </row>
    <row r="29" spans="1:6">
      <c r="A29" s="60">
        <v>28</v>
      </c>
      <c r="B29" s="142" t="s">
        <v>1742</v>
      </c>
      <c r="C29" s="60" t="s">
        <v>189</v>
      </c>
      <c r="D29" s="60" t="s">
        <v>23</v>
      </c>
      <c r="E29" s="60" t="s">
        <v>457</v>
      </c>
      <c r="F29" s="60" t="s">
        <v>51</v>
      </c>
    </row>
    <row r="30" spans="1:6">
      <c r="A30" s="60">
        <v>29</v>
      </c>
      <c r="B30" s="142" t="s">
        <v>1991</v>
      </c>
      <c r="C30" s="60" t="s">
        <v>169</v>
      </c>
      <c r="D30" s="60" t="s">
        <v>38</v>
      </c>
      <c r="E30" s="60" t="s">
        <v>590</v>
      </c>
      <c r="F30" s="60" t="s">
        <v>51</v>
      </c>
    </row>
    <row r="31" spans="1:6">
      <c r="A31" s="60">
        <v>30</v>
      </c>
      <c r="B31" s="142" t="s">
        <v>2092</v>
      </c>
      <c r="C31" s="60" t="s">
        <v>2093</v>
      </c>
      <c r="D31" s="60" t="s">
        <v>17</v>
      </c>
      <c r="E31" s="60" t="s">
        <v>777</v>
      </c>
      <c r="F31" s="60" t="s">
        <v>51</v>
      </c>
    </row>
    <row r="32" spans="1:6">
      <c r="A32" s="60">
        <v>31</v>
      </c>
      <c r="B32" s="142" t="s">
        <v>2094</v>
      </c>
      <c r="C32" s="60" t="s">
        <v>2095</v>
      </c>
      <c r="D32" s="60" t="s">
        <v>125</v>
      </c>
      <c r="E32" s="60"/>
      <c r="F32" s="60"/>
    </row>
    <row r="33" spans="1:6">
      <c r="A33" s="60">
        <v>32</v>
      </c>
      <c r="B33" s="142" t="s">
        <v>2096</v>
      </c>
      <c r="C33" s="60" t="s">
        <v>169</v>
      </c>
      <c r="D33" s="60" t="s">
        <v>38</v>
      </c>
      <c r="E33" s="60" t="s">
        <v>355</v>
      </c>
      <c r="F33" s="60" t="s">
        <v>355</v>
      </c>
    </row>
    <row r="34" spans="1:6">
      <c r="A34" s="60">
        <v>33</v>
      </c>
      <c r="B34" s="142" t="s">
        <v>1859</v>
      </c>
      <c r="C34" s="60" t="s">
        <v>2097</v>
      </c>
      <c r="D34" s="60" t="s">
        <v>125</v>
      </c>
      <c r="E34" s="60"/>
      <c r="F34" s="60"/>
    </row>
    <row r="35" spans="1:6">
      <c r="A35" s="60">
        <v>34</v>
      </c>
      <c r="B35" s="142" t="s">
        <v>2098</v>
      </c>
      <c r="C35" s="60" t="s">
        <v>95</v>
      </c>
      <c r="D35" s="60" t="s">
        <v>23</v>
      </c>
      <c r="E35" s="60" t="s">
        <v>796</v>
      </c>
      <c r="F35" s="60" t="s">
        <v>378</v>
      </c>
    </row>
    <row r="36" spans="1:6">
      <c r="A36" s="60">
        <v>35</v>
      </c>
      <c r="B36" s="142" t="s">
        <v>2099</v>
      </c>
      <c r="C36" s="60" t="s">
        <v>160</v>
      </c>
      <c r="D36" s="60" t="s">
        <v>29</v>
      </c>
      <c r="E36" s="60" t="s">
        <v>1673</v>
      </c>
      <c r="F36" s="60" t="s">
        <v>1673</v>
      </c>
    </row>
    <row r="37" spans="1:6">
      <c r="A37" s="60">
        <v>36</v>
      </c>
      <c r="B37" s="142" t="s">
        <v>1903</v>
      </c>
      <c r="C37" s="60" t="s">
        <v>90</v>
      </c>
      <c r="D37" s="60" t="s">
        <v>19</v>
      </c>
      <c r="E37" s="60" t="s">
        <v>366</v>
      </c>
      <c r="F37" s="60" t="s">
        <v>51</v>
      </c>
    </row>
    <row r="38" spans="1:6">
      <c r="A38" s="60">
        <v>37</v>
      </c>
      <c r="B38" s="142" t="s">
        <v>2100</v>
      </c>
      <c r="C38" s="60" t="s">
        <v>2101</v>
      </c>
      <c r="D38" s="60" t="s">
        <v>17</v>
      </c>
      <c r="E38" s="60" t="s">
        <v>553</v>
      </c>
      <c r="F38" s="60" t="s">
        <v>51</v>
      </c>
    </row>
    <row r="39" spans="1:6">
      <c r="A39" s="60">
        <v>38</v>
      </c>
      <c r="B39" s="142" t="s">
        <v>2102</v>
      </c>
      <c r="C39" s="60" t="s">
        <v>2083</v>
      </c>
      <c r="D39" s="60" t="s">
        <v>23</v>
      </c>
      <c r="E39" s="60" t="s">
        <v>553</v>
      </c>
      <c r="F39" s="60" t="s">
        <v>51</v>
      </c>
    </row>
    <row r="40" spans="1:6">
      <c r="A40" s="60">
        <v>39</v>
      </c>
      <c r="B40" s="142" t="s">
        <v>2019</v>
      </c>
      <c r="C40" s="60" t="s">
        <v>118</v>
      </c>
      <c r="D40" s="60" t="s">
        <v>25</v>
      </c>
      <c r="E40" s="60" t="s">
        <v>355</v>
      </c>
      <c r="F40" s="60" t="s">
        <v>355</v>
      </c>
    </row>
    <row r="41" spans="1:6">
      <c r="A41" s="60">
        <v>40</v>
      </c>
      <c r="B41" s="142" t="s">
        <v>1808</v>
      </c>
      <c r="C41" s="60" t="s">
        <v>164</v>
      </c>
      <c r="D41" s="60" t="s">
        <v>34</v>
      </c>
      <c r="E41" s="60" t="s">
        <v>1018</v>
      </c>
      <c r="F41" s="60" t="s">
        <v>51</v>
      </c>
    </row>
    <row r="42" spans="1:6">
      <c r="A42" s="60">
        <v>41</v>
      </c>
      <c r="B42" s="142" t="s">
        <v>1918</v>
      </c>
      <c r="C42" s="60" t="s">
        <v>2103</v>
      </c>
      <c r="D42" s="60" t="s">
        <v>111</v>
      </c>
      <c r="E42" s="60" t="s">
        <v>777</v>
      </c>
      <c r="F42" s="60" t="s">
        <v>51</v>
      </c>
    </row>
    <row r="43" spans="1:6">
      <c r="A43" s="60">
        <v>42</v>
      </c>
      <c r="B43" s="142" t="s">
        <v>2027</v>
      </c>
      <c r="C43" s="60" t="s">
        <v>237</v>
      </c>
      <c r="D43" s="60" t="s">
        <v>15</v>
      </c>
      <c r="E43" s="60" t="s">
        <v>507</v>
      </c>
      <c r="F43" s="60" t="s">
        <v>51</v>
      </c>
    </row>
    <row r="44" spans="1:6">
      <c r="A44" s="60">
        <v>43</v>
      </c>
      <c r="B44" s="142" t="s">
        <v>1875</v>
      </c>
      <c r="C44" s="60" t="s">
        <v>2104</v>
      </c>
      <c r="D44" s="60" t="s">
        <v>23</v>
      </c>
      <c r="E44" s="60" t="s">
        <v>437</v>
      </c>
      <c r="F44" s="60" t="s">
        <v>51</v>
      </c>
    </row>
    <row r="45" spans="1:6">
      <c r="A45" s="60">
        <v>44</v>
      </c>
      <c r="B45" s="142" t="s">
        <v>1894</v>
      </c>
      <c r="C45" s="60" t="s">
        <v>65</v>
      </c>
      <c r="D45" s="60" t="s">
        <v>17</v>
      </c>
      <c r="E45" s="60" t="s">
        <v>355</v>
      </c>
      <c r="F45" s="60" t="s">
        <v>355</v>
      </c>
    </row>
    <row r="46" spans="1:6">
      <c r="A46" s="60">
        <v>45</v>
      </c>
      <c r="B46" s="142" t="s">
        <v>1951</v>
      </c>
      <c r="C46" s="60" t="s">
        <v>71</v>
      </c>
      <c r="D46" s="60" t="s">
        <v>17</v>
      </c>
      <c r="E46" s="60" t="s">
        <v>355</v>
      </c>
      <c r="F46" s="60" t="s">
        <v>355</v>
      </c>
    </row>
    <row r="47" spans="1:6">
      <c r="A47" s="60">
        <v>46</v>
      </c>
      <c r="B47" s="142" t="s">
        <v>2105</v>
      </c>
      <c r="C47" s="60" t="s">
        <v>2106</v>
      </c>
      <c r="D47" s="60" t="s">
        <v>100</v>
      </c>
      <c r="E47" s="60" t="s">
        <v>457</v>
      </c>
      <c r="F47" s="60" t="s">
        <v>51</v>
      </c>
    </row>
    <row r="48" spans="1:6">
      <c r="A48" s="60">
        <v>47</v>
      </c>
      <c r="B48" s="142" t="s">
        <v>1960</v>
      </c>
      <c r="C48" s="60" t="s">
        <v>160</v>
      </c>
      <c r="D48" s="60" t="s">
        <v>29</v>
      </c>
      <c r="E48" s="60" t="s">
        <v>612</v>
      </c>
      <c r="F48" s="60" t="s">
        <v>51</v>
      </c>
    </row>
    <row r="49" spans="1:6">
      <c r="A49" s="60">
        <v>48</v>
      </c>
      <c r="B49" s="142" t="s">
        <v>2107</v>
      </c>
      <c r="C49" s="60" t="s">
        <v>103</v>
      </c>
      <c r="D49" s="60" t="s">
        <v>100</v>
      </c>
      <c r="E49" s="60" t="s">
        <v>777</v>
      </c>
      <c r="F49" s="60" t="s">
        <v>51</v>
      </c>
    </row>
    <row r="50" spans="1:6">
      <c r="A50" s="60">
        <v>49</v>
      </c>
      <c r="B50" s="142" t="s">
        <v>1950</v>
      </c>
      <c r="C50" s="60" t="s">
        <v>2108</v>
      </c>
      <c r="D50" s="60" t="s">
        <v>125</v>
      </c>
      <c r="E50" s="60"/>
      <c r="F50" s="60"/>
    </row>
    <row r="51" spans="1:6">
      <c r="A51" s="60">
        <v>50</v>
      </c>
      <c r="B51" s="142" t="s">
        <v>1990</v>
      </c>
      <c r="C51" s="60" t="s">
        <v>65</v>
      </c>
      <c r="D51" s="60" t="s">
        <v>17</v>
      </c>
      <c r="E51" s="60" t="s">
        <v>355</v>
      </c>
      <c r="F51" s="60" t="s">
        <v>355</v>
      </c>
    </row>
    <row r="52" spans="1:6">
      <c r="A52" s="60">
        <v>51</v>
      </c>
      <c r="B52" s="142" t="s">
        <v>2109</v>
      </c>
      <c r="C52" s="60" t="s">
        <v>2110</v>
      </c>
      <c r="D52" s="60" t="s">
        <v>23</v>
      </c>
      <c r="E52" s="60" t="s">
        <v>355</v>
      </c>
      <c r="F52" s="60" t="s">
        <v>355</v>
      </c>
    </row>
    <row r="53" spans="1:6">
      <c r="A53" s="60">
        <v>52</v>
      </c>
      <c r="B53" s="142" t="s">
        <v>2036</v>
      </c>
      <c r="C53" s="60" t="s">
        <v>176</v>
      </c>
      <c r="D53" s="60" t="s">
        <v>175</v>
      </c>
      <c r="E53" s="60" t="s">
        <v>1673</v>
      </c>
      <c r="F53" s="60" t="s">
        <v>1673</v>
      </c>
    </row>
    <row r="54" spans="1:6">
      <c r="A54" s="60">
        <v>53</v>
      </c>
      <c r="B54" s="142" t="s">
        <v>2015</v>
      </c>
      <c r="C54" s="60" t="s">
        <v>2111</v>
      </c>
      <c r="D54" s="60" t="s">
        <v>100</v>
      </c>
      <c r="E54" s="60" t="s">
        <v>648</v>
      </c>
      <c r="F54" s="60" t="s">
        <v>51</v>
      </c>
    </row>
    <row r="55" spans="1:6">
      <c r="A55" s="60">
        <v>54</v>
      </c>
      <c r="B55" s="142" t="s">
        <v>2053</v>
      </c>
      <c r="C55" s="60" t="s">
        <v>157</v>
      </c>
      <c r="D55" s="60" t="s">
        <v>29</v>
      </c>
      <c r="E55" s="60" t="s">
        <v>796</v>
      </c>
      <c r="F55" s="60" t="s">
        <v>378</v>
      </c>
    </row>
    <row r="56" spans="1:6">
      <c r="A56" s="60">
        <v>55</v>
      </c>
      <c r="B56" s="142" t="s">
        <v>1755</v>
      </c>
      <c r="C56" s="60" t="s">
        <v>103</v>
      </c>
      <c r="D56" s="60" t="s">
        <v>100</v>
      </c>
      <c r="E56" s="60" t="s">
        <v>355</v>
      </c>
      <c r="F56" s="60" t="s">
        <v>355</v>
      </c>
    </row>
    <row r="57" spans="1:6">
      <c r="A57" s="60">
        <v>56</v>
      </c>
      <c r="B57" s="142" t="s">
        <v>2063</v>
      </c>
      <c r="C57" s="60" t="s">
        <v>2078</v>
      </c>
      <c r="D57" s="60" t="s">
        <v>33</v>
      </c>
      <c r="E57" s="60" t="s">
        <v>507</v>
      </c>
      <c r="F57" s="60" t="s">
        <v>51</v>
      </c>
    </row>
    <row r="58" spans="1:6">
      <c r="A58" s="60">
        <v>57</v>
      </c>
      <c r="B58" s="142" t="s">
        <v>2112</v>
      </c>
      <c r="C58" s="60" t="s">
        <v>103</v>
      </c>
      <c r="D58" s="60" t="s">
        <v>100</v>
      </c>
      <c r="E58" s="60" t="s">
        <v>1018</v>
      </c>
      <c r="F58" s="60" t="s">
        <v>378</v>
      </c>
    </row>
    <row r="59" spans="1:6">
      <c r="A59" s="60">
        <v>58</v>
      </c>
      <c r="B59" s="142" t="s">
        <v>2113</v>
      </c>
      <c r="C59" s="60" t="s">
        <v>2106</v>
      </c>
      <c r="D59" s="60" t="s">
        <v>100</v>
      </c>
      <c r="E59" s="60" t="s">
        <v>2085</v>
      </c>
      <c r="F59" s="60" t="s">
        <v>378</v>
      </c>
    </row>
    <row r="60" spans="2:6">
      <c r="B60" t="s">
        <v>2114</v>
      </c>
      <c r="C60" t="s">
        <v>2078</v>
      </c>
      <c r="D60" t="s">
        <v>33</v>
      </c>
      <c r="E60" t="s">
        <v>553</v>
      </c>
      <c r="F60" t="s">
        <v>51</v>
      </c>
    </row>
    <row r="61" spans="2:6">
      <c r="B61" t="s">
        <v>2115</v>
      </c>
      <c r="C61" t="s">
        <v>2093</v>
      </c>
      <c r="D61" s="60" t="s">
        <v>17</v>
      </c>
      <c r="E61" t="s">
        <v>553</v>
      </c>
      <c r="F61" t="s">
        <v>51</v>
      </c>
    </row>
    <row r="62" spans="2:6">
      <c r="B62" t="s">
        <v>2116</v>
      </c>
      <c r="C62" t="s">
        <v>103</v>
      </c>
      <c r="D62" s="60" t="s">
        <v>100</v>
      </c>
      <c r="E62" t="s">
        <v>355</v>
      </c>
      <c r="F62" t="s">
        <v>355</v>
      </c>
    </row>
    <row r="63" spans="2:6">
      <c r="B63" t="s">
        <v>2117</v>
      </c>
      <c r="C63" t="s">
        <v>2093</v>
      </c>
      <c r="D63" s="60" t="s">
        <v>17</v>
      </c>
      <c r="E63" t="s">
        <v>411</v>
      </c>
      <c r="F63" t="s">
        <v>51</v>
      </c>
    </row>
    <row r="64" spans="2:6">
      <c r="B64" t="s">
        <v>2118</v>
      </c>
      <c r="C64" t="s">
        <v>2119</v>
      </c>
      <c r="D64" s="60" t="s">
        <v>25</v>
      </c>
      <c r="E64" t="s">
        <v>1673</v>
      </c>
      <c r="F64" t="s">
        <v>1673</v>
      </c>
    </row>
    <row r="65" spans="2:6">
      <c r="B65" t="s">
        <v>2120</v>
      </c>
      <c r="C65" t="s">
        <v>2121</v>
      </c>
      <c r="D65" t="s">
        <v>107</v>
      </c>
      <c r="E65" t="s">
        <v>612</v>
      </c>
      <c r="F65" t="s">
        <v>378</v>
      </c>
    </row>
    <row r="66" spans="2:6">
      <c r="B66" t="s">
        <v>2122</v>
      </c>
      <c r="C66" t="s">
        <v>70</v>
      </c>
      <c r="D66" s="60" t="s">
        <v>17</v>
      </c>
      <c r="E66" t="s">
        <v>492</v>
      </c>
      <c r="F66" t="s">
        <v>378</v>
      </c>
    </row>
    <row r="67" spans="2:6">
      <c r="B67" t="s">
        <v>2123</v>
      </c>
      <c r="C67" t="s">
        <v>2124</v>
      </c>
      <c r="D67" t="s">
        <v>38</v>
      </c>
      <c r="E67" t="s">
        <v>366</v>
      </c>
      <c r="F67" t="s">
        <v>378</v>
      </c>
    </row>
    <row r="68" spans="2:6">
      <c r="B68" t="s">
        <v>2011</v>
      </c>
      <c r="C68" t="s">
        <v>2101</v>
      </c>
      <c r="D68" s="60" t="s">
        <v>17</v>
      </c>
      <c r="E68" t="s">
        <v>553</v>
      </c>
      <c r="F68" t="s">
        <v>51</v>
      </c>
    </row>
    <row r="69" spans="2:6">
      <c r="B69" t="s">
        <v>1856</v>
      </c>
      <c r="C69" t="s">
        <v>2101</v>
      </c>
      <c r="D69" s="60" t="s">
        <v>17</v>
      </c>
      <c r="E69" t="s">
        <v>777</v>
      </c>
      <c r="F69" t="s">
        <v>51</v>
      </c>
    </row>
    <row r="70" spans="2:6">
      <c r="B70" t="s">
        <v>1970</v>
      </c>
      <c r="C70" t="s">
        <v>90</v>
      </c>
      <c r="D70" t="s">
        <v>19</v>
      </c>
      <c r="E70" t="s">
        <v>355</v>
      </c>
      <c r="F70" t="s">
        <v>355</v>
      </c>
    </row>
    <row r="71" spans="2:6">
      <c r="B71" t="s">
        <v>2125</v>
      </c>
      <c r="C71" t="s">
        <v>184</v>
      </c>
      <c r="D71" s="60" t="s">
        <v>17</v>
      </c>
      <c r="E71" t="s">
        <v>861</v>
      </c>
      <c r="F71" t="s">
        <v>51</v>
      </c>
    </row>
    <row r="72" spans="2:6">
      <c r="B72" t="s">
        <v>2126</v>
      </c>
      <c r="C72" t="s">
        <v>2124</v>
      </c>
      <c r="D72" t="s">
        <v>38</v>
      </c>
      <c r="E72" t="s">
        <v>366</v>
      </c>
      <c r="F72" t="s">
        <v>51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"/>
  <sheetViews>
    <sheetView zoomScale="85" zoomScaleNormal="85" topLeftCell="D1" workbookViewId="0">
      <selection activeCell="I11" sqref="I11"/>
    </sheetView>
  </sheetViews>
  <sheetFormatPr defaultColWidth="9" defaultRowHeight="15.75"/>
  <cols>
    <col min="1" max="1" width="19.875" hidden="1" customWidth="1"/>
    <col min="2" max="2" width="13.5" hidden="1" customWidth="1"/>
    <col min="3" max="3" width="12.375" hidden="1" customWidth="1"/>
    <col min="4" max="4" width="5.125" customWidth="1"/>
    <col min="5" max="5" width="11.5" customWidth="1"/>
    <col min="6" max="7" width="8.375" customWidth="1"/>
    <col min="8" max="8" width="8.25" customWidth="1"/>
    <col min="9" max="9" width="10" customWidth="1"/>
    <col min="10" max="10" width="11.5" customWidth="1"/>
    <col min="11" max="11" width="5.25" customWidth="1"/>
    <col min="12" max="12" width="21" customWidth="1"/>
    <col min="13" max="14" width="8.125" customWidth="1"/>
    <col min="15" max="15" width="9.75" customWidth="1"/>
    <col min="16" max="16" width="5.25" customWidth="1"/>
    <col min="17" max="17" width="9.5" customWidth="1"/>
    <col min="18" max="18" width="21.375" customWidth="1"/>
    <col min="19" max="19" width="11" customWidth="1"/>
    <col min="20" max="20" width="16.125" customWidth="1"/>
    <col min="21" max="21" width="6.25" customWidth="1"/>
    <col min="22" max="22" width="13.375" customWidth="1"/>
    <col min="23" max="23" width="11.125" customWidth="1"/>
  </cols>
  <sheetData>
    <row r="1" spans="1:16">
      <c r="A1" s="152" t="s">
        <v>2127</v>
      </c>
      <c r="B1" s="152" t="s">
        <v>2128</v>
      </c>
      <c r="C1" s="152" t="s">
        <v>2129</v>
      </c>
      <c r="K1" s="46"/>
      <c r="L1" s="160" t="str">
        <f ca="1">CONCATENATE("Arena Cochin IH Performance as on - ",TEXT(TODAY()-1,"dd-mmm-yy"))</f>
        <v>Arena Cochin IH Performance as on - 29-Mar-26</v>
      </c>
      <c r="M1" s="161"/>
      <c r="N1" s="161"/>
      <c r="O1" s="162"/>
      <c r="P1" s="46"/>
    </row>
    <row r="2" spans="1:23">
      <c r="A2" s="59" t="s">
        <v>2130</v>
      </c>
      <c r="B2" s="59" t="s">
        <v>1508</v>
      </c>
      <c r="C2" s="59" t="s">
        <v>434</v>
      </c>
      <c r="E2" s="153" t="str">
        <f ca="1">CONCATENATE("Arena MSSF Performance as on ",TEXT(TODAY(),"dd-mmm-yy"))</f>
        <v>Arena MSSF Performance as on 30-Mar-26</v>
      </c>
      <c r="F2" s="154"/>
      <c r="G2" s="154"/>
      <c r="H2" s="154"/>
      <c r="I2" s="154"/>
      <c r="J2" s="163"/>
      <c r="K2" s="46"/>
      <c r="L2" s="164" t="s">
        <v>264</v>
      </c>
      <c r="M2" s="165" t="s">
        <v>3</v>
      </c>
      <c r="N2" s="165" t="s">
        <v>272</v>
      </c>
      <c r="O2" s="166" t="s">
        <v>8</v>
      </c>
      <c r="P2" s="46"/>
      <c r="Q2" s="191" t="s">
        <v>2131</v>
      </c>
      <c r="R2" s="191" t="s">
        <v>2132</v>
      </c>
      <c r="S2" s="191" t="s">
        <v>2133</v>
      </c>
      <c r="T2" s="191" t="s">
        <v>2134</v>
      </c>
      <c r="U2" s="192" t="s">
        <v>2135</v>
      </c>
      <c r="V2" s="193" t="s">
        <v>2136</v>
      </c>
      <c r="W2" s="193" t="s">
        <v>2137</v>
      </c>
    </row>
    <row r="3" spans="1:23">
      <c r="A3" s="59" t="s">
        <v>706</v>
      </c>
      <c r="B3" s="59" t="s">
        <v>648</v>
      </c>
      <c r="C3" s="59" t="s">
        <v>463</v>
      </c>
      <c r="E3" s="155" t="s">
        <v>2138</v>
      </c>
      <c r="F3" s="155" t="s">
        <v>2</v>
      </c>
      <c r="G3" s="155" t="s">
        <v>51</v>
      </c>
      <c r="H3" s="155" t="s">
        <v>266</v>
      </c>
      <c r="I3" s="155" t="s">
        <v>2139</v>
      </c>
      <c r="J3" s="155" t="s">
        <v>2140</v>
      </c>
      <c r="K3" s="46"/>
      <c r="L3" s="167" t="s">
        <v>107</v>
      </c>
      <c r="M3" s="168">
        <f>IFERROR(VLOOKUP($L3,Outlet!$B$3:$E$19,3,0),0)</f>
        <v>1</v>
      </c>
      <c r="N3" s="168">
        <f>IFERROR(VLOOKUP($L3,Outlet!$B$3:$E$19,4,0),0)</f>
        <v>1</v>
      </c>
      <c r="O3" s="169">
        <f>IFERROR((N3/M3),0)</f>
        <v>1</v>
      </c>
      <c r="P3" s="46"/>
      <c r="Q3" s="142" t="s">
        <v>2141</v>
      </c>
      <c r="R3" s="142" t="s">
        <v>281</v>
      </c>
      <c r="S3" s="142" t="s">
        <v>2142</v>
      </c>
      <c r="T3" s="194">
        <v>2705</v>
      </c>
      <c r="U3" s="194">
        <v>40</v>
      </c>
      <c r="V3" s="142" t="s">
        <v>2143</v>
      </c>
      <c r="W3" s="142" t="s">
        <v>2144</v>
      </c>
    </row>
    <row r="4" spans="1:23">
      <c r="A4" s="60" t="s">
        <v>611</v>
      </c>
      <c r="B4" s="60" t="s">
        <v>612</v>
      </c>
      <c r="C4" s="59" t="s">
        <v>735</v>
      </c>
      <c r="E4" s="156" t="s">
        <v>276</v>
      </c>
      <c r="F4" s="156">
        <f>COUNTIFS(Booking!H:H,E4)</f>
        <v>77</v>
      </c>
      <c r="G4" s="156">
        <f>COUNTIFS(Booking!E:E,"IH",Booking!H:H,E4)</f>
        <v>31</v>
      </c>
      <c r="H4" s="156">
        <f>COUNTIFS(Booking!E:E,"IH",Booking!G:G,"LOGIN",Booking!H:H,E4)</f>
        <v>11</v>
      </c>
      <c r="I4" s="170">
        <f t="shared" ref="I4:I10" si="0">IFERROR((H4/F4),0)</f>
        <v>0.142857142857143</v>
      </c>
      <c r="J4" s="156">
        <f>COUNTIFS(Booking!E:E,"IH",Booking!G:G,"PENDING",Booking!H:H,E4)</f>
        <v>20</v>
      </c>
      <c r="K4" s="46"/>
      <c r="L4" s="171" t="s">
        <v>15</v>
      </c>
      <c r="M4" s="168">
        <f>IFERROR(VLOOKUP($L4,Outlet!$B$3:$E$19,3,0),0)</f>
        <v>9</v>
      </c>
      <c r="N4" s="168">
        <f>IFERROR(VLOOKUP($L4,Outlet!$B$3:$E$19,4,0),0)</f>
        <v>8</v>
      </c>
      <c r="O4" s="169">
        <f>IFERROR((N4/M4),0)</f>
        <v>0.888888888888889</v>
      </c>
      <c r="P4" s="46"/>
      <c r="Q4" s="142" t="s">
        <v>2145</v>
      </c>
      <c r="R4" s="142" t="s">
        <v>15</v>
      </c>
      <c r="S4" s="142" t="s">
        <v>2146</v>
      </c>
      <c r="T4" s="194" t="s">
        <v>2147</v>
      </c>
      <c r="U4" s="194">
        <v>28</v>
      </c>
      <c r="V4" s="142" t="s">
        <v>2148</v>
      </c>
      <c r="W4" s="142" t="s">
        <v>2149</v>
      </c>
    </row>
    <row r="5" spans="1:23">
      <c r="A5" s="58" t="s">
        <v>465</v>
      </c>
      <c r="B5" s="58" t="s">
        <v>466</v>
      </c>
      <c r="C5" s="59" t="s">
        <v>477</v>
      </c>
      <c r="E5" s="156" t="s">
        <v>2150</v>
      </c>
      <c r="F5" s="156">
        <f>COUNTIFS(Booking!H:H,E5)</f>
        <v>66</v>
      </c>
      <c r="G5" s="156">
        <f>COUNTIFS(Booking!E:E,"IH",Booking!H:H,E5)</f>
        <v>23</v>
      </c>
      <c r="H5" s="156">
        <f>COUNTIFS(Booking!E:E,"IH",Booking!G:G,"LOGIN",Booking!H:H,E5)</f>
        <v>11</v>
      </c>
      <c r="I5" s="170">
        <f t="shared" si="0"/>
        <v>0.166666666666667</v>
      </c>
      <c r="J5" s="156">
        <f>COUNTIFS(Booking!E:E,"IH",Booking!G:G,"PENDING",Booking!H:H,E5)</f>
        <v>12</v>
      </c>
      <c r="K5" s="46"/>
      <c r="L5" s="171" t="s">
        <v>29</v>
      </c>
      <c r="M5" s="168">
        <f>IFERROR(VLOOKUP($L5,Outlet!$B$3:$E$19,3,0),0)</f>
        <v>12</v>
      </c>
      <c r="N5" s="168">
        <f>IFERROR(VLOOKUP($L5,Outlet!$B$3:$E$19,4,0),0)</f>
        <v>9</v>
      </c>
      <c r="O5" s="169">
        <f t="shared" ref="O3:O20" si="1">IFERROR((N5/M5),0)</f>
        <v>0.75</v>
      </c>
      <c r="P5" s="46"/>
      <c r="Q5" s="142" t="s">
        <v>2151</v>
      </c>
      <c r="R5" s="142" t="s">
        <v>2152</v>
      </c>
      <c r="S5" s="142" t="s">
        <v>2153</v>
      </c>
      <c r="T5" s="194" t="s">
        <v>2154</v>
      </c>
      <c r="U5" s="194">
        <v>72</v>
      </c>
      <c r="V5" s="142" t="s">
        <v>2155</v>
      </c>
      <c r="W5" s="142" t="s">
        <v>2149</v>
      </c>
    </row>
    <row r="6" spans="1:23">
      <c r="A6" s="59" t="s">
        <v>830</v>
      </c>
      <c r="B6" s="59" t="s">
        <v>831</v>
      </c>
      <c r="C6" s="59" t="s">
        <v>532</v>
      </c>
      <c r="E6" s="156" t="s">
        <v>2156</v>
      </c>
      <c r="F6" s="156">
        <f>COUNTIFS(Booking!H:H,E6)</f>
        <v>93</v>
      </c>
      <c r="G6" s="156">
        <f>COUNTIFS(Booking!E:E,"IH",Booking!H:H,E6)</f>
        <v>51</v>
      </c>
      <c r="H6" s="156">
        <f>COUNTIFS(Booking!E:E,"IH",Booking!G:G,"LOGIN",Booking!H:H,E6)</f>
        <v>29</v>
      </c>
      <c r="I6" s="170">
        <f t="shared" si="0"/>
        <v>0.311827956989247</v>
      </c>
      <c r="J6" s="156">
        <f>COUNTIFS(Booking!E:E,"IH",Booking!G:G,"PENDING",Booking!H:H,E6)</f>
        <v>22</v>
      </c>
      <c r="K6" s="46"/>
      <c r="L6" s="171" t="s">
        <v>17</v>
      </c>
      <c r="M6" s="168">
        <f>IFERROR(VLOOKUP($L6,Outlet!$B$3:$E$19,3,0),0)</f>
        <v>35</v>
      </c>
      <c r="N6" s="168">
        <f>IFERROR(VLOOKUP($L6,Outlet!$B$3:$E$19,4,0),0)</f>
        <v>20</v>
      </c>
      <c r="O6" s="169">
        <f>IFERROR((N6/M6),0)</f>
        <v>0.571428571428571</v>
      </c>
      <c r="P6" s="46"/>
      <c r="Q6" s="142" t="s">
        <v>2157</v>
      </c>
      <c r="R6" s="142" t="s">
        <v>29</v>
      </c>
      <c r="S6" s="142" t="s">
        <v>2158</v>
      </c>
      <c r="T6" s="194" t="s">
        <v>2159</v>
      </c>
      <c r="U6" s="194">
        <v>126</v>
      </c>
      <c r="V6" s="142" t="s">
        <v>2160</v>
      </c>
      <c r="W6" s="142" t="s">
        <v>2149</v>
      </c>
    </row>
    <row r="7" spans="1:23">
      <c r="A7" s="60" t="s">
        <v>1017</v>
      </c>
      <c r="B7" s="60" t="s">
        <v>1018</v>
      </c>
      <c r="C7" s="59" t="s">
        <v>504</v>
      </c>
      <c r="E7" s="156" t="s">
        <v>2161</v>
      </c>
      <c r="F7" s="156">
        <f>COUNTIFS(Booking!H:H,E7)</f>
        <v>67</v>
      </c>
      <c r="G7" s="156">
        <f>COUNTIFS(Booking!E:E,"IH",Booking!H:H,E7)</f>
        <v>35</v>
      </c>
      <c r="H7" s="156">
        <f>COUNTIFS(Booking!E:E,"IH",Booking!G:G,"LOGIN",Booking!H:H,E7)</f>
        <v>13</v>
      </c>
      <c r="I7" s="170">
        <f t="shared" si="0"/>
        <v>0.194029850746269</v>
      </c>
      <c r="J7" s="156">
        <f>COUNTIFS(Booking!E:E,"IH",Booking!G:G,"PENDING",Booking!H:H,E7)</f>
        <v>22</v>
      </c>
      <c r="K7" s="46"/>
      <c r="L7" s="171" t="s">
        <v>13</v>
      </c>
      <c r="M7" s="168">
        <f>IFERROR(VLOOKUP($L7,Outlet!$B$3:$E$19,3,0),0)</f>
        <v>5</v>
      </c>
      <c r="N7" s="168">
        <f>IFERROR(VLOOKUP($L7,Outlet!$B$3:$E$19,4,0),0)</f>
        <v>4</v>
      </c>
      <c r="O7" s="169">
        <f>IFERROR((N7/M7),0)</f>
        <v>0.8</v>
      </c>
      <c r="P7" s="46"/>
      <c r="Q7" s="142" t="s">
        <v>2162</v>
      </c>
      <c r="R7" s="142" t="s">
        <v>23</v>
      </c>
      <c r="S7" s="142" t="s">
        <v>2163</v>
      </c>
      <c r="T7" s="194" t="s">
        <v>2164</v>
      </c>
      <c r="U7" s="194">
        <v>77</v>
      </c>
      <c r="V7" s="142" t="s">
        <v>2165</v>
      </c>
      <c r="W7" s="142" t="s">
        <v>2149</v>
      </c>
    </row>
    <row r="8" spans="1:23">
      <c r="A8" s="59" t="s">
        <v>1182</v>
      </c>
      <c r="B8" s="59" t="s">
        <v>1183</v>
      </c>
      <c r="C8" s="59" t="s">
        <v>2166</v>
      </c>
      <c r="E8" s="156" t="s">
        <v>2167</v>
      </c>
      <c r="F8" s="156">
        <f>COUNTIFS(Booking!H:H,E8)</f>
        <v>77</v>
      </c>
      <c r="G8" s="156">
        <f>COUNTIFS(Booking!E:E,"IH",Booking!H:H,E8)</f>
        <v>29</v>
      </c>
      <c r="H8" s="156">
        <f>COUNTIFS(Booking!E:E,"IH",Booking!G:G,"LOGIN",Booking!H:H,E8)</f>
        <v>12</v>
      </c>
      <c r="I8" s="170">
        <f t="shared" si="0"/>
        <v>0.155844155844156</v>
      </c>
      <c r="J8" s="156">
        <f>COUNTIFS(Booking!E:E,"IH",Booking!G:G,"PENDING",Booking!H:H,E8)</f>
        <v>17</v>
      </c>
      <c r="K8" s="46"/>
      <c r="L8" s="171" t="s">
        <v>111</v>
      </c>
      <c r="M8" s="168">
        <f>IFERROR(VLOOKUP($L8,Outlet!$B$3:$E$19,3,0),0)</f>
        <v>9</v>
      </c>
      <c r="N8" s="168">
        <f>IFERROR(VLOOKUP($L8,Outlet!$B$3:$E$19,4,0),0)</f>
        <v>7</v>
      </c>
      <c r="O8" s="169">
        <f>IFERROR((N8/M8),0)</f>
        <v>0.777777777777778</v>
      </c>
      <c r="P8" s="46"/>
      <c r="Q8" s="142" t="s">
        <v>2168</v>
      </c>
      <c r="R8" s="142" t="s">
        <v>2169</v>
      </c>
      <c r="S8" s="142" t="s">
        <v>2170</v>
      </c>
      <c r="T8" s="194" t="s">
        <v>2171</v>
      </c>
      <c r="U8" s="194">
        <v>88</v>
      </c>
      <c r="V8" s="142" t="s">
        <v>2172</v>
      </c>
      <c r="W8" s="142" t="s">
        <v>2173</v>
      </c>
    </row>
    <row r="9" spans="1:23">
      <c r="A9" s="59" t="s">
        <v>456</v>
      </c>
      <c r="B9" s="59" t="s">
        <v>457</v>
      </c>
      <c r="C9" s="59" t="s">
        <v>683</v>
      </c>
      <c r="E9" s="156" t="s">
        <v>2174</v>
      </c>
      <c r="F9" s="156">
        <f>COUNTIFS(Booking!H:H,E9)</f>
        <v>16</v>
      </c>
      <c r="G9" s="156">
        <f>COUNTIFS(Booking!E:E,"IH",Booking!H:H,E9)</f>
        <v>5</v>
      </c>
      <c r="H9" s="156">
        <f>COUNTIFS(Booking!E:E,"IH",Booking!G:G,"LOGIN",Booking!H:H,E9)</f>
        <v>3</v>
      </c>
      <c r="I9" s="170">
        <f t="shared" si="0"/>
        <v>0.1875</v>
      </c>
      <c r="J9" s="156">
        <f>COUNTIFS(Booking!E:E,"IH",Booking!G:G,"PENDING",Booking!H:H,E9)</f>
        <v>2</v>
      </c>
      <c r="K9" s="46"/>
      <c r="L9" s="171" t="s">
        <v>33</v>
      </c>
      <c r="M9" s="168">
        <f>IFERROR(VLOOKUP($L9,Outlet!$B$3:$E$19,3,0),0)</f>
        <v>4</v>
      </c>
      <c r="N9" s="168">
        <f>IFERROR(VLOOKUP($L9,Outlet!$B$3:$E$19,4,0),0)</f>
        <v>3</v>
      </c>
      <c r="O9" s="169">
        <f>IFERROR((N9/M9),0)</f>
        <v>0.75</v>
      </c>
      <c r="P9" s="46"/>
      <c r="Q9" s="142" t="s">
        <v>2175</v>
      </c>
      <c r="R9" s="142" t="s">
        <v>111</v>
      </c>
      <c r="S9" s="142" t="s">
        <v>2176</v>
      </c>
      <c r="T9" s="194" t="s">
        <v>2177</v>
      </c>
      <c r="U9" s="194">
        <v>255</v>
      </c>
      <c r="V9" s="142" t="s">
        <v>2178</v>
      </c>
      <c r="W9" s="142" t="s">
        <v>2149</v>
      </c>
    </row>
    <row r="10" spans="1:23">
      <c r="A10" s="59" t="s">
        <v>2179</v>
      </c>
      <c r="B10" s="59" t="s">
        <v>2180</v>
      </c>
      <c r="C10" s="59" t="s">
        <v>489</v>
      </c>
      <c r="E10" s="157" t="s">
        <v>43</v>
      </c>
      <c r="F10" s="158">
        <f>SUM(F4:F9)</f>
        <v>396</v>
      </c>
      <c r="G10" s="158">
        <f>SUM(G4:G9)</f>
        <v>174</v>
      </c>
      <c r="H10" s="158">
        <f>SUM(H4:H9)</f>
        <v>79</v>
      </c>
      <c r="I10" s="172">
        <f t="shared" si="0"/>
        <v>0.19949494949495</v>
      </c>
      <c r="J10" s="158">
        <f>SUM(J4:J9)</f>
        <v>95</v>
      </c>
      <c r="K10" s="46"/>
      <c r="L10" s="171" t="s">
        <v>100</v>
      </c>
      <c r="M10" s="168">
        <f>IFERROR(VLOOKUP($L10,Outlet!$B$3:$E$19,3,0),0)</f>
        <v>13</v>
      </c>
      <c r="N10" s="168">
        <f>IFERROR(VLOOKUP($L10,Outlet!$B$3:$E$19,4,0),0)</f>
        <v>8</v>
      </c>
      <c r="O10" s="169">
        <f t="shared" si="1"/>
        <v>0.615384615384615</v>
      </c>
      <c r="P10" s="46"/>
      <c r="Q10" s="142" t="s">
        <v>2181</v>
      </c>
      <c r="R10" s="142" t="s">
        <v>2182</v>
      </c>
      <c r="S10" s="142" t="s">
        <v>2183</v>
      </c>
      <c r="T10" s="194" t="s">
        <v>2184</v>
      </c>
      <c r="U10" s="194">
        <v>8</v>
      </c>
      <c r="V10" s="142" t="s">
        <v>2185</v>
      </c>
      <c r="W10" s="142" t="s">
        <v>2186</v>
      </c>
    </row>
    <row r="11" spans="1:23">
      <c r="A11" s="59" t="s">
        <v>2187</v>
      </c>
      <c r="B11" s="59" t="s">
        <v>2188</v>
      </c>
      <c r="C11" s="59" t="s">
        <v>363</v>
      </c>
      <c r="K11" s="46"/>
      <c r="L11" s="173" t="s">
        <v>19</v>
      </c>
      <c r="M11" s="168">
        <f>IFERROR(VLOOKUP($L11,Outlet!$B$3:$E$19,3,0),0)</f>
        <v>8</v>
      </c>
      <c r="N11" s="168">
        <f>IFERROR(VLOOKUP($L11,Outlet!$B$3:$E$19,4,0),0)</f>
        <v>5</v>
      </c>
      <c r="O11" s="169">
        <f>IFERROR((N11/M11),0)</f>
        <v>0.625</v>
      </c>
      <c r="P11" s="46"/>
      <c r="Q11" s="142" t="s">
        <v>2189</v>
      </c>
      <c r="R11" s="142" t="s">
        <v>34</v>
      </c>
      <c r="S11" s="142" t="s">
        <v>2190</v>
      </c>
      <c r="T11" s="194" t="s">
        <v>2191</v>
      </c>
      <c r="U11" s="194">
        <v>118</v>
      </c>
      <c r="V11" s="142" t="s">
        <v>2192</v>
      </c>
      <c r="W11" s="142" t="s">
        <v>2193</v>
      </c>
    </row>
    <row r="12" spans="1:23">
      <c r="A12" s="59" t="s">
        <v>632</v>
      </c>
      <c r="B12" s="59" t="s">
        <v>633</v>
      </c>
      <c r="C12" s="59" t="s">
        <v>443</v>
      </c>
      <c r="K12" s="46"/>
      <c r="L12" s="171" t="s">
        <v>23</v>
      </c>
      <c r="M12" s="168">
        <f>IFERROR(VLOOKUP($L12,Outlet!$B$3:$E$19,3,0),0)</f>
        <v>19</v>
      </c>
      <c r="N12" s="168">
        <f>IFERROR(VLOOKUP($L12,Outlet!$B$3:$E$19,4,0),0)</f>
        <v>11</v>
      </c>
      <c r="O12" s="169">
        <f t="shared" si="1"/>
        <v>0.578947368421053</v>
      </c>
      <c r="P12" s="46"/>
      <c r="Q12" s="142" t="s">
        <v>2194</v>
      </c>
      <c r="R12" s="142" t="s">
        <v>2195</v>
      </c>
      <c r="S12" s="142" t="s">
        <v>2196</v>
      </c>
      <c r="T12" s="194" t="s">
        <v>2197</v>
      </c>
      <c r="U12" s="194">
        <v>27</v>
      </c>
      <c r="V12" s="142" t="s">
        <v>2198</v>
      </c>
      <c r="W12" s="142" t="s">
        <v>2149</v>
      </c>
    </row>
    <row r="13" spans="1:23">
      <c r="A13" s="59" t="s">
        <v>749</v>
      </c>
      <c r="B13" s="59" t="s">
        <v>750</v>
      </c>
      <c r="C13" s="59" t="s">
        <v>619</v>
      </c>
      <c r="K13" s="46"/>
      <c r="L13" s="171" t="s">
        <v>25</v>
      </c>
      <c r="M13" s="168">
        <f>IFERROR(VLOOKUP($L13,Outlet!$B$3:$E$19,3,0),0)</f>
        <v>11</v>
      </c>
      <c r="N13" s="168">
        <f>IFERROR(VLOOKUP($L13,Outlet!$B$3:$E$19,4,0),0)</f>
        <v>6</v>
      </c>
      <c r="O13" s="169">
        <f t="shared" si="1"/>
        <v>0.545454545454545</v>
      </c>
      <c r="P13" s="46"/>
      <c r="Q13" s="142" t="s">
        <v>2199</v>
      </c>
      <c r="R13" s="142" t="s">
        <v>125</v>
      </c>
      <c r="S13" s="142" t="s">
        <v>2200</v>
      </c>
      <c r="T13" s="194" t="s">
        <v>2201</v>
      </c>
      <c r="U13" s="194">
        <v>22</v>
      </c>
      <c r="V13" s="142" t="s">
        <v>2202</v>
      </c>
      <c r="W13" s="142" t="s">
        <v>2149</v>
      </c>
    </row>
    <row r="14" spans="1:23">
      <c r="A14" s="59" t="s">
        <v>506</v>
      </c>
      <c r="B14" s="59" t="s">
        <v>507</v>
      </c>
      <c r="C14" s="59" t="s">
        <v>639</v>
      </c>
      <c r="K14" s="46"/>
      <c r="L14" s="171" t="s">
        <v>175</v>
      </c>
      <c r="M14" s="168">
        <f>IFERROR(VLOOKUP($L14,Outlet!$B$3:$E$19,3,0),0)</f>
        <v>9</v>
      </c>
      <c r="N14" s="168">
        <f>IFERROR(VLOOKUP($L14,Outlet!$B$3:$E$19,4,0),0)</f>
        <v>5</v>
      </c>
      <c r="O14" s="169">
        <f t="shared" si="1"/>
        <v>0.555555555555556</v>
      </c>
      <c r="P14" s="46"/>
      <c r="Q14" s="142" t="s">
        <v>2203</v>
      </c>
      <c r="R14" s="142" t="s">
        <v>2204</v>
      </c>
      <c r="S14" s="194" t="s">
        <v>2205</v>
      </c>
      <c r="T14" s="194" t="s">
        <v>2206</v>
      </c>
      <c r="U14" s="194">
        <v>282</v>
      </c>
      <c r="V14" s="142"/>
      <c r="W14" s="142"/>
    </row>
    <row r="15" spans="1:23">
      <c r="A15" s="59" t="s">
        <v>436</v>
      </c>
      <c r="B15" s="59" t="s">
        <v>437</v>
      </c>
      <c r="C15" s="59" t="s">
        <v>1279</v>
      </c>
      <c r="G15">
        <v>11</v>
      </c>
      <c r="K15" s="46"/>
      <c r="L15" s="171" t="s">
        <v>38</v>
      </c>
      <c r="M15" s="168">
        <f>IFERROR(VLOOKUP($L15,Outlet!$B$3:$E$19,3,0),0)</f>
        <v>25</v>
      </c>
      <c r="N15" s="168">
        <f>IFERROR(VLOOKUP($L15,Outlet!$B$3:$E$19,4,0),0)</f>
        <v>12</v>
      </c>
      <c r="O15" s="174">
        <f t="shared" si="1"/>
        <v>0.48</v>
      </c>
      <c r="P15" s="46"/>
      <c r="Q15" s="142" t="s">
        <v>2207</v>
      </c>
      <c r="R15" s="142" t="s">
        <v>2208</v>
      </c>
      <c r="S15" s="194" t="s">
        <v>2209</v>
      </c>
      <c r="T15" s="194" t="s">
        <v>2210</v>
      </c>
      <c r="U15" s="194">
        <v>293</v>
      </c>
      <c r="V15" s="142"/>
      <c r="W15" s="142"/>
    </row>
    <row r="16" spans="1:23">
      <c r="A16" s="59" t="s">
        <v>2211</v>
      </c>
      <c r="B16" s="59" t="s">
        <v>1301</v>
      </c>
      <c r="C16" s="59" t="s">
        <v>2212</v>
      </c>
      <c r="G16">
        <v>5</v>
      </c>
      <c r="K16" s="46"/>
      <c r="L16" s="171" t="s">
        <v>125</v>
      </c>
      <c r="M16" s="168">
        <f>IFERROR(VLOOKUP($L16,Outlet!$B$3:$E$19,3,0),0)</f>
        <v>10</v>
      </c>
      <c r="N16" s="168">
        <f>IFERROR(VLOOKUP($L16,Outlet!$B$3:$E$19,4,0),0)</f>
        <v>4</v>
      </c>
      <c r="O16" s="174">
        <f t="shared" si="1"/>
        <v>0.4</v>
      </c>
      <c r="P16" s="46"/>
      <c r="Q16" s="147" t="s">
        <v>2213</v>
      </c>
      <c r="R16" s="147" t="s">
        <v>2214</v>
      </c>
      <c r="S16" s="147" t="s">
        <v>2215</v>
      </c>
      <c r="T16" s="195" t="s">
        <v>2216</v>
      </c>
      <c r="U16" s="195">
        <v>245</v>
      </c>
      <c r="V16" s="142"/>
      <c r="W16" s="142"/>
    </row>
    <row r="17" spans="1:23">
      <c r="A17" s="59" t="s">
        <v>423</v>
      </c>
      <c r="B17" s="59" t="s">
        <v>424</v>
      </c>
      <c r="C17" s="59" t="s">
        <v>363</v>
      </c>
      <c r="K17" s="46"/>
      <c r="L17" s="171" t="s">
        <v>34</v>
      </c>
      <c r="M17" s="168">
        <f>IFERROR(VLOOKUP($L17,Outlet!$B$3:$E$19,3,0),0)</f>
        <v>14</v>
      </c>
      <c r="N17" s="168">
        <f>IFERROR(VLOOKUP($L17,Outlet!$B$3:$E$19,4,0),0)</f>
        <v>6</v>
      </c>
      <c r="O17" s="174">
        <f t="shared" si="1"/>
        <v>0.428571428571429</v>
      </c>
      <c r="P17" s="46"/>
      <c r="Q17" s="147" t="s">
        <v>2217</v>
      </c>
      <c r="R17" s="147" t="s">
        <v>2218</v>
      </c>
      <c r="S17" s="147" t="s">
        <v>2219</v>
      </c>
      <c r="T17" s="195" t="s">
        <v>2220</v>
      </c>
      <c r="U17" s="195">
        <v>273</v>
      </c>
      <c r="V17" s="142" t="s">
        <v>2221</v>
      </c>
      <c r="W17" s="142"/>
    </row>
    <row r="18" spans="1:23">
      <c r="A18" s="59" t="s">
        <v>589</v>
      </c>
      <c r="B18" s="59" t="s">
        <v>590</v>
      </c>
      <c r="C18" s="60" t="s">
        <v>353</v>
      </c>
      <c r="K18" s="46"/>
      <c r="L18" s="171" t="s">
        <v>11</v>
      </c>
      <c r="M18" s="168">
        <f>IFERROR(VLOOKUP($L18,Outlet!$B$3:$E$19,3,0),0)</f>
        <v>1</v>
      </c>
      <c r="N18" s="168">
        <f>IFERROR(VLOOKUP($L18,Outlet!$B$3:$E$19,4,0),0)</f>
        <v>0</v>
      </c>
      <c r="O18" s="174">
        <f t="shared" si="1"/>
        <v>0</v>
      </c>
      <c r="P18" s="46"/>
      <c r="Q18" s="147" t="s">
        <v>2222</v>
      </c>
      <c r="R18" s="147" t="s">
        <v>2223</v>
      </c>
      <c r="S18" s="147" t="s">
        <v>2224</v>
      </c>
      <c r="T18" s="195" t="s">
        <v>2225</v>
      </c>
      <c r="U18" s="195">
        <v>263</v>
      </c>
      <c r="V18" s="142"/>
      <c r="W18" s="142"/>
    </row>
    <row r="19" ht="17.1" customHeight="1" spans="1:23">
      <c r="A19" s="59" t="s">
        <v>417</v>
      </c>
      <c r="B19" s="59" t="s">
        <v>366</v>
      </c>
      <c r="C19" s="60"/>
      <c r="K19" s="46"/>
      <c r="L19" s="167" t="s">
        <v>187</v>
      </c>
      <c r="M19" s="168">
        <f>IFERROR(VLOOKUP($L19,Outlet!$B$3:$E$19,3,0),0)</f>
        <v>0</v>
      </c>
      <c r="N19" s="168">
        <f>IFERROR(VLOOKUP($L19,Outlet!$B$3:$E$19,4,0),0)</f>
        <v>0</v>
      </c>
      <c r="O19" s="175">
        <f t="shared" si="1"/>
        <v>0</v>
      </c>
      <c r="P19" s="46"/>
      <c r="Q19" s="147" t="s">
        <v>2226</v>
      </c>
      <c r="R19" s="147" t="s">
        <v>2227</v>
      </c>
      <c r="S19" s="147" t="s">
        <v>2228</v>
      </c>
      <c r="T19" s="195" t="s">
        <v>2229</v>
      </c>
      <c r="U19" s="195">
        <v>239</v>
      </c>
      <c r="V19" s="142"/>
      <c r="W19" s="142"/>
    </row>
    <row r="20" spans="1:23">
      <c r="A20" s="59" t="s">
        <v>2230</v>
      </c>
      <c r="B20" s="59" t="s">
        <v>2231</v>
      </c>
      <c r="C20" s="60"/>
      <c r="L20" s="176" t="s">
        <v>46</v>
      </c>
      <c r="M20" s="177">
        <f>SUM(M3:M19)</f>
        <v>185</v>
      </c>
      <c r="N20" s="178">
        <f>SUM(N3:N19)</f>
        <v>109</v>
      </c>
      <c r="O20" s="179">
        <f t="shared" si="1"/>
        <v>0.589189189189189</v>
      </c>
      <c r="Q20" s="151"/>
      <c r="R20" s="147" t="s">
        <v>2232</v>
      </c>
      <c r="S20" s="151"/>
      <c r="T20" s="195" t="s">
        <v>2233</v>
      </c>
      <c r="U20" s="151">
        <v>299</v>
      </c>
      <c r="V20" s="142"/>
      <c r="W20" s="142"/>
    </row>
    <row r="21" spans="1:3">
      <c r="A21" s="59" t="s">
        <v>2234</v>
      </c>
      <c r="B21" s="59" t="s">
        <v>411</v>
      </c>
      <c r="C21" s="60"/>
    </row>
    <row r="22" spans="1:15">
      <c r="A22" s="59" t="s">
        <v>410</v>
      </c>
      <c r="B22" s="59" t="s">
        <v>411</v>
      </c>
      <c r="C22" s="60"/>
      <c r="L22" s="160" t="str">
        <f ca="1">CONCATENATE("Nexa Cochin IH Performance as on - ",TEXT(TODAY()-1,"dd-mmm-yy"))</f>
        <v>Nexa Cochin IH Performance as on - 29-Mar-26</v>
      </c>
      <c r="M22" s="161"/>
      <c r="N22" s="161"/>
      <c r="O22" s="162"/>
    </row>
    <row r="23" spans="1:18">
      <c r="A23" s="59" t="s">
        <v>2235</v>
      </c>
      <c r="B23" s="59" t="s">
        <v>2236</v>
      </c>
      <c r="C23" s="60"/>
      <c r="F23" s="159"/>
      <c r="G23" s="159"/>
      <c r="L23" s="180" t="s">
        <v>2237</v>
      </c>
      <c r="M23" s="165" t="s">
        <v>3</v>
      </c>
      <c r="N23" s="165" t="s">
        <v>51</v>
      </c>
      <c r="O23" s="181" t="s">
        <v>284</v>
      </c>
      <c r="R23" s="196" t="s">
        <v>2238</v>
      </c>
    </row>
    <row r="24" spans="1:18">
      <c r="A24" s="59" t="s">
        <v>2239</v>
      </c>
      <c r="B24" s="59" t="s">
        <v>861</v>
      </c>
      <c r="C24" s="60"/>
      <c r="F24" s="159"/>
      <c r="G24" s="159"/>
      <c r="L24" s="182" t="s">
        <v>133</v>
      </c>
      <c r="M24" s="183">
        <v>16</v>
      </c>
      <c r="N24" s="183">
        <v>16</v>
      </c>
      <c r="O24" s="169">
        <v>1</v>
      </c>
      <c r="R24" s="197" t="s">
        <v>2240</v>
      </c>
    </row>
    <row r="25" spans="1:15">
      <c r="A25" s="59" t="s">
        <v>2241</v>
      </c>
      <c r="B25" s="59" t="s">
        <v>2242</v>
      </c>
      <c r="C25" s="60"/>
      <c r="F25" s="159"/>
      <c r="G25" s="159"/>
      <c r="L25" s="182" t="s">
        <v>282</v>
      </c>
      <c r="M25" s="183">
        <v>25</v>
      </c>
      <c r="N25" s="183">
        <v>21</v>
      </c>
      <c r="O25" s="169">
        <v>0.84</v>
      </c>
    </row>
    <row r="26" ht="15" customHeight="1" spans="1:15">
      <c r="A26" s="59" t="s">
        <v>596</v>
      </c>
      <c r="B26" s="59" t="s">
        <v>377</v>
      </c>
      <c r="C26" s="60"/>
      <c r="F26" s="159"/>
      <c r="G26" s="159"/>
      <c r="L26" s="182" t="s">
        <v>45</v>
      </c>
      <c r="M26" s="183">
        <v>28</v>
      </c>
      <c r="N26" s="183">
        <v>22</v>
      </c>
      <c r="O26" s="169">
        <v>0.785714285714286</v>
      </c>
    </row>
    <row r="27" spans="1:15">
      <c r="A27" s="59" t="s">
        <v>795</v>
      </c>
      <c r="B27" s="59" t="s">
        <v>796</v>
      </c>
      <c r="C27" s="60"/>
      <c r="F27" s="159"/>
      <c r="G27" s="159"/>
      <c r="L27" s="184" t="s">
        <v>129</v>
      </c>
      <c r="M27" s="183">
        <v>14</v>
      </c>
      <c r="N27" s="183">
        <v>9</v>
      </c>
      <c r="O27" s="169">
        <v>0.642857142857143</v>
      </c>
    </row>
    <row r="28" spans="1:15">
      <c r="A28" s="59" t="s">
        <v>385</v>
      </c>
      <c r="B28" s="59" t="s">
        <v>386</v>
      </c>
      <c r="C28" s="60"/>
      <c r="F28" s="159"/>
      <c r="G28" s="159"/>
      <c r="L28" s="182" t="s">
        <v>131</v>
      </c>
      <c r="M28" s="183">
        <v>13</v>
      </c>
      <c r="N28" s="183">
        <v>8</v>
      </c>
      <c r="O28" s="169">
        <v>0.615384615384615</v>
      </c>
    </row>
    <row r="29" spans="1:15">
      <c r="A29" s="59" t="s">
        <v>776</v>
      </c>
      <c r="B29" s="59" t="s">
        <v>777</v>
      </c>
      <c r="C29" s="60"/>
      <c r="F29" s="159"/>
      <c r="G29" s="159"/>
      <c r="L29" s="182" t="s">
        <v>124</v>
      </c>
      <c r="M29" s="183">
        <v>14</v>
      </c>
      <c r="N29" s="183">
        <v>7</v>
      </c>
      <c r="O29" s="174">
        <v>0.5</v>
      </c>
    </row>
    <row r="30" spans="1:15">
      <c r="A30" s="59" t="s">
        <v>2243</v>
      </c>
      <c r="B30" s="59" t="s">
        <v>2244</v>
      </c>
      <c r="C30" s="60"/>
      <c r="F30" s="159"/>
      <c r="G30" s="159"/>
      <c r="L30" s="182" t="s">
        <v>149</v>
      </c>
      <c r="M30" s="183">
        <v>8</v>
      </c>
      <c r="N30" s="183">
        <v>3</v>
      </c>
      <c r="O30" s="174">
        <v>0.375</v>
      </c>
    </row>
    <row r="31" spans="1:15">
      <c r="A31" s="59" t="s">
        <v>491</v>
      </c>
      <c r="B31" s="59" t="s">
        <v>492</v>
      </c>
      <c r="C31" s="60"/>
      <c r="F31" s="159"/>
      <c r="G31" s="159"/>
      <c r="L31" s="185" t="s">
        <v>46</v>
      </c>
      <c r="M31" s="186">
        <f>SUM(M24:M30)</f>
        <v>118</v>
      </c>
      <c r="N31" s="186">
        <f>SUM(N24:N30)</f>
        <v>86</v>
      </c>
      <c r="O31" s="187">
        <f>N31/M31</f>
        <v>0.728813559322034</v>
      </c>
    </row>
    <row r="32" spans="1:7">
      <c r="A32" s="59" t="s">
        <v>2245</v>
      </c>
      <c r="B32" s="59" t="s">
        <v>367</v>
      </c>
      <c r="C32" s="60"/>
      <c r="F32" s="159"/>
      <c r="G32" s="159"/>
    </row>
    <row r="33" spans="1:15">
      <c r="A33" s="59" t="s">
        <v>355</v>
      </c>
      <c r="B33" s="59" t="s">
        <v>355</v>
      </c>
      <c r="C33" s="59"/>
      <c r="F33" s="159"/>
      <c r="G33" s="159"/>
      <c r="L33" s="188" t="s">
        <v>2246</v>
      </c>
      <c r="M33" s="188"/>
      <c r="N33" s="188"/>
      <c r="O33" s="188"/>
    </row>
    <row r="34" spans="1:15">
      <c r="A34" s="59" t="s">
        <v>2247</v>
      </c>
      <c r="B34" s="59" t="s">
        <v>553</v>
      </c>
      <c r="C34" s="59"/>
      <c r="F34" s="159"/>
      <c r="G34" s="159"/>
      <c r="L34" s="188" t="s">
        <v>2248</v>
      </c>
      <c r="M34" s="188" t="s">
        <v>306</v>
      </c>
      <c r="N34" s="188" t="s">
        <v>272</v>
      </c>
      <c r="O34" s="188" t="s">
        <v>284</v>
      </c>
    </row>
    <row r="35" spans="1:19">
      <c r="A35" s="144" t="s">
        <v>2249</v>
      </c>
      <c r="B35" s="144" t="s">
        <v>2250</v>
      </c>
      <c r="C35" s="138"/>
      <c r="F35" s="159"/>
      <c r="G35" s="159"/>
      <c r="L35" s="53" t="s">
        <v>2251</v>
      </c>
      <c r="M35" s="53">
        <v>201</v>
      </c>
      <c r="N35" s="53">
        <v>121</v>
      </c>
      <c r="O35" s="189">
        <f>IFERROR((N35/M35),0)</f>
        <v>0.601990049751244</v>
      </c>
      <c r="S35" s="189"/>
    </row>
    <row r="36" spans="1:15">
      <c r="A36" s="144" t="s">
        <v>2252</v>
      </c>
      <c r="B36" s="144" t="s">
        <v>2252</v>
      </c>
      <c r="C36" s="138"/>
      <c r="F36" s="159"/>
      <c r="G36" s="159"/>
      <c r="L36" s="53" t="s">
        <v>2253</v>
      </c>
      <c r="M36" s="53">
        <v>65</v>
      </c>
      <c r="N36" s="53">
        <v>33</v>
      </c>
      <c r="O36" s="189">
        <f t="shared" ref="O36:O43" si="2">IFERROR((N36/M36),0)</f>
        <v>0.507692307692308</v>
      </c>
    </row>
    <row r="37" spans="1:15">
      <c r="A37" s="144" t="s">
        <v>2254</v>
      </c>
      <c r="B37" s="144" t="s">
        <v>1671</v>
      </c>
      <c r="F37" s="159"/>
      <c r="G37" s="159"/>
      <c r="L37" s="53" t="s">
        <v>2255</v>
      </c>
      <c r="M37" s="53">
        <v>87</v>
      </c>
      <c r="N37" s="53">
        <v>54</v>
      </c>
      <c r="O37" s="189">
        <f t="shared" si="2"/>
        <v>0.620689655172414</v>
      </c>
    </row>
    <row r="38" spans="12:15">
      <c r="L38" s="53" t="s">
        <v>2256</v>
      </c>
      <c r="M38" s="53">
        <v>54</v>
      </c>
      <c r="N38" s="53">
        <v>31</v>
      </c>
      <c r="O38" s="189">
        <f t="shared" si="2"/>
        <v>0.574074074074074</v>
      </c>
    </row>
    <row r="39" spans="12:15">
      <c r="L39" s="53" t="s">
        <v>2257</v>
      </c>
      <c r="M39" s="53">
        <v>61</v>
      </c>
      <c r="N39" s="53">
        <v>36</v>
      </c>
      <c r="O39" s="189">
        <f t="shared" si="2"/>
        <v>0.590163934426229</v>
      </c>
    </row>
    <row r="40" spans="12:15">
      <c r="L40" s="53" t="s">
        <v>2258</v>
      </c>
      <c r="M40" s="53">
        <v>13</v>
      </c>
      <c r="N40" s="53">
        <v>7</v>
      </c>
      <c r="O40" s="189">
        <f t="shared" si="2"/>
        <v>0.538461538461538</v>
      </c>
    </row>
    <row r="41" spans="12:15">
      <c r="L41" s="53" t="s">
        <v>2259</v>
      </c>
      <c r="M41" s="53">
        <v>9</v>
      </c>
      <c r="N41" s="53">
        <v>6</v>
      </c>
      <c r="O41" s="189">
        <f t="shared" si="2"/>
        <v>0.666666666666667</v>
      </c>
    </row>
    <row r="42" spans="12:15">
      <c r="L42" s="53" t="s">
        <v>2260</v>
      </c>
      <c r="M42" s="53">
        <v>8</v>
      </c>
      <c r="N42" s="53">
        <v>7</v>
      </c>
      <c r="O42" s="189">
        <f t="shared" si="2"/>
        <v>0.875</v>
      </c>
    </row>
    <row r="43" spans="12:15">
      <c r="L43" s="188" t="s">
        <v>43</v>
      </c>
      <c r="M43" s="188">
        <f>SUM(M35:M42)</f>
        <v>498</v>
      </c>
      <c r="N43" s="188">
        <f>SUM(N35:N42)</f>
        <v>295</v>
      </c>
      <c r="O43" s="190">
        <f t="shared" si="2"/>
        <v>0.592369477911647</v>
      </c>
    </row>
  </sheetData>
  <sortState ref="L3:O19">
    <sortCondition ref="O3:O19" descending="1"/>
    <sortCondition ref="M3:M19" descending="1"/>
    <sortCondition ref="N3:N19" descending="1"/>
  </sortState>
  <mergeCells count="4">
    <mergeCell ref="L1:O1"/>
    <mergeCell ref="E2:J2"/>
    <mergeCell ref="L22:O22"/>
    <mergeCell ref="L33:O33"/>
  </mergeCells>
  <conditionalFormatting sqref="A1:C1">
    <cfRule type="duplicateValues" dxfId="1" priority="81"/>
  </conditionalFormatting>
  <conditionalFormatting sqref="L2">
    <cfRule type="duplicateValues" dxfId="0" priority="78" stopIfTrue="1"/>
  </conditionalFormatting>
  <conditionalFormatting sqref="M2">
    <cfRule type="duplicateValues" dxfId="0" priority="77" stopIfTrue="1"/>
  </conditionalFormatting>
  <conditionalFormatting sqref="N2">
    <cfRule type="duplicateValues" dxfId="0" priority="76" stopIfTrue="1"/>
  </conditionalFormatting>
  <conditionalFormatting sqref="L23">
    <cfRule type="duplicateValues" dxfId="0" priority="73" stopIfTrue="1"/>
  </conditionalFormatting>
  <conditionalFormatting sqref="M23">
    <cfRule type="duplicateValues" dxfId="0" priority="72" stopIfTrue="1"/>
  </conditionalFormatting>
  <conditionalFormatting sqref="N23">
    <cfRule type="duplicateValues" dxfId="0" priority="71" stopIfTrue="1"/>
  </conditionalFormatting>
  <conditionalFormatting sqref="A30">
    <cfRule type="duplicateValues" dxfId="1" priority="80"/>
  </conditionalFormatting>
  <conditionalFormatting sqref="B36:B37">
    <cfRule type="duplicateValues" dxfId="1" priority="3"/>
  </conditionalFormatting>
  <conditionalFormatting sqref="C2:C11">
    <cfRule type="duplicateValues" dxfId="1" priority="74"/>
  </conditionalFormatting>
  <conditionalFormatting sqref="C12:C17">
    <cfRule type="duplicateValues" dxfId="1" priority="1"/>
  </conditionalFormatting>
  <conditionalFormatting sqref="C18:C28">
    <cfRule type="duplicateValues" dxfId="1" priority="89"/>
  </conditionalFormatting>
  <conditionalFormatting sqref="A2:B7">
    <cfRule type="duplicateValues" dxfId="1" priority="88"/>
  </conditionalFormatting>
  <conditionalFormatting sqref="A2:B26">
    <cfRule type="duplicateValues" dxfId="1" priority="87"/>
  </conditionalFormatting>
  <conditionalFormatting sqref="A2:B30 A36:A37 A31 B31:B32 A35:B35">
    <cfRule type="duplicateValues" dxfId="1" priority="86"/>
  </conditionalFormatting>
  <conditionalFormatting sqref="A33:C34">
    <cfRule type="duplicateValues" dxfId="1" priority="51"/>
  </conditionalFormatting>
  <hyperlinks>
    <hyperlink ref="W6" r:id="rId1" display="Sai@12345"/>
    <hyperlink ref="W10" r:id="rId2" display="Anm@12345" tooltip="mailto:Anm@12345"/>
    <hyperlink ref="W7" r:id="rId1" display="Sai@12345"/>
    <hyperlink ref="W4" r:id="rId1" display="Sai@12345"/>
    <hyperlink ref="W13" r:id="rId1" display="Sai@12345"/>
    <hyperlink ref="W5" r:id="rId1" display="Sai@12345"/>
    <hyperlink ref="R24" r:id="rId3" display="South-India@312"/>
  </hyperlink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1:P39"/>
  <sheetViews>
    <sheetView zoomScale="85" zoomScaleNormal="85" workbookViewId="0">
      <selection activeCell="J19" sqref="J19"/>
    </sheetView>
  </sheetViews>
  <sheetFormatPr defaultColWidth="9" defaultRowHeight="15"/>
  <cols>
    <col min="1" max="1" width="9" style="138"/>
    <col min="2" max="2" width="17.375" style="138" customWidth="1"/>
    <col min="3" max="9" width="9" style="138"/>
    <col min="10" max="10" width="17.625" style="138" customWidth="1"/>
    <col min="11" max="16384" width="9" style="138"/>
  </cols>
  <sheetData>
    <row r="1" spans="2:16">
      <c r="B1" s="148" t="s">
        <v>2261</v>
      </c>
      <c r="C1" s="148"/>
      <c r="D1" s="148"/>
      <c r="E1" s="148"/>
      <c r="F1" s="148"/>
      <c r="G1" s="148"/>
      <c r="H1" s="148"/>
      <c r="J1" s="148" t="s">
        <v>2262</v>
      </c>
      <c r="K1" s="148"/>
      <c r="L1" s="148"/>
      <c r="M1" s="148"/>
      <c r="N1" s="148"/>
      <c r="O1" s="148"/>
      <c r="P1" s="148"/>
    </row>
    <row r="2" spans="2:16">
      <c r="B2" s="148"/>
      <c r="C2" s="148" t="s">
        <v>50</v>
      </c>
      <c r="D2" s="148"/>
      <c r="E2" s="148"/>
      <c r="F2" s="148" t="s">
        <v>319</v>
      </c>
      <c r="G2" s="148"/>
      <c r="H2" s="148"/>
      <c r="J2" s="148"/>
      <c r="K2" s="148" t="s">
        <v>50</v>
      </c>
      <c r="L2" s="148"/>
      <c r="M2" s="148"/>
      <c r="N2" s="148" t="s">
        <v>319</v>
      </c>
      <c r="O2" s="148"/>
      <c r="P2" s="148"/>
    </row>
    <row r="3" spans="2:16">
      <c r="B3" s="148" t="s">
        <v>2127</v>
      </c>
      <c r="C3" s="148" t="s">
        <v>45</v>
      </c>
      <c r="D3" s="148" t="s">
        <v>42</v>
      </c>
      <c r="E3" s="148" t="s">
        <v>46</v>
      </c>
      <c r="F3" s="148" t="s">
        <v>45</v>
      </c>
      <c r="G3" s="148" t="s">
        <v>42</v>
      </c>
      <c r="H3" s="148" t="s">
        <v>46</v>
      </c>
      <c r="J3" s="148" t="s">
        <v>2129</v>
      </c>
      <c r="K3" s="148" t="s">
        <v>45</v>
      </c>
      <c r="L3" s="148" t="s">
        <v>42</v>
      </c>
      <c r="M3" s="148" t="s">
        <v>46</v>
      </c>
      <c r="N3" s="148" t="s">
        <v>45</v>
      </c>
      <c r="O3" s="148" t="s">
        <v>42</v>
      </c>
      <c r="P3" s="148" t="s">
        <v>46</v>
      </c>
    </row>
    <row r="4" hidden="1" spans="2:16">
      <c r="B4" s="59" t="s">
        <v>355</v>
      </c>
      <c r="C4" s="60">
        <f>COUNTIFS(RETAIL!Q:Q,B4)</f>
        <v>41</v>
      </c>
      <c r="D4" s="60">
        <f>COUNTIFS([1]RETAIL!$Q:$Q,B4)</f>
        <v>25</v>
      </c>
      <c r="E4" s="60">
        <f t="shared" ref="E4:E38" si="0">C4+D4</f>
        <v>66</v>
      </c>
      <c r="F4" s="60">
        <f>COUNTIFS(IH!S:S,"DISBURSED",IH!I:I,B4)</f>
        <v>0</v>
      </c>
      <c r="G4" s="60">
        <f>COUNTIFS([1]IH!$S:$S,"DISBURSED",[1]IH!$I:$I,B4)</f>
        <v>0</v>
      </c>
      <c r="H4" s="60">
        <f t="shared" ref="H4:H38" si="1">F4+G4</f>
        <v>0</v>
      </c>
      <c r="J4" s="59" t="s">
        <v>489</v>
      </c>
      <c r="K4" s="60">
        <f>COUNTIFS(RETAIL!J:J,J4,RETAIL!O:O,"&lt;&gt;OTHERS")</f>
        <v>18</v>
      </c>
      <c r="L4" s="60">
        <f>COUNTIFS([1]RETAIL!$J:$J,J4,[1]RETAIL!$O:$O,"&lt;&gt;OTHERS")</f>
        <v>0</v>
      </c>
      <c r="M4" s="60">
        <f>K4+L4</f>
        <v>18</v>
      </c>
      <c r="N4" s="60">
        <f>COUNTIFS(IH!S:S,"DISBURSED",IH!G:G,J4)</f>
        <v>25</v>
      </c>
      <c r="O4" s="60">
        <f>COUNTIFS([1]IH!$S:$S,"DISBURSED",[1]IH!$G:$G,J4)</f>
        <v>0</v>
      </c>
      <c r="P4" s="60">
        <f>N4+O4</f>
        <v>25</v>
      </c>
    </row>
    <row r="5" spans="2:16">
      <c r="B5" s="60" t="s">
        <v>612</v>
      </c>
      <c r="C5" s="60">
        <f>COUNTIFS(RETAIL!Q:Q,B5)</f>
        <v>10</v>
      </c>
      <c r="D5" s="60">
        <f>COUNTIFS([1]RETAIL!$Q:$Q,B5)</f>
        <v>15</v>
      </c>
      <c r="E5" s="60">
        <f t="shared" si="0"/>
        <v>25</v>
      </c>
      <c r="F5" s="60">
        <f>COUNTIFS(IH!S:S,"DISBURSED",IH!I:I,B5)</f>
        <v>8</v>
      </c>
      <c r="G5" s="60">
        <f>COUNTIFS([1]IH!$S:$S,"DISBURSED",[1]IH!$I:$I,B5)</f>
        <v>17</v>
      </c>
      <c r="H5" s="60">
        <f t="shared" si="1"/>
        <v>25</v>
      </c>
      <c r="J5" s="59" t="s">
        <v>363</v>
      </c>
      <c r="K5" s="60">
        <f>COUNTIFS(RETAIL!J:J,J5,RETAIL!O:O,"&lt;&gt;OTHERS")</f>
        <v>47</v>
      </c>
      <c r="L5" s="60">
        <f>COUNTIFS([1]RETAIL!$J:$J,J5,[1]RETAIL!$O:$O,"&lt;&gt;OTHERS")</f>
        <v>0</v>
      </c>
      <c r="M5" s="60">
        <f t="shared" ref="M5:M28" si="2">K5+L5</f>
        <v>47</v>
      </c>
      <c r="N5" s="60">
        <f>COUNTIFS(IH!S:S,"DISBURSED",IH!G:G,J5)</f>
        <v>29</v>
      </c>
      <c r="O5" s="60">
        <f>COUNTIFS([1]IH!$S:$S,"DISBURSED",[1]IH!$G:$G,J5)</f>
        <v>0</v>
      </c>
      <c r="P5" s="60">
        <f t="shared" ref="P5:P28" si="3">N5+O5</f>
        <v>29</v>
      </c>
    </row>
    <row r="6" hidden="1" spans="2:16">
      <c r="B6" s="59" t="s">
        <v>386</v>
      </c>
      <c r="C6" s="60">
        <f>COUNTIFS(RETAIL!Q:Q,B6)</f>
        <v>6</v>
      </c>
      <c r="D6" s="60">
        <f>COUNTIFS([1]RETAIL!$Q:$Q,B6)</f>
        <v>14</v>
      </c>
      <c r="E6" s="60">
        <f t="shared" si="0"/>
        <v>20</v>
      </c>
      <c r="F6" s="60">
        <f>COUNTIFS(IH!S:S,"DISBURSED",IH!I:I,B6)</f>
        <v>3</v>
      </c>
      <c r="G6" s="60">
        <f>COUNTIFS([1]IH!$S:$S,"DISBURSED",[1]IH!$I:$I,B6)</f>
        <v>12</v>
      </c>
      <c r="H6" s="60">
        <f t="shared" si="1"/>
        <v>15</v>
      </c>
      <c r="J6" s="59" t="s">
        <v>477</v>
      </c>
      <c r="K6" s="60">
        <f>COUNTIFS(RETAIL!J:J,J6,RETAIL!O:O,"&lt;&gt;OTHERS")</f>
        <v>4</v>
      </c>
      <c r="L6" s="60">
        <f>COUNTIFS([1]RETAIL!$J:$J,J6,[1]RETAIL!$O:$O,"&lt;&gt;OTHERS")</f>
        <v>0</v>
      </c>
      <c r="M6" s="60">
        <f t="shared" si="2"/>
        <v>4</v>
      </c>
      <c r="N6" s="60">
        <f>COUNTIFS(IH!S:S,"DISBURSED",IH!G:G,J6)</f>
        <v>3</v>
      </c>
      <c r="O6" s="60">
        <f>COUNTIFS([1]IH!$S:$S,"DISBURSED",[1]IH!$G:$G,J6)</f>
        <v>0</v>
      </c>
      <c r="P6" s="60">
        <f t="shared" si="3"/>
        <v>3</v>
      </c>
    </row>
    <row r="7" hidden="1" spans="2:16">
      <c r="B7" s="59" t="s">
        <v>507</v>
      </c>
      <c r="C7" s="60">
        <f>COUNTIFS(RETAIL!Q:Q,B7)</f>
        <v>15</v>
      </c>
      <c r="D7" s="60">
        <f>COUNTIFS([1]RETAIL!$Q:$Q,B7)</f>
        <v>12</v>
      </c>
      <c r="E7" s="60">
        <f t="shared" si="0"/>
        <v>27</v>
      </c>
      <c r="F7" s="60">
        <f>COUNTIFS(IH!S:S,"DISBURSED",IH!I:I,B7)</f>
        <v>14</v>
      </c>
      <c r="G7" s="60">
        <f>COUNTIFS([1]IH!$S:$S,"DISBURSED",[1]IH!$I:$I,B7)</f>
        <v>11</v>
      </c>
      <c r="H7" s="60">
        <f t="shared" si="1"/>
        <v>25</v>
      </c>
      <c r="J7" s="59" t="s">
        <v>532</v>
      </c>
      <c r="K7" s="60">
        <f>COUNTIFS(RETAIL!J:J,J7,RETAIL!O:O,"&lt;&gt;OTHERS")</f>
        <v>10</v>
      </c>
      <c r="L7" s="60">
        <f>COUNTIFS([1]RETAIL!$J:$J,J7,[1]RETAIL!$O:$O,"&lt;&gt;OTHERS")</f>
        <v>0</v>
      </c>
      <c r="M7" s="60">
        <f t="shared" si="2"/>
        <v>10</v>
      </c>
      <c r="N7" s="60">
        <f>COUNTIFS(IH!S:S,"DISBURSED",IH!G:G,J7)</f>
        <v>11</v>
      </c>
      <c r="O7" s="60">
        <f>COUNTIFS([1]IH!$S:$S,"DISBURSED",[1]IH!$G:$G,J7)</f>
        <v>0</v>
      </c>
      <c r="P7" s="60">
        <f t="shared" si="3"/>
        <v>11</v>
      </c>
    </row>
    <row r="8" hidden="1" spans="2:16">
      <c r="B8" s="59" t="s">
        <v>648</v>
      </c>
      <c r="C8" s="60">
        <f>COUNTIFS(RETAIL!Q:Q,B8)</f>
        <v>6</v>
      </c>
      <c r="D8" s="60">
        <f>COUNTIFS([1]RETAIL!$Q:$Q,B8)</f>
        <v>8</v>
      </c>
      <c r="E8" s="60">
        <f t="shared" si="0"/>
        <v>14</v>
      </c>
      <c r="F8" s="60">
        <f>COUNTIFS(IH!S:S,"DISBURSED",IH!I:I,B8)</f>
        <v>6</v>
      </c>
      <c r="G8" s="60">
        <f>COUNTIFS([1]IH!$S:$S,"DISBURSED",[1]IH!$I:$I,B8)</f>
        <v>9</v>
      </c>
      <c r="H8" s="60">
        <f t="shared" si="1"/>
        <v>15</v>
      </c>
      <c r="J8" s="60" t="s">
        <v>353</v>
      </c>
      <c r="K8" s="60">
        <f>COUNTIFS(RETAIL!J:J,J8,RETAIL!O:O,"&lt;&gt;OTHERS")</f>
        <v>19</v>
      </c>
      <c r="L8" s="60">
        <f>COUNTIFS([1]RETAIL!$J:$J,J8,[1]RETAIL!$O:$O,"&lt;&gt;OTHERS")</f>
        <v>0</v>
      </c>
      <c r="M8" s="60">
        <f t="shared" si="2"/>
        <v>19</v>
      </c>
      <c r="N8" s="60">
        <f>COUNTIFS(IH!S:S,"DISBURSED",IH!G:G,J8)</f>
        <v>10</v>
      </c>
      <c r="O8" s="60">
        <f>COUNTIFS([1]IH!$S:$S,"DISBURSED",[1]IH!$G:$G,J8)</f>
        <v>0</v>
      </c>
      <c r="P8" s="60">
        <f t="shared" si="3"/>
        <v>10</v>
      </c>
    </row>
    <row r="9" hidden="1" spans="2:16">
      <c r="B9" s="59" t="s">
        <v>590</v>
      </c>
      <c r="C9" s="60">
        <f>COUNTIFS(RETAIL!Q:Q,B9)</f>
        <v>4</v>
      </c>
      <c r="D9" s="60">
        <f>COUNTIFS([1]RETAIL!$Q:$Q,B9)</f>
        <v>6</v>
      </c>
      <c r="E9" s="60">
        <f t="shared" si="0"/>
        <v>10</v>
      </c>
      <c r="F9" s="60">
        <f>COUNTIFS(IH!S:S,"DISBURSED",IH!I:I,B9)</f>
        <v>4</v>
      </c>
      <c r="G9" s="60">
        <f>COUNTIFS([1]IH!$S:$S,"DISBURSED",[1]IH!$I:$I,B9)</f>
        <v>5</v>
      </c>
      <c r="H9" s="60">
        <f t="shared" si="1"/>
        <v>9</v>
      </c>
      <c r="J9" s="59" t="s">
        <v>504</v>
      </c>
      <c r="K9" s="60">
        <f>COUNTIFS(RETAIL!J:J,J9,RETAIL!O:O,"&lt;&gt;OTHERS")</f>
        <v>6</v>
      </c>
      <c r="L9" s="60">
        <f>COUNTIFS([1]RETAIL!$J:$J,J9,[1]RETAIL!$O:$O,"&lt;&gt;OTHERS")</f>
        <v>0</v>
      </c>
      <c r="M9" s="60">
        <f t="shared" si="2"/>
        <v>6</v>
      </c>
      <c r="N9" s="60">
        <f>COUNTIFS(IH!S:S,"DISBURSED",IH!G:G,J9)</f>
        <v>4</v>
      </c>
      <c r="O9" s="60">
        <f>COUNTIFS([1]IH!$S:$S,"DISBURSED",[1]IH!$G:$G,J9)</f>
        <v>0</v>
      </c>
      <c r="P9" s="60">
        <f t="shared" si="3"/>
        <v>4</v>
      </c>
    </row>
    <row r="10" hidden="1" spans="2:16">
      <c r="B10" s="59" t="s">
        <v>437</v>
      </c>
      <c r="C10" s="60">
        <f>COUNTIFS(RETAIL!Q:Q,B10)</f>
        <v>11</v>
      </c>
      <c r="D10" s="60">
        <f>COUNTIFS([1]RETAIL!$Q:$Q,B10)</f>
        <v>3</v>
      </c>
      <c r="E10" s="60">
        <f t="shared" si="0"/>
        <v>14</v>
      </c>
      <c r="F10" s="60">
        <f>COUNTIFS(IH!S:S,"DISBURSED",IH!I:I,B10)</f>
        <v>11</v>
      </c>
      <c r="G10" s="60">
        <f>COUNTIFS([1]IH!$S:$S,"DISBURSED",[1]IH!$I:$I,B10)</f>
        <v>4</v>
      </c>
      <c r="H10" s="60">
        <f t="shared" si="1"/>
        <v>15</v>
      </c>
      <c r="J10" s="59" t="s">
        <v>434</v>
      </c>
      <c r="K10" s="60">
        <f>COUNTIFS(RETAIL!J:J,J10,RETAIL!O:O,"&lt;&gt;OTHERS")</f>
        <v>14</v>
      </c>
      <c r="L10" s="60">
        <f>COUNTIFS([1]RETAIL!$J:$J,J10,[1]RETAIL!$O:$O,"&lt;&gt;OTHERS")</f>
        <v>0</v>
      </c>
      <c r="M10" s="60">
        <f t="shared" si="2"/>
        <v>14</v>
      </c>
      <c r="N10" s="60">
        <f>COUNTIFS(IH!S:S,"DISBURSED",IH!G:G,J10)</f>
        <v>11</v>
      </c>
      <c r="O10" s="60">
        <f>COUNTIFS([1]IH!$S:$S,"DISBURSED",[1]IH!$G:$G,J10)</f>
        <v>0</v>
      </c>
      <c r="P10" s="60">
        <f t="shared" si="3"/>
        <v>11</v>
      </c>
    </row>
    <row r="11" hidden="1" spans="2:16">
      <c r="B11" s="59" t="s">
        <v>633</v>
      </c>
      <c r="C11" s="60">
        <f>COUNTIFS(RETAIL!Q:Q,B11)</f>
        <v>7</v>
      </c>
      <c r="D11" s="60">
        <f>COUNTIFS([1]RETAIL!$Q:$Q,B11)</f>
        <v>4</v>
      </c>
      <c r="E11" s="60">
        <f t="shared" si="0"/>
        <v>11</v>
      </c>
      <c r="F11" s="60">
        <f>COUNTIFS(IH!S:S,"DISBURSED",IH!I:I,B11)</f>
        <v>3</v>
      </c>
      <c r="G11" s="60">
        <f>COUNTIFS([1]IH!$S:$S,"DISBURSED",[1]IH!$I:$I,B11)</f>
        <v>1</v>
      </c>
      <c r="H11" s="60">
        <f t="shared" si="1"/>
        <v>4</v>
      </c>
      <c r="J11" s="59" t="s">
        <v>463</v>
      </c>
      <c r="K11" s="60">
        <f>COUNTIFS(RETAIL!J:J,J11,RETAIL!O:O,"&lt;&gt;OTHERS")</f>
        <v>9</v>
      </c>
      <c r="L11" s="60">
        <f>COUNTIFS([1]RETAIL!$J:$J,J11,[1]RETAIL!$O:$O,"&lt;&gt;OTHERS")</f>
        <v>0</v>
      </c>
      <c r="M11" s="60">
        <f t="shared" si="2"/>
        <v>9</v>
      </c>
      <c r="N11" s="60">
        <f>COUNTIFS(IH!S:S,"DISBURSED",IH!G:G,J11)</f>
        <v>4</v>
      </c>
      <c r="O11" s="60">
        <f>COUNTIFS([1]IH!$S:$S,"DISBURSED",[1]IH!$G:$G,J11)</f>
        <v>0</v>
      </c>
      <c r="P11" s="60">
        <f t="shared" si="3"/>
        <v>4</v>
      </c>
    </row>
    <row r="12" hidden="1" spans="2:16">
      <c r="B12" s="59" t="s">
        <v>796</v>
      </c>
      <c r="C12" s="60">
        <f>COUNTIFS(RETAIL!Q:Q,B12)</f>
        <v>2</v>
      </c>
      <c r="D12" s="60">
        <f>COUNTIFS([1]RETAIL!$Q:$Q,B12)</f>
        <v>4</v>
      </c>
      <c r="E12" s="60">
        <f t="shared" si="0"/>
        <v>6</v>
      </c>
      <c r="F12" s="60">
        <f>COUNTIFS(IH!S:S,"DISBURSED",IH!I:I,B12)</f>
        <v>1</v>
      </c>
      <c r="G12" s="60">
        <f>COUNTIFS([1]IH!$S:$S,"DISBURSED",[1]IH!$I:$I,B12)</f>
        <v>4</v>
      </c>
      <c r="H12" s="60">
        <f t="shared" si="1"/>
        <v>5</v>
      </c>
      <c r="J12" s="59" t="s">
        <v>683</v>
      </c>
      <c r="K12" s="60">
        <f>COUNTIFS(RETAIL!J:J,J12,RETAIL!O:O,"&lt;&gt;OTHERS")</f>
        <v>7</v>
      </c>
      <c r="L12" s="60">
        <f>COUNTIFS([1]RETAIL!$J:$J,J12,[1]RETAIL!$O:$O,"&lt;&gt;OTHERS")</f>
        <v>0</v>
      </c>
      <c r="M12" s="60">
        <f t="shared" si="2"/>
        <v>7</v>
      </c>
      <c r="N12" s="60">
        <f>COUNTIFS(IH!S:S,"DISBURSED",IH!G:G,J12)</f>
        <v>3</v>
      </c>
      <c r="O12" s="60">
        <f>COUNTIFS([1]IH!$S:$S,"DISBURSED",[1]IH!$G:$G,J12)</f>
        <v>0</v>
      </c>
      <c r="P12" s="60">
        <f t="shared" si="3"/>
        <v>3</v>
      </c>
    </row>
    <row r="13" spans="2:16">
      <c r="B13" s="59" t="s">
        <v>777</v>
      </c>
      <c r="C13" s="60">
        <f>COUNTIFS(RETAIL!Q:Q,B13)</f>
        <v>6</v>
      </c>
      <c r="D13" s="60">
        <f>COUNTIFS([1]RETAIL!$Q:$Q,B13)</f>
        <v>3</v>
      </c>
      <c r="E13" s="60">
        <f t="shared" si="0"/>
        <v>9</v>
      </c>
      <c r="F13" s="60">
        <f>COUNTIFS(IH!S:S,"DISBURSED",IH!I:I,B13)</f>
        <v>7</v>
      </c>
      <c r="G13" s="60">
        <f>COUNTIFS([1]IH!$S:$S,"DISBURSED",[1]IH!$I:$I,B13)</f>
        <v>3</v>
      </c>
      <c r="H13" s="60">
        <f t="shared" si="1"/>
        <v>10</v>
      </c>
      <c r="J13" s="59" t="s">
        <v>443</v>
      </c>
      <c r="K13" s="60">
        <f>COUNTIFS(RETAIL!J:J,J13,RETAIL!O:O,"&lt;&gt;OTHERS")</f>
        <v>17</v>
      </c>
      <c r="L13" s="60">
        <f>COUNTIFS([1]RETAIL!$J:$J,J13,[1]RETAIL!$O:$O,"&lt;&gt;OTHERS")</f>
        <v>0</v>
      </c>
      <c r="M13" s="60">
        <f t="shared" si="2"/>
        <v>17</v>
      </c>
      <c r="N13" s="60">
        <f>COUNTIFS(IH!S:S,"DISBURSED",IH!G:G,J13)</f>
        <v>4</v>
      </c>
      <c r="O13" s="60">
        <f>COUNTIFS([1]IH!$S:$S,"DISBURSED",[1]IH!$G:$G,J13)</f>
        <v>0</v>
      </c>
      <c r="P13" s="60">
        <f t="shared" si="3"/>
        <v>4</v>
      </c>
    </row>
    <row r="14" hidden="1" spans="2:16">
      <c r="B14" s="58" t="s">
        <v>466</v>
      </c>
      <c r="C14" s="60">
        <f>COUNTIFS(RETAIL!Q:Q,B14)</f>
        <v>1</v>
      </c>
      <c r="D14" s="60">
        <f>COUNTIFS([1]RETAIL!$Q:$Q,B14)</f>
        <v>3</v>
      </c>
      <c r="E14" s="60">
        <f t="shared" si="0"/>
        <v>4</v>
      </c>
      <c r="F14" s="60">
        <f>COUNTIFS(IH!S:S,"DISBURSED",IH!I:I,B14)</f>
        <v>1</v>
      </c>
      <c r="G14" s="60">
        <f>COUNTIFS([1]IH!$S:$S,"DISBURSED",[1]IH!$I:$I,B14)</f>
        <v>3</v>
      </c>
      <c r="H14" s="60">
        <f t="shared" si="1"/>
        <v>4</v>
      </c>
      <c r="J14" s="59" t="s">
        <v>735</v>
      </c>
      <c r="K14" s="60">
        <f>COUNTIFS(RETAIL!J:J,J14,RETAIL!O:O,"&lt;&gt;OTHERS")</f>
        <v>2</v>
      </c>
      <c r="L14" s="60">
        <f>COUNTIFS([1]RETAIL!$J:$J,J14,[1]RETAIL!$O:$O,"&lt;&gt;OTHERS")</f>
        <v>0</v>
      </c>
      <c r="M14" s="60">
        <f t="shared" si="2"/>
        <v>2</v>
      </c>
      <c r="N14" s="60">
        <f>COUNTIFS(IH!S:S,"DISBURSED",IH!G:G,J14)</f>
        <v>0</v>
      </c>
      <c r="O14" s="60">
        <f>COUNTIFS([1]IH!$S:$S,"DISBURSED",[1]IH!$G:$G,J14)</f>
        <v>0</v>
      </c>
      <c r="P14" s="60">
        <f t="shared" si="3"/>
        <v>0</v>
      </c>
    </row>
    <row r="15" spans="2:16">
      <c r="B15" s="59" t="s">
        <v>831</v>
      </c>
      <c r="C15" s="60">
        <f>COUNTIFS(RETAIL!Q:Q,B15)</f>
        <v>1</v>
      </c>
      <c r="D15" s="60">
        <f>COUNTIFS([1]RETAIL!$Q:$Q,B15)</f>
        <v>3</v>
      </c>
      <c r="E15" s="60">
        <f t="shared" si="0"/>
        <v>4</v>
      </c>
      <c r="F15" s="60">
        <f>COUNTIFS(IH!S:S,"DISBURSED",IH!I:I,B15)</f>
        <v>0</v>
      </c>
      <c r="G15" s="60">
        <f>COUNTIFS([1]IH!$S:$S,"DISBURSED",[1]IH!$I:$I,B15)</f>
        <v>2</v>
      </c>
      <c r="H15" s="60">
        <f t="shared" si="1"/>
        <v>2</v>
      </c>
      <c r="J15" s="59" t="s">
        <v>619</v>
      </c>
      <c r="K15" s="60">
        <f>COUNTIFS(RETAIL!J:J,J15,RETAIL!O:O,"&lt;&gt;OTHERS")</f>
        <v>8</v>
      </c>
      <c r="L15" s="60">
        <f>COUNTIFS([1]RETAIL!$J:$J,J15,[1]RETAIL!$O:$O,"&lt;&gt;OTHERS")</f>
        <v>0</v>
      </c>
      <c r="M15" s="60">
        <f t="shared" si="2"/>
        <v>8</v>
      </c>
      <c r="N15" s="60">
        <f>COUNTIFS(IH!S:S,"DISBURSED",IH!G:G,J15)</f>
        <v>3</v>
      </c>
      <c r="O15" s="60">
        <f>COUNTIFS([1]IH!$S:$S,"DISBURSED",[1]IH!$G:$G,J15)</f>
        <v>0</v>
      </c>
      <c r="P15" s="60">
        <f t="shared" si="3"/>
        <v>3</v>
      </c>
    </row>
    <row r="16" spans="2:16">
      <c r="B16" s="60" t="s">
        <v>1018</v>
      </c>
      <c r="C16" s="60">
        <f>COUNTIFS(RETAIL!Q:Q,B16)</f>
        <v>5</v>
      </c>
      <c r="D16" s="60">
        <f>COUNTIFS([1]RETAIL!$Q:$Q,B16)</f>
        <v>2</v>
      </c>
      <c r="E16" s="60">
        <f t="shared" si="0"/>
        <v>7</v>
      </c>
      <c r="F16" s="60">
        <f>COUNTIFS(IH!S:S,"DISBURSED",IH!I:I,B16)</f>
        <v>2</v>
      </c>
      <c r="G16" s="60">
        <f>COUNTIFS([1]IH!$S:$S,"DISBURSED",[1]IH!$I:$I,B16)</f>
        <v>2</v>
      </c>
      <c r="H16" s="60">
        <f t="shared" si="1"/>
        <v>4</v>
      </c>
      <c r="J16" s="59" t="s">
        <v>639</v>
      </c>
      <c r="K16" s="60">
        <f>COUNTIFS(RETAIL!J:J,J16,RETAIL!O:O,"&lt;&gt;OTHERS")</f>
        <v>4</v>
      </c>
      <c r="L16" s="60">
        <f>COUNTIFS([1]RETAIL!$J:$J,J16,[1]RETAIL!$O:$O,"&lt;&gt;OTHERS")</f>
        <v>0</v>
      </c>
      <c r="M16" s="60">
        <f t="shared" si="2"/>
        <v>4</v>
      </c>
      <c r="N16" s="60">
        <f>COUNTIFS(IH!S:S,"DISBURSED",IH!G:G,J16)</f>
        <v>2</v>
      </c>
      <c r="O16" s="60">
        <f>COUNTIFS([1]IH!$S:$S,"DISBURSED",[1]IH!$G:$G,J16)</f>
        <v>0</v>
      </c>
      <c r="P16" s="60">
        <f t="shared" si="3"/>
        <v>2</v>
      </c>
    </row>
    <row r="17" hidden="1" spans="2:16">
      <c r="B17" s="59" t="s">
        <v>457</v>
      </c>
      <c r="C17" s="60">
        <f>COUNTIFS(RETAIL!Q:Q,B17)</f>
        <v>13</v>
      </c>
      <c r="D17" s="60">
        <f>COUNTIFS([1]RETAIL!$Q:$Q,B17)</f>
        <v>3</v>
      </c>
      <c r="E17" s="60">
        <f t="shared" si="0"/>
        <v>16</v>
      </c>
      <c r="F17" s="60">
        <f>COUNTIFS(IH!S:S,"DISBURSED",IH!I:I,B17)</f>
        <v>13</v>
      </c>
      <c r="G17" s="60">
        <f>COUNTIFS([1]IH!$S:$S,"DISBURSED",[1]IH!$I:$I,B17)</f>
        <v>3</v>
      </c>
      <c r="H17" s="60">
        <f t="shared" si="1"/>
        <v>16</v>
      </c>
      <c r="J17" s="59" t="s">
        <v>2166</v>
      </c>
      <c r="K17" s="60">
        <f>COUNTIFS(RETAIL!J:J,J17,RETAIL!O:O,"&lt;&gt;OTHERS")</f>
        <v>0</v>
      </c>
      <c r="L17" s="60">
        <f>COUNTIFS([1]RETAIL!$J:$J,J17,[1]RETAIL!$O:$O,"&lt;&gt;OTHERS")</f>
        <v>0</v>
      </c>
      <c r="M17" s="60">
        <f t="shared" si="2"/>
        <v>0</v>
      </c>
      <c r="N17" s="60">
        <f>COUNTIFS(IH!S:S,"DISBURSED",IH!G:G,J17)</f>
        <v>0</v>
      </c>
      <c r="O17" s="60">
        <f>COUNTIFS([1]IH!$S:$S,"DISBURSED",[1]IH!$G:$G,J17)</f>
        <v>0</v>
      </c>
      <c r="P17" s="60">
        <f t="shared" si="3"/>
        <v>0</v>
      </c>
    </row>
    <row r="18" spans="2:16">
      <c r="B18" s="59" t="s">
        <v>377</v>
      </c>
      <c r="C18" s="60">
        <f>COUNTIFS(RETAIL!Q:Q,B18)</f>
        <v>15</v>
      </c>
      <c r="D18" s="60">
        <f>COUNTIFS([1]RETAIL!$Q:$Q,B18)</f>
        <v>2</v>
      </c>
      <c r="E18" s="60">
        <f t="shared" si="0"/>
        <v>17</v>
      </c>
      <c r="F18" s="60">
        <f>COUNTIFS(IH!S:S,"DISBURSED",IH!I:I,B18)</f>
        <v>0</v>
      </c>
      <c r="G18" s="60">
        <f>COUNTIFS([1]IH!$S:$S,"DISBURSED",[1]IH!$I:$I,B18)</f>
        <v>0</v>
      </c>
      <c r="H18" s="60">
        <f t="shared" si="1"/>
        <v>0</v>
      </c>
      <c r="J18" s="59" t="s">
        <v>1279</v>
      </c>
      <c r="K18" s="60">
        <f>COUNTIFS(RETAIL!J:J,J18,RETAIL!O:O,"&lt;&gt;OTHERS")</f>
        <v>1</v>
      </c>
      <c r="L18" s="60">
        <f>COUNTIFS([1]RETAIL!$J:$J,J18,[1]RETAIL!$O:$O,"&lt;&gt;OTHERS")</f>
        <v>0</v>
      </c>
      <c r="M18" s="60">
        <f t="shared" si="2"/>
        <v>1</v>
      </c>
      <c r="N18" s="60">
        <f>COUNTIFS(IH!S:S,"DISBURSED",IH!G:G,J18)</f>
        <v>0</v>
      </c>
      <c r="O18" s="60">
        <f>COUNTIFS([1]IH!$S:$S,"DISBURSED",[1]IH!$G:$G,J18)</f>
        <v>0</v>
      </c>
      <c r="P18" s="60">
        <f t="shared" si="3"/>
        <v>0</v>
      </c>
    </row>
    <row r="19" spans="2:16">
      <c r="B19" s="59" t="s">
        <v>861</v>
      </c>
      <c r="C19" s="60">
        <f>COUNTIFS(RETAIL!Q:Q,B19)</f>
        <v>3</v>
      </c>
      <c r="D19" s="60">
        <f>COUNTIFS([1]RETAIL!$Q:$Q,B19)</f>
        <v>1</v>
      </c>
      <c r="E19" s="60">
        <f t="shared" si="0"/>
        <v>4</v>
      </c>
      <c r="F19" s="60">
        <f>COUNTIFS(IH!S:S,"DISBURSED",IH!I:I,B19)</f>
        <v>2</v>
      </c>
      <c r="G19" s="60">
        <f>COUNTIFS([1]IH!$S:$S,"DISBURSED",[1]IH!$I:$I,B19)</f>
        <v>1</v>
      </c>
      <c r="H19" s="60">
        <f t="shared" si="1"/>
        <v>3</v>
      </c>
      <c r="J19" s="59" t="s">
        <v>2212</v>
      </c>
      <c r="K19" s="60">
        <f>COUNTIFS(RETAIL!J:J,J19,RETAIL!O:O,"&lt;&gt;OTHERS")</f>
        <v>0</v>
      </c>
      <c r="L19" s="60">
        <f>COUNTIFS([1]RETAIL!$J:$J,J19,[1]RETAIL!$O:$O,"&lt;&gt;OTHERS")</f>
        <v>0</v>
      </c>
      <c r="M19" s="60">
        <f t="shared" si="2"/>
        <v>0</v>
      </c>
      <c r="N19" s="60">
        <f>COUNTIFS(IH!S:S,"DISBURSED",IH!G:G,J19)</f>
        <v>0</v>
      </c>
      <c r="O19" s="60">
        <f>COUNTIFS([1]IH!$S:$S,"DISBURSED",[1]IH!$G:$G,J19)</f>
        <v>0</v>
      </c>
      <c r="P19" s="60">
        <f t="shared" si="3"/>
        <v>0</v>
      </c>
    </row>
    <row r="20" hidden="1" spans="2:16">
      <c r="B20" s="59" t="s">
        <v>492</v>
      </c>
      <c r="C20" s="60">
        <f>COUNTIFS(RETAIL!Q:Q,B20)</f>
        <v>4</v>
      </c>
      <c r="D20" s="60">
        <f>COUNTIFS([1]RETAIL!$Q:$Q,B20)</f>
        <v>3</v>
      </c>
      <c r="E20" s="60">
        <f t="shared" si="0"/>
        <v>7</v>
      </c>
      <c r="F20" s="60">
        <f>COUNTIFS(IH!S:S,"DISBURSED",IH!I:I,B20)</f>
        <v>3</v>
      </c>
      <c r="G20" s="60">
        <f>COUNTIFS([1]IH!$S:$S,"DISBURSED",[1]IH!$I:$I,B20)</f>
        <v>2</v>
      </c>
      <c r="H20" s="60">
        <f t="shared" si="1"/>
        <v>5</v>
      </c>
      <c r="J20" s="151" t="s">
        <v>2263</v>
      </c>
      <c r="K20" s="60">
        <f>COUNTIFS(RETAIL!J:J,J20,RETAIL!O:O,"&lt;&gt;OTHERS")</f>
        <v>0</v>
      </c>
      <c r="L20" s="60">
        <f>COUNTIFS([1]RETAIL!$J:$J,J20,[1]RETAIL!$O:$O,"&lt;&gt;OTHERS")</f>
        <v>65</v>
      </c>
      <c r="M20" s="60">
        <f t="shared" si="2"/>
        <v>65</v>
      </c>
      <c r="N20" s="60">
        <f>COUNTIFS(IH!S:S,"DISBURSED",IH!G:G,J20)</f>
        <v>0</v>
      </c>
      <c r="O20" s="60">
        <f>COUNTIFS([1]IH!$S:$S,"DISBURSED",[1]IH!$G:$G,J20)</f>
        <v>50</v>
      </c>
      <c r="P20" s="60">
        <f t="shared" si="3"/>
        <v>50</v>
      </c>
    </row>
    <row r="21" hidden="1" spans="2:16">
      <c r="B21" s="59" t="s">
        <v>424</v>
      </c>
      <c r="C21" s="60">
        <f>COUNTIFS(RETAIL!Q:Q,B21)</f>
        <v>1</v>
      </c>
      <c r="D21" s="60">
        <f>COUNTIFS([1]RETAIL!$Q:$Q,B21)</f>
        <v>1</v>
      </c>
      <c r="E21" s="60">
        <f t="shared" si="0"/>
        <v>2</v>
      </c>
      <c r="F21" s="60">
        <f>COUNTIFS(IH!S:S,"DISBURSED",IH!I:I,B21)</f>
        <v>0</v>
      </c>
      <c r="G21" s="60">
        <f>COUNTIFS([1]IH!$S:$S,"DISBURSED",[1]IH!$I:$I,B21)</f>
        <v>0</v>
      </c>
      <c r="H21" s="60">
        <f t="shared" si="1"/>
        <v>0</v>
      </c>
      <c r="J21" s="142" t="s">
        <v>2264</v>
      </c>
      <c r="K21" s="60">
        <f>COUNTIFS(RETAIL!J:J,J21,RETAIL!O:O,"&lt;&gt;OTHERS")</f>
        <v>0</v>
      </c>
      <c r="L21" s="60">
        <f>COUNTIFS([1]RETAIL!$J:$J,J21,[1]RETAIL!$O:$O,"&lt;&gt;OTHERS")</f>
        <v>24</v>
      </c>
      <c r="M21" s="60">
        <f t="shared" si="2"/>
        <v>24</v>
      </c>
      <c r="N21" s="60">
        <f>COUNTIFS(IH!S:S,"DISBURSED",IH!G:G,J21)</f>
        <v>0</v>
      </c>
      <c r="O21" s="60">
        <f>COUNTIFS([1]IH!$S:$S,"DISBURSED",[1]IH!$G:$G,J21)</f>
        <v>15</v>
      </c>
      <c r="P21" s="60">
        <f t="shared" si="3"/>
        <v>15</v>
      </c>
    </row>
    <row r="22" hidden="1" spans="2:16">
      <c r="B22" s="59" t="s">
        <v>2180</v>
      </c>
      <c r="C22" s="60">
        <f>COUNTIFS(RETAIL!Q:Q,B22)</f>
        <v>0</v>
      </c>
      <c r="D22" s="60">
        <f>COUNTIFS([1]RETAIL!$Q:$Q,B22)</f>
        <v>2</v>
      </c>
      <c r="E22" s="60">
        <f t="shared" si="0"/>
        <v>2</v>
      </c>
      <c r="F22" s="60">
        <f>COUNTIFS(IH!S:S,"DISBURSED",IH!I:I,B22)</f>
        <v>0</v>
      </c>
      <c r="G22" s="60">
        <f>COUNTIFS([1]IH!$S:$S,"DISBURSED",[1]IH!$I:$I,B22)</f>
        <v>0</v>
      </c>
      <c r="H22" s="60">
        <f t="shared" si="1"/>
        <v>0</v>
      </c>
      <c r="J22" s="146" t="s">
        <v>2265</v>
      </c>
      <c r="K22" s="60">
        <f>COUNTIFS(RETAIL!J:J,J22,RETAIL!O:O,"&lt;&gt;OTHERS")</f>
        <v>0</v>
      </c>
      <c r="L22" s="60">
        <f>COUNTIFS([1]RETAIL!$J:$J,J22,[1]RETAIL!$O:$O,"&lt;&gt;OTHERS")</f>
        <v>10</v>
      </c>
      <c r="M22" s="60">
        <f t="shared" si="2"/>
        <v>10</v>
      </c>
      <c r="N22" s="60">
        <f>COUNTIFS(IH!S:S,"DISBURSED",IH!G:G,J22)</f>
        <v>0</v>
      </c>
      <c r="O22" s="60">
        <f>COUNTIFS([1]IH!$S:$S,"DISBURSED",[1]IH!$G:$G,J22)</f>
        <v>5</v>
      </c>
      <c r="P22" s="60">
        <f t="shared" si="3"/>
        <v>5</v>
      </c>
    </row>
    <row r="23" hidden="1" spans="2:16">
      <c r="B23" s="59" t="s">
        <v>366</v>
      </c>
      <c r="C23" s="60">
        <f>COUNTIFS(RETAIL!Q:Q,B23)</f>
        <v>23</v>
      </c>
      <c r="D23" s="60">
        <f>COUNTIFS([1]RETAIL!$Q:$Q,B23)</f>
        <v>2</v>
      </c>
      <c r="E23" s="60">
        <f t="shared" si="0"/>
        <v>25</v>
      </c>
      <c r="F23" s="60">
        <f>COUNTIFS(IH!S:S,"DISBURSED",IH!I:I,B23)</f>
        <v>21</v>
      </c>
      <c r="G23" s="60">
        <f>COUNTIFS([1]IH!$S:$S,"DISBURSED",[1]IH!$I:$I,B23)</f>
        <v>1</v>
      </c>
      <c r="H23" s="60">
        <f t="shared" si="1"/>
        <v>22</v>
      </c>
      <c r="J23" s="142" t="s">
        <v>2266</v>
      </c>
      <c r="K23" s="60">
        <f>COUNTIFS(RETAIL!J:J,J23,RETAIL!O:O,"&lt;&gt;OTHERS")</f>
        <v>0</v>
      </c>
      <c r="L23" s="60">
        <f>COUNTIFS([1]RETAIL!$J:$J,J23,[1]RETAIL!$O:$O,"&lt;&gt;OTHERS")</f>
        <v>18</v>
      </c>
      <c r="M23" s="60">
        <f t="shared" si="2"/>
        <v>18</v>
      </c>
      <c r="N23" s="60">
        <f>COUNTIFS(IH!S:S,"DISBURSED",IH!G:G,J23)</f>
        <v>0</v>
      </c>
      <c r="O23" s="60">
        <f>COUNTIFS([1]IH!$S:$S,"DISBURSED",[1]IH!$G:$G,J23)</f>
        <v>13</v>
      </c>
      <c r="P23" s="60">
        <f t="shared" si="3"/>
        <v>13</v>
      </c>
    </row>
    <row r="24" hidden="1" spans="2:16">
      <c r="B24" s="59" t="s">
        <v>411</v>
      </c>
      <c r="C24" s="60">
        <f>COUNTIFS(RETAIL!Q:Q,B24)</f>
        <v>4</v>
      </c>
      <c r="D24" s="60">
        <f>COUNTIFS([1]RETAIL!$Q:$Q,B24)</f>
        <v>1</v>
      </c>
      <c r="E24" s="60">
        <f t="shared" si="0"/>
        <v>5</v>
      </c>
      <c r="F24" s="60">
        <f>COUNTIFS(IH!S:S,"DISBURSED",IH!I:I,B24)</f>
        <v>3</v>
      </c>
      <c r="G24" s="60">
        <f>COUNTIFS([1]IH!$S:$S,"DISBURSED",[1]IH!$I:$I,B24)</f>
        <v>3</v>
      </c>
      <c r="H24" s="60">
        <f t="shared" si="1"/>
        <v>6</v>
      </c>
      <c r="J24" s="151" t="s">
        <v>2267</v>
      </c>
      <c r="K24" s="60">
        <f>COUNTIFS(RETAIL!J:J,J24,RETAIL!O:O,"&lt;&gt;OTHERS")</f>
        <v>0</v>
      </c>
      <c r="L24" s="60">
        <f>COUNTIFS([1]RETAIL!$J:$J,J24,[1]RETAIL!$O:$O,"&lt;&gt;OTHERS")</f>
        <v>0</v>
      </c>
      <c r="M24" s="60">
        <f t="shared" si="2"/>
        <v>0</v>
      </c>
      <c r="N24" s="60">
        <f>COUNTIFS(IH!S:S,"DISBURSED",IH!G:G,J24)</f>
        <v>0</v>
      </c>
      <c r="O24" s="60">
        <f>COUNTIFS([1]IH!$S:$S,"DISBURSED",[1]IH!$G:$G,J24)</f>
        <v>0</v>
      </c>
      <c r="P24" s="60">
        <f t="shared" si="3"/>
        <v>0</v>
      </c>
    </row>
    <row r="25" hidden="1" spans="2:16">
      <c r="B25" s="59" t="s">
        <v>553</v>
      </c>
      <c r="C25" s="60">
        <f>COUNTIFS(RETAIL!Q:Q,B25)</f>
        <v>4</v>
      </c>
      <c r="D25" s="60">
        <f>COUNTIFS([1]RETAIL!$Q:$Q,B25)</f>
        <v>0</v>
      </c>
      <c r="E25" s="60">
        <f t="shared" si="0"/>
        <v>4</v>
      </c>
      <c r="F25" s="60">
        <f>COUNTIFS(IH!S:S,"DISBURSED",IH!I:I,B25)</f>
        <v>6</v>
      </c>
      <c r="G25" s="60">
        <f>COUNTIFS([1]IH!$S:$S,"DISBURSED",[1]IH!$I:$I,B25)</f>
        <v>0</v>
      </c>
      <c r="H25" s="60">
        <f t="shared" si="1"/>
        <v>6</v>
      </c>
      <c r="J25" s="142" t="s">
        <v>2268</v>
      </c>
      <c r="K25" s="60">
        <f>COUNTIFS(RETAIL!J:J,J25,RETAIL!O:O,"&lt;&gt;OTHERS")</f>
        <v>0</v>
      </c>
      <c r="L25" s="60">
        <f>COUNTIFS([1]RETAIL!$J:$J,J25,[1]RETAIL!$O:$O,"&lt;&gt;OTHERS")</f>
        <v>3</v>
      </c>
      <c r="M25" s="60">
        <f t="shared" si="2"/>
        <v>3</v>
      </c>
      <c r="N25" s="60">
        <f>COUNTIFS(IH!S:S,"DISBURSED",IH!G:G,J25)</f>
        <v>0</v>
      </c>
      <c r="O25" s="60">
        <f>COUNTIFS([1]IH!$S:$S,"DISBURSED",[1]IH!$G:$G,J25)</f>
        <v>2</v>
      </c>
      <c r="P25" s="60">
        <f t="shared" si="3"/>
        <v>2</v>
      </c>
    </row>
    <row r="26" hidden="1" spans="2:16">
      <c r="B26" s="59" t="s">
        <v>750</v>
      </c>
      <c r="C26" s="60">
        <f>COUNTIFS(RETAIL!Q:Q,B26)</f>
        <v>1</v>
      </c>
      <c r="D26" s="60">
        <f>COUNTIFS([1]RETAIL!$Q:$Q,B26)</f>
        <v>0</v>
      </c>
      <c r="E26" s="60">
        <f t="shared" si="0"/>
        <v>1</v>
      </c>
      <c r="F26" s="60">
        <f>COUNTIFS(IH!S:S,"DISBURSED",IH!I:I,B26)</f>
        <v>0</v>
      </c>
      <c r="G26" s="60">
        <f>COUNTIFS([1]IH!$S:$S,"DISBURSED",[1]IH!$I:$I,B26)</f>
        <v>0</v>
      </c>
      <c r="H26" s="60">
        <f t="shared" si="1"/>
        <v>0</v>
      </c>
      <c r="J26" s="142" t="s">
        <v>2269</v>
      </c>
      <c r="K26" s="60">
        <f>COUNTIFS(RETAIL!J:J,J26,RETAIL!O:O,"&lt;&gt;OTHERS")</f>
        <v>0</v>
      </c>
      <c r="L26" s="60">
        <f>COUNTIFS([1]RETAIL!$J:$J,J26,[1]RETAIL!$O:$O,"&lt;&gt;OTHERS")</f>
        <v>4</v>
      </c>
      <c r="M26" s="60">
        <f t="shared" si="2"/>
        <v>4</v>
      </c>
      <c r="N26" s="60">
        <f>COUNTIFS(IH!S:S,"DISBURSED",IH!G:G,J26)</f>
        <v>0</v>
      </c>
      <c r="O26" s="60">
        <f>COUNTIFS([1]IH!$S:$S,"DISBURSED",[1]IH!$G:$G,J26)</f>
        <v>2</v>
      </c>
      <c r="P26" s="60">
        <f t="shared" si="3"/>
        <v>2</v>
      </c>
    </row>
    <row r="27" hidden="1" spans="2:16">
      <c r="B27" s="59" t="s">
        <v>1508</v>
      </c>
      <c r="C27" s="60">
        <f>COUNTIFS(RETAIL!Q:Q,B27)</f>
        <v>0</v>
      </c>
      <c r="D27" s="60">
        <f>COUNTIFS([1]RETAIL!$Q:$Q,B27)</f>
        <v>0</v>
      </c>
      <c r="E27" s="60">
        <f t="shared" si="0"/>
        <v>0</v>
      </c>
      <c r="F27" s="60">
        <f>COUNTIFS(IH!S:S,"DISBURSED",IH!I:I,B27)</f>
        <v>0</v>
      </c>
      <c r="G27" s="60">
        <f>COUNTIFS([1]IH!$S:$S,"DISBURSED",[1]IH!$I:$I,B27)</f>
        <v>0</v>
      </c>
      <c r="H27" s="60">
        <f t="shared" si="1"/>
        <v>0</v>
      </c>
      <c r="J27" s="142" t="s">
        <v>2270</v>
      </c>
      <c r="K27" s="60">
        <f>COUNTIFS(RETAIL!J:J,J27,RETAIL!O:O,"&lt;&gt;OTHERS")</f>
        <v>0</v>
      </c>
      <c r="L27" s="60">
        <f>COUNTIFS([1]RETAIL!$J:$J,J27,[1]RETAIL!$O:$O,"&lt;&gt;OTHERS")</f>
        <v>0</v>
      </c>
      <c r="M27" s="60">
        <f t="shared" si="2"/>
        <v>0</v>
      </c>
      <c r="N27" s="60">
        <f>COUNTIFS(IH!S:S,"DISBURSED",IH!G:G,J27)</f>
        <v>0</v>
      </c>
      <c r="O27" s="60">
        <f>COUNTIFS([1]IH!$S:$S,"DISBURSED",[1]IH!$G:$G,J27)</f>
        <v>0</v>
      </c>
      <c r="P27" s="60">
        <f t="shared" si="3"/>
        <v>0</v>
      </c>
    </row>
    <row r="28" hidden="1" spans="2:16">
      <c r="B28" s="59" t="s">
        <v>1183</v>
      </c>
      <c r="C28" s="60">
        <f>COUNTIFS(RETAIL!Q:Q,B28)</f>
        <v>1</v>
      </c>
      <c r="D28" s="60">
        <f>COUNTIFS([1]RETAIL!$Q:$Q,B28)</f>
        <v>0</v>
      </c>
      <c r="E28" s="60">
        <f t="shared" si="0"/>
        <v>1</v>
      </c>
      <c r="F28" s="60">
        <f>COUNTIFS(IH!S:S,"DISBURSED",IH!I:I,B28)</f>
        <v>1</v>
      </c>
      <c r="G28" s="60">
        <f>COUNTIFS([1]IH!$S:$S,"DISBURSED",[1]IH!$I:$I,B28)</f>
        <v>1</v>
      </c>
      <c r="H28" s="60">
        <f t="shared" si="1"/>
        <v>2</v>
      </c>
      <c r="J28" s="142" t="s">
        <v>2271</v>
      </c>
      <c r="K28" s="60">
        <f>COUNTIFS(RETAIL!J:J,J28,RETAIL!O:O,"&lt;&gt;OTHERS")</f>
        <v>0</v>
      </c>
      <c r="L28" s="60">
        <f>COUNTIFS([1]RETAIL!$J:$J,J28,[1]RETAIL!$O:$O,"&lt;&gt;OTHERS")</f>
        <v>1</v>
      </c>
      <c r="M28" s="60">
        <f t="shared" si="2"/>
        <v>1</v>
      </c>
      <c r="N28" s="60">
        <f>COUNTIFS(IH!S:S,"DISBURSED",IH!G:G,J28)</f>
        <v>0</v>
      </c>
      <c r="O28" s="60">
        <f>COUNTIFS([1]IH!$S:$S,"DISBURSED",[1]IH!$G:$G,J28)</f>
        <v>1</v>
      </c>
      <c r="P28" s="60">
        <f t="shared" si="3"/>
        <v>1</v>
      </c>
    </row>
    <row r="29" hidden="1" spans="2:16">
      <c r="B29" s="59" t="s">
        <v>2188</v>
      </c>
      <c r="C29" s="60">
        <f>COUNTIFS(RETAIL!Q:Q,B29)</f>
        <v>0</v>
      </c>
      <c r="D29" s="60">
        <f>COUNTIFS([1]RETAIL!$Q:$Q,B29)</f>
        <v>0</v>
      </c>
      <c r="E29" s="60">
        <f t="shared" si="0"/>
        <v>0</v>
      </c>
      <c r="F29" s="60">
        <f>COUNTIFS(IH!S:S,"DISBURSED",IH!I:I,B29)</f>
        <v>0</v>
      </c>
      <c r="G29" s="60">
        <f>COUNTIFS([1]IH!$S:$S,"DISBURSED",[1]IH!$I:$I,B29)</f>
        <v>0</v>
      </c>
      <c r="H29" s="60">
        <f t="shared" si="1"/>
        <v>0</v>
      </c>
      <c r="J29" s="149" t="s">
        <v>46</v>
      </c>
      <c r="K29" s="150">
        <f t="shared" ref="K29:P29" si="4">SUM(K4:K28)</f>
        <v>166</v>
      </c>
      <c r="L29" s="150">
        <f t="shared" si="4"/>
        <v>125</v>
      </c>
      <c r="M29" s="150">
        <f t="shared" si="4"/>
        <v>291</v>
      </c>
      <c r="N29" s="150">
        <f t="shared" si="4"/>
        <v>109</v>
      </c>
      <c r="O29" s="150">
        <f t="shared" si="4"/>
        <v>88</v>
      </c>
      <c r="P29" s="150">
        <f t="shared" si="4"/>
        <v>197</v>
      </c>
    </row>
    <row r="30" spans="2:8">
      <c r="B30" s="59" t="s">
        <v>1301</v>
      </c>
      <c r="C30" s="60">
        <f>COUNTIFS(RETAIL!Q:Q,B30)</f>
        <v>1</v>
      </c>
      <c r="D30" s="60">
        <f>COUNTIFS([1]RETAIL!$Q:$Q,B30)</f>
        <v>2</v>
      </c>
      <c r="E30" s="60">
        <f t="shared" si="0"/>
        <v>3</v>
      </c>
      <c r="F30" s="60">
        <f>COUNTIFS(IH!S:S,"DISBURSED",IH!I:I,B30)</f>
        <v>0</v>
      </c>
      <c r="G30" s="60">
        <f>COUNTIFS([1]IH!$S:$S,"DISBURSED",[1]IH!$I:$I,B30)</f>
        <v>1</v>
      </c>
      <c r="H30" s="60">
        <f t="shared" si="1"/>
        <v>1</v>
      </c>
    </row>
    <row r="31" spans="2:8">
      <c r="B31" s="59" t="s">
        <v>2231</v>
      </c>
      <c r="C31" s="60">
        <f>COUNTIFS(RETAIL!Q:Q,B31)</f>
        <v>0</v>
      </c>
      <c r="D31" s="60">
        <f>COUNTIFS([1]RETAIL!$Q:$Q,B31)</f>
        <v>0</v>
      </c>
      <c r="E31" s="60">
        <f t="shared" si="0"/>
        <v>0</v>
      </c>
      <c r="F31" s="60">
        <f>COUNTIFS(IH!S:S,"DISBURSED",IH!I:I,B31)</f>
        <v>0</v>
      </c>
      <c r="G31" s="60">
        <f>COUNTIFS([1]IH!$S:$S,"DISBURSED",[1]IH!$I:$I,B31)</f>
        <v>0</v>
      </c>
      <c r="H31" s="60">
        <f t="shared" si="1"/>
        <v>0</v>
      </c>
    </row>
    <row r="32" spans="2:8">
      <c r="B32" s="59" t="s">
        <v>2236</v>
      </c>
      <c r="C32" s="60">
        <f>COUNTIFS(RETAIL!Q:Q,B32)</f>
        <v>0</v>
      </c>
      <c r="D32" s="60">
        <f>COUNTIFS([1]RETAIL!$Q:$Q,B32)</f>
        <v>0</v>
      </c>
      <c r="E32" s="60">
        <f t="shared" si="0"/>
        <v>0</v>
      </c>
      <c r="F32" s="60">
        <f>COUNTIFS(IH!S:S,"DISBURSED",IH!I:I,B32)</f>
        <v>0</v>
      </c>
      <c r="G32" s="60">
        <f>COUNTIFS([1]IH!$S:$S,"DISBURSED",[1]IH!$I:$I,B32)</f>
        <v>0</v>
      </c>
      <c r="H32" s="60">
        <f t="shared" si="1"/>
        <v>0</v>
      </c>
    </row>
    <row r="33" spans="2:8">
      <c r="B33" s="59" t="s">
        <v>2242</v>
      </c>
      <c r="C33" s="60">
        <f>COUNTIFS(RETAIL!Q:Q,B33)</f>
        <v>0</v>
      </c>
      <c r="D33" s="60">
        <f>COUNTIFS([1]RETAIL!$Q:$Q,B33)</f>
        <v>2</v>
      </c>
      <c r="E33" s="60">
        <f t="shared" si="0"/>
        <v>2</v>
      </c>
      <c r="F33" s="60">
        <f>COUNTIFS(IH!S:S,"DISBURSED",IH!I:I,B33)</f>
        <v>0</v>
      </c>
      <c r="G33" s="60">
        <f>COUNTIFS([1]IH!$S:$S,"DISBURSED",[1]IH!$I:$I,B33)</f>
        <v>1</v>
      </c>
      <c r="H33" s="60">
        <f t="shared" si="1"/>
        <v>1</v>
      </c>
    </row>
    <row r="34" spans="2:8">
      <c r="B34" s="59" t="s">
        <v>2244</v>
      </c>
      <c r="C34" s="60">
        <f>COUNTIFS(RETAIL!Q:Q,B34)</f>
        <v>0</v>
      </c>
      <c r="D34" s="60">
        <f>COUNTIFS([1]RETAIL!$Q:$Q,B34)</f>
        <v>0</v>
      </c>
      <c r="E34" s="60">
        <f t="shared" si="0"/>
        <v>0</v>
      </c>
      <c r="F34" s="60">
        <f>COUNTIFS(IH!S:S,"DISBURSED",IH!I:I,B34)</f>
        <v>0</v>
      </c>
      <c r="G34" s="60">
        <f>COUNTIFS([1]IH!$S:$S,"DISBURSED",[1]IH!$I:$I,B34)</f>
        <v>0</v>
      </c>
      <c r="H34" s="60">
        <f t="shared" si="1"/>
        <v>0</v>
      </c>
    </row>
    <row r="35" spans="2:8">
      <c r="B35" s="59" t="s">
        <v>1671</v>
      </c>
      <c r="C35" s="60">
        <f>COUNTIFS(RETAIL!Q:Q,B35)</f>
        <v>0</v>
      </c>
      <c r="D35" s="60">
        <f>COUNTIFS([1]RETAIL!$Q:$Q,B35)</f>
        <v>4</v>
      </c>
      <c r="E35" s="60">
        <f t="shared" si="0"/>
        <v>4</v>
      </c>
      <c r="F35" s="60">
        <f>COUNTIFS(IH!S:S,"DISBURSED",IH!I:I,B35)</f>
        <v>0</v>
      </c>
      <c r="G35" s="60">
        <f>COUNTIFS([1]IH!$S:$S,"DISBURSED",[1]IH!$I:$I,B35)</f>
        <v>2</v>
      </c>
      <c r="H35" s="60">
        <f t="shared" si="1"/>
        <v>2</v>
      </c>
    </row>
    <row r="36" spans="2:8">
      <c r="B36" s="59" t="s">
        <v>367</v>
      </c>
      <c r="C36" s="60">
        <f>COUNTIFS(RETAIL!Q:Q,B36)</f>
        <v>0</v>
      </c>
      <c r="D36" s="60">
        <f>COUNTIFS([1]RETAIL!$Q:$Q,B36)</f>
        <v>0</v>
      </c>
      <c r="E36" s="60">
        <f t="shared" si="0"/>
        <v>0</v>
      </c>
      <c r="F36" s="60">
        <f>COUNTIFS(IH!S:S,"DISBURSED",IH!I:I,B36)</f>
        <v>0</v>
      </c>
      <c r="G36" s="60">
        <f>COUNTIFS([1]IH!$S:$S,"DISBURSED",[1]IH!$I:$I,B36)</f>
        <v>0</v>
      </c>
      <c r="H36" s="60">
        <f t="shared" si="1"/>
        <v>0</v>
      </c>
    </row>
    <row r="37" spans="2:8">
      <c r="B37" s="59" t="s">
        <v>2250</v>
      </c>
      <c r="C37" s="60">
        <f>COUNTIFS(RETAIL!Q:Q,B37)</f>
        <v>0</v>
      </c>
      <c r="D37" s="60">
        <f>COUNTIFS([1]RETAIL!$Q:$Q,B37)</f>
        <v>0</v>
      </c>
      <c r="E37" s="60">
        <f t="shared" si="0"/>
        <v>0</v>
      </c>
      <c r="F37" s="60">
        <f>COUNTIFS(IH!S:S,"DISBURSED",IH!I:I,B37)</f>
        <v>0</v>
      </c>
      <c r="G37" s="60">
        <f>COUNTIFS([1]IH!$S:$S,"DISBURSED",[1]IH!$I:$I,B37)</f>
        <v>0</v>
      </c>
      <c r="H37" s="60">
        <f t="shared" si="1"/>
        <v>0</v>
      </c>
    </row>
    <row r="38" spans="2:8">
      <c r="B38" s="59" t="s">
        <v>2252</v>
      </c>
      <c r="C38" s="60">
        <f>COUNTIFS(RETAIL!Q:Q,B38)</f>
        <v>0</v>
      </c>
      <c r="D38" s="60">
        <f>COUNTIFS([1]RETAIL!$Q:$Q,B38)</f>
        <v>0</v>
      </c>
      <c r="E38" s="60">
        <f t="shared" si="0"/>
        <v>0</v>
      </c>
      <c r="F38" s="60">
        <f>COUNTIFS(IH!S:S,"DISBURSED",IH!I:I,B38)</f>
        <v>0</v>
      </c>
      <c r="G38" s="60">
        <f>COUNTIFS([1]IH!$S:$S,"DISBURSED",[1]IH!$I:$I,B38)</f>
        <v>0</v>
      </c>
      <c r="H38" s="60">
        <f t="shared" si="1"/>
        <v>0</v>
      </c>
    </row>
    <row r="39" spans="2:8">
      <c r="B39" s="149" t="s">
        <v>46</v>
      </c>
      <c r="C39" s="150">
        <f t="shared" ref="C39:H39" si="5">SUM(C4:C38)</f>
        <v>185</v>
      </c>
      <c r="D39" s="150">
        <f t="shared" si="5"/>
        <v>125</v>
      </c>
      <c r="E39" s="150">
        <f t="shared" si="5"/>
        <v>310</v>
      </c>
      <c r="F39" s="150">
        <f t="shared" si="5"/>
        <v>109</v>
      </c>
      <c r="G39" s="150">
        <f t="shared" si="5"/>
        <v>88</v>
      </c>
      <c r="H39" s="150">
        <f t="shared" si="5"/>
        <v>197</v>
      </c>
    </row>
  </sheetData>
  <autoFilter xmlns:etc="http://www.wps.cn/officeDocument/2017/etCustomData" ref="J3:P29" etc:filterBottomFollowUsedRange="0">
    <filterColumn colId="0">
      <filters>
        <filter val="TOUR H1"/>
        <filter val="TOUR H2"/>
        <filter val="TOUR S"/>
        <filter val="TOUR H3"/>
        <filter val="TOUR V"/>
        <filter val="TOUR M"/>
      </filters>
    </filterColumn>
    <extLst/>
  </autoFilter>
  <sortState ref="J4:P29">
    <sortCondition ref="K4:K29" descending="1"/>
  </sortState>
  <mergeCells count="6">
    <mergeCell ref="B1:H1"/>
    <mergeCell ref="J1:P1"/>
    <mergeCell ref="C2:E2"/>
    <mergeCell ref="F2:H2"/>
    <mergeCell ref="K2:M2"/>
    <mergeCell ref="N2:P2"/>
  </mergeCells>
  <conditionalFormatting sqref="J19">
    <cfRule type="duplicateValues" dxfId="1" priority="4"/>
  </conditionalFormatting>
  <conditionalFormatting sqref="J29">
    <cfRule type="duplicateValues" dxfId="1" priority="1"/>
  </conditionalFormatting>
  <conditionalFormatting sqref="B4:B9">
    <cfRule type="duplicateValues" dxfId="1" priority="9"/>
  </conditionalFormatting>
  <conditionalFormatting sqref="B4:B27">
    <cfRule type="duplicateValues" dxfId="1" priority="8"/>
  </conditionalFormatting>
  <conditionalFormatting sqref="B34:B36">
    <cfRule type="duplicateValues" dxfId="1" priority="6"/>
  </conditionalFormatting>
  <conditionalFormatting sqref="B38:B39">
    <cfRule type="duplicateValues" dxfId="1" priority="5"/>
  </conditionalFormatting>
  <conditionalFormatting sqref="J4:J12">
    <cfRule type="duplicateValues" dxfId="1" priority="3"/>
  </conditionalFormatting>
  <conditionalFormatting sqref="J13:J18">
    <cfRule type="duplicateValues" dxfId="1" priority="2"/>
  </conditionalFormatting>
  <conditionalFormatting sqref="B4:B33 B37">
    <cfRule type="duplicateValues" dxfId="1" priority="7"/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"/>
  <sheetViews>
    <sheetView showGridLines="0"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30.625" style="137" customWidth="1"/>
    <col min="2" max="2" width="19.875" style="137" customWidth="1"/>
    <col min="3" max="3" width="18.75" style="137" customWidth="1"/>
    <col min="4" max="4" width="12.375" style="137" customWidth="1"/>
    <col min="5" max="5" width="12.5" style="137" customWidth="1"/>
    <col min="6" max="6" width="11.875" style="137" customWidth="1"/>
    <col min="7" max="16384" width="9" style="138"/>
  </cols>
  <sheetData>
    <row r="1" spans="1:6">
      <c r="A1" s="139" t="s">
        <v>2272</v>
      </c>
      <c r="B1" s="139" t="s">
        <v>48</v>
      </c>
      <c r="C1" s="139" t="s">
        <v>1667</v>
      </c>
      <c r="D1" s="139" t="s">
        <v>49</v>
      </c>
      <c r="E1" s="139" t="s">
        <v>344</v>
      </c>
      <c r="F1" s="139" t="s">
        <v>323</v>
      </c>
    </row>
    <row r="2" spans="1:6">
      <c r="A2" s="58" t="s">
        <v>144</v>
      </c>
      <c r="B2" s="59" t="s">
        <v>131</v>
      </c>
      <c r="C2" s="59" t="s">
        <v>125</v>
      </c>
      <c r="D2" s="59" t="s">
        <v>125</v>
      </c>
      <c r="E2" s="59" t="s">
        <v>277</v>
      </c>
      <c r="F2" s="59" t="s">
        <v>2273</v>
      </c>
    </row>
    <row r="3" spans="1:6">
      <c r="A3" s="58" t="s">
        <v>65</v>
      </c>
      <c r="B3" s="59" t="s">
        <v>66</v>
      </c>
      <c r="C3" s="59" t="s">
        <v>17</v>
      </c>
      <c r="D3" s="59" t="s">
        <v>45</v>
      </c>
      <c r="E3" s="140" t="s">
        <v>273</v>
      </c>
      <c r="F3" s="59" t="s">
        <v>2273</v>
      </c>
    </row>
    <row r="4" spans="1:6">
      <c r="A4" s="58" t="s">
        <v>215</v>
      </c>
      <c r="B4" s="59" t="s">
        <v>124</v>
      </c>
      <c r="C4" s="59" t="s">
        <v>125</v>
      </c>
      <c r="D4" s="59" t="s">
        <v>125</v>
      </c>
      <c r="E4" s="59" t="s">
        <v>277</v>
      </c>
      <c r="F4" s="59" t="s">
        <v>2273</v>
      </c>
    </row>
    <row r="5" spans="1:6">
      <c r="A5" s="60" t="s">
        <v>192</v>
      </c>
      <c r="B5" s="58" t="s">
        <v>96</v>
      </c>
      <c r="C5" s="59" t="s">
        <v>23</v>
      </c>
      <c r="D5" s="59" t="s">
        <v>45</v>
      </c>
      <c r="E5" s="59" t="s">
        <v>276</v>
      </c>
      <c r="F5" s="59" t="s">
        <v>2273</v>
      </c>
    </row>
    <row r="6" spans="1:6">
      <c r="A6" s="58" t="s">
        <v>189</v>
      </c>
      <c r="B6" s="58" t="s">
        <v>96</v>
      </c>
      <c r="C6" s="59" t="s">
        <v>23</v>
      </c>
      <c r="D6" s="59" t="s">
        <v>45</v>
      </c>
      <c r="E6" s="59" t="s">
        <v>276</v>
      </c>
      <c r="F6" s="59" t="s">
        <v>2273</v>
      </c>
    </row>
    <row r="7" spans="1:6">
      <c r="A7" s="141" t="s">
        <v>105</v>
      </c>
      <c r="B7" s="59" t="s">
        <v>106</v>
      </c>
      <c r="C7" s="142" t="s">
        <v>107</v>
      </c>
      <c r="D7" s="59" t="s">
        <v>282</v>
      </c>
      <c r="E7" s="59" t="s">
        <v>276</v>
      </c>
      <c r="F7" s="59" t="s">
        <v>2273</v>
      </c>
    </row>
    <row r="8" spans="1:6">
      <c r="A8" s="58" t="s">
        <v>126</v>
      </c>
      <c r="B8" s="59" t="s">
        <v>149</v>
      </c>
      <c r="C8" s="59" t="s">
        <v>125</v>
      </c>
      <c r="D8" s="59" t="s">
        <v>125</v>
      </c>
      <c r="E8" s="59" t="s">
        <v>277</v>
      </c>
      <c r="F8" s="59" t="s">
        <v>2273</v>
      </c>
    </row>
    <row r="9" spans="1:6">
      <c r="A9" s="58" t="s">
        <v>190</v>
      </c>
      <c r="B9" s="59" t="s">
        <v>110</v>
      </c>
      <c r="C9" s="59" t="s">
        <v>111</v>
      </c>
      <c r="D9" s="59" t="s">
        <v>45</v>
      </c>
      <c r="E9" s="59" t="s">
        <v>275</v>
      </c>
      <c r="F9" s="59" t="s">
        <v>2273</v>
      </c>
    </row>
    <row r="10" spans="1:6">
      <c r="A10" s="58" t="s">
        <v>112</v>
      </c>
      <c r="B10" s="59" t="s">
        <v>110</v>
      </c>
      <c r="C10" s="59" t="s">
        <v>111</v>
      </c>
      <c r="D10" s="59" t="s">
        <v>45</v>
      </c>
      <c r="E10" s="59" t="s">
        <v>275</v>
      </c>
      <c r="F10" s="59" t="s">
        <v>2273</v>
      </c>
    </row>
    <row r="11" spans="1:6">
      <c r="A11" s="58" t="s">
        <v>89</v>
      </c>
      <c r="B11" s="59" t="s">
        <v>88</v>
      </c>
      <c r="C11" s="59" t="s">
        <v>19</v>
      </c>
      <c r="D11" s="59" t="s">
        <v>45</v>
      </c>
      <c r="E11" s="59" t="s">
        <v>270</v>
      </c>
      <c r="F11" s="59" t="s">
        <v>2273</v>
      </c>
    </row>
    <row r="12" spans="1:6">
      <c r="A12" s="58" t="s">
        <v>60</v>
      </c>
      <c r="B12" s="59" t="s">
        <v>59</v>
      </c>
      <c r="C12" s="59" t="s">
        <v>15</v>
      </c>
      <c r="D12" s="59" t="s">
        <v>45</v>
      </c>
      <c r="E12" s="59" t="s">
        <v>274</v>
      </c>
      <c r="F12" s="59" t="s">
        <v>2273</v>
      </c>
    </row>
    <row r="13" spans="1:6">
      <c r="A13" s="141" t="s">
        <v>108</v>
      </c>
      <c r="B13" s="59" t="s">
        <v>106</v>
      </c>
      <c r="C13" s="142" t="s">
        <v>107</v>
      </c>
      <c r="D13" s="59" t="s">
        <v>282</v>
      </c>
      <c r="E13" s="59" t="s">
        <v>276</v>
      </c>
      <c r="F13" s="59" t="s">
        <v>2273</v>
      </c>
    </row>
    <row r="14" spans="1:6">
      <c r="A14" s="58" t="s">
        <v>218</v>
      </c>
      <c r="B14" s="59" t="s">
        <v>56</v>
      </c>
      <c r="C14" s="59" t="s">
        <v>13</v>
      </c>
      <c r="D14" s="59" t="s">
        <v>45</v>
      </c>
      <c r="E14" s="59" t="s">
        <v>270</v>
      </c>
      <c r="F14" s="59" t="s">
        <v>2273</v>
      </c>
    </row>
    <row r="15" spans="1:6">
      <c r="A15" s="58" t="s">
        <v>113</v>
      </c>
      <c r="B15" s="59" t="s">
        <v>110</v>
      </c>
      <c r="C15" s="59" t="s">
        <v>111</v>
      </c>
      <c r="D15" s="59" t="s">
        <v>45</v>
      </c>
      <c r="E15" s="59" t="s">
        <v>275</v>
      </c>
      <c r="F15" s="59" t="s">
        <v>2273</v>
      </c>
    </row>
    <row r="16" spans="1:6">
      <c r="A16" s="58" t="s">
        <v>128</v>
      </c>
      <c r="B16" s="59" t="s">
        <v>129</v>
      </c>
      <c r="C16" s="59" t="s">
        <v>125</v>
      </c>
      <c r="D16" s="59" t="s">
        <v>125</v>
      </c>
      <c r="E16" s="59" t="s">
        <v>277</v>
      </c>
      <c r="F16" s="59" t="s">
        <v>2273</v>
      </c>
    </row>
    <row r="17" spans="1:6">
      <c r="A17" s="58" t="s">
        <v>87</v>
      </c>
      <c r="B17" s="59" t="s">
        <v>88</v>
      </c>
      <c r="C17" s="59" t="s">
        <v>19</v>
      </c>
      <c r="D17" s="59" t="s">
        <v>45</v>
      </c>
      <c r="E17" s="59" t="s">
        <v>270</v>
      </c>
      <c r="F17" s="59" t="s">
        <v>2273</v>
      </c>
    </row>
    <row r="18" spans="1:6">
      <c r="A18" s="141" t="s">
        <v>102</v>
      </c>
      <c r="B18" s="59" t="s">
        <v>99</v>
      </c>
      <c r="C18" s="59" t="s">
        <v>100</v>
      </c>
      <c r="D18" s="59" t="s">
        <v>45</v>
      </c>
      <c r="E18" s="59" t="s">
        <v>276</v>
      </c>
      <c r="F18" s="59" t="s">
        <v>2273</v>
      </c>
    </row>
    <row r="19" spans="1:6">
      <c r="A19" s="58" t="s">
        <v>109</v>
      </c>
      <c r="B19" s="59" t="s">
        <v>110</v>
      </c>
      <c r="C19" s="59" t="s">
        <v>111</v>
      </c>
      <c r="D19" s="59" t="s">
        <v>45</v>
      </c>
      <c r="E19" s="59" t="s">
        <v>275</v>
      </c>
      <c r="F19" s="59" t="s">
        <v>2273</v>
      </c>
    </row>
    <row r="20" spans="1:6">
      <c r="A20" s="58" t="s">
        <v>95</v>
      </c>
      <c r="B20" s="58" t="s">
        <v>96</v>
      </c>
      <c r="C20" s="59" t="s">
        <v>23</v>
      </c>
      <c r="D20" s="59" t="s">
        <v>45</v>
      </c>
      <c r="E20" s="59" t="s">
        <v>276</v>
      </c>
      <c r="F20" s="59" t="s">
        <v>2273</v>
      </c>
    </row>
    <row r="21" spans="1:6">
      <c r="A21" s="58" t="s">
        <v>67</v>
      </c>
      <c r="B21" s="59" t="s">
        <v>66</v>
      </c>
      <c r="C21" s="59" t="s">
        <v>17</v>
      </c>
      <c r="D21" s="59" t="s">
        <v>45</v>
      </c>
      <c r="E21" s="140" t="s">
        <v>273</v>
      </c>
      <c r="F21" s="59" t="s">
        <v>2273</v>
      </c>
    </row>
    <row r="22" spans="1:6">
      <c r="A22" s="58" t="s">
        <v>154</v>
      </c>
      <c r="B22" s="59" t="s">
        <v>149</v>
      </c>
      <c r="C22" s="59" t="s">
        <v>125</v>
      </c>
      <c r="D22" s="59" t="s">
        <v>125</v>
      </c>
      <c r="E22" s="59" t="s">
        <v>277</v>
      </c>
      <c r="F22" s="59" t="s">
        <v>2273</v>
      </c>
    </row>
    <row r="23" spans="1:6">
      <c r="A23" s="58" t="s">
        <v>139</v>
      </c>
      <c r="B23" s="59" t="s">
        <v>129</v>
      </c>
      <c r="C23" s="59" t="s">
        <v>125</v>
      </c>
      <c r="D23" s="59" t="s">
        <v>125</v>
      </c>
      <c r="E23" s="59" t="s">
        <v>277</v>
      </c>
      <c r="F23" s="59" t="s">
        <v>2273</v>
      </c>
    </row>
    <row r="24" spans="1:6">
      <c r="A24" s="58" t="s">
        <v>72</v>
      </c>
      <c r="B24" s="59" t="s">
        <v>69</v>
      </c>
      <c r="C24" s="59" t="s">
        <v>17</v>
      </c>
      <c r="D24" s="59" t="s">
        <v>45</v>
      </c>
      <c r="E24" s="140" t="s">
        <v>273</v>
      </c>
      <c r="F24" s="59" t="s">
        <v>2273</v>
      </c>
    </row>
    <row r="25" spans="1:6">
      <c r="A25" s="58" t="s">
        <v>179</v>
      </c>
      <c r="B25" s="59" t="s">
        <v>106</v>
      </c>
      <c r="C25" s="142" t="s">
        <v>107</v>
      </c>
      <c r="D25" s="59" t="s">
        <v>282</v>
      </c>
      <c r="E25" s="59" t="s">
        <v>276</v>
      </c>
      <c r="F25" s="59" t="s">
        <v>2273</v>
      </c>
    </row>
    <row r="26" spans="1:6">
      <c r="A26" s="58" t="s">
        <v>216</v>
      </c>
      <c r="B26" s="59" t="s">
        <v>129</v>
      </c>
      <c r="C26" s="59" t="s">
        <v>125</v>
      </c>
      <c r="D26" s="59" t="s">
        <v>125</v>
      </c>
      <c r="E26" s="60" t="s">
        <v>277</v>
      </c>
      <c r="F26" s="59" t="s">
        <v>2273</v>
      </c>
    </row>
    <row r="27" spans="1:6">
      <c r="A27" s="141" t="s">
        <v>91</v>
      </c>
      <c r="B27" s="59" t="s">
        <v>92</v>
      </c>
      <c r="C27" s="59" t="s">
        <v>23</v>
      </c>
      <c r="D27" s="59" t="s">
        <v>45</v>
      </c>
      <c r="E27" s="59" t="s">
        <v>276</v>
      </c>
      <c r="F27" s="59" t="s">
        <v>2273</v>
      </c>
    </row>
    <row r="28" spans="1:6">
      <c r="A28" s="58" t="s">
        <v>114</v>
      </c>
      <c r="B28" s="59" t="s">
        <v>110</v>
      </c>
      <c r="C28" s="59" t="s">
        <v>111</v>
      </c>
      <c r="D28" s="59" t="s">
        <v>45</v>
      </c>
      <c r="E28" s="59" t="s">
        <v>275</v>
      </c>
      <c r="F28" s="59" t="s">
        <v>2273</v>
      </c>
    </row>
    <row r="29" spans="1:6">
      <c r="A29" s="58" t="s">
        <v>199</v>
      </c>
      <c r="B29" s="59" t="s">
        <v>186</v>
      </c>
      <c r="C29" s="142" t="s">
        <v>187</v>
      </c>
      <c r="D29" s="59" t="s">
        <v>282</v>
      </c>
      <c r="E29" s="59" t="s">
        <v>276</v>
      </c>
      <c r="F29" s="59" t="s">
        <v>2273</v>
      </c>
    </row>
    <row r="30" spans="1:6">
      <c r="A30" s="58" t="s">
        <v>151</v>
      </c>
      <c r="B30" s="59" t="s">
        <v>133</v>
      </c>
      <c r="C30" s="59" t="s">
        <v>125</v>
      </c>
      <c r="D30" s="59" t="s">
        <v>125</v>
      </c>
      <c r="E30" s="59" t="s">
        <v>277</v>
      </c>
      <c r="F30" s="59" t="s">
        <v>2273</v>
      </c>
    </row>
    <row r="31" spans="1:6">
      <c r="A31" s="58" t="s">
        <v>132</v>
      </c>
      <c r="B31" s="59" t="s">
        <v>133</v>
      </c>
      <c r="C31" s="59" t="s">
        <v>125</v>
      </c>
      <c r="D31" s="59" t="s">
        <v>125</v>
      </c>
      <c r="E31" s="59" t="s">
        <v>277</v>
      </c>
      <c r="F31" s="59" t="s">
        <v>2273</v>
      </c>
    </row>
    <row r="32" spans="1:6">
      <c r="A32" s="58" t="s">
        <v>150</v>
      </c>
      <c r="B32" s="59" t="s">
        <v>149</v>
      </c>
      <c r="C32" s="59" t="s">
        <v>125</v>
      </c>
      <c r="D32" s="59" t="s">
        <v>125</v>
      </c>
      <c r="E32" s="59" t="s">
        <v>277</v>
      </c>
      <c r="F32" s="59" t="s">
        <v>2273</v>
      </c>
    </row>
    <row r="33" spans="1:6">
      <c r="A33" s="58" t="s">
        <v>185</v>
      </c>
      <c r="B33" s="59" t="s">
        <v>186</v>
      </c>
      <c r="C33" s="142" t="s">
        <v>187</v>
      </c>
      <c r="D33" s="59" t="s">
        <v>282</v>
      </c>
      <c r="E33" s="59" t="s">
        <v>276</v>
      </c>
      <c r="F33" s="59" t="s">
        <v>282</v>
      </c>
    </row>
    <row r="34" spans="1:6">
      <c r="A34" s="58" t="s">
        <v>161</v>
      </c>
      <c r="B34" s="59" t="s">
        <v>158</v>
      </c>
      <c r="C34" s="59" t="s">
        <v>29</v>
      </c>
      <c r="D34" s="59" t="s">
        <v>45</v>
      </c>
      <c r="E34" s="59" t="s">
        <v>270</v>
      </c>
      <c r="F34" s="59" t="s">
        <v>2273</v>
      </c>
    </row>
    <row r="35" spans="1:6">
      <c r="A35" s="58" t="s">
        <v>169</v>
      </c>
      <c r="B35" s="58" t="s">
        <v>168</v>
      </c>
      <c r="C35" s="59" t="s">
        <v>38</v>
      </c>
      <c r="D35" s="59" t="s">
        <v>45</v>
      </c>
      <c r="E35" s="59" t="s">
        <v>274</v>
      </c>
      <c r="F35" s="59" t="s">
        <v>2273</v>
      </c>
    </row>
    <row r="36" spans="1:6">
      <c r="A36" s="58" t="s">
        <v>2274</v>
      </c>
      <c r="B36" s="59" t="s">
        <v>106</v>
      </c>
      <c r="C36" s="142" t="s">
        <v>107</v>
      </c>
      <c r="D36" s="59" t="s">
        <v>282</v>
      </c>
      <c r="E36" s="59" t="s">
        <v>276</v>
      </c>
      <c r="F36" s="59" t="s">
        <v>282</v>
      </c>
    </row>
    <row r="37" spans="1:6">
      <c r="A37" s="58" t="s">
        <v>1679</v>
      </c>
      <c r="B37" s="59" t="s">
        <v>1679</v>
      </c>
      <c r="C37" s="59" t="s">
        <v>1679</v>
      </c>
      <c r="D37" s="59" t="s">
        <v>2275</v>
      </c>
      <c r="E37" s="59" t="s">
        <v>2275</v>
      </c>
      <c r="F37" s="59" t="s">
        <v>2276</v>
      </c>
    </row>
    <row r="38" spans="1:6">
      <c r="A38" s="58" t="s">
        <v>173</v>
      </c>
      <c r="B38" s="59" t="s">
        <v>174</v>
      </c>
      <c r="C38" s="59" t="s">
        <v>175</v>
      </c>
      <c r="D38" s="59" t="s">
        <v>45</v>
      </c>
      <c r="E38" s="59" t="s">
        <v>273</v>
      </c>
      <c r="F38" s="59" t="s">
        <v>2273</v>
      </c>
    </row>
    <row r="39" spans="1:6">
      <c r="A39" s="58" t="s">
        <v>85</v>
      </c>
      <c r="B39" s="59" t="s">
        <v>82</v>
      </c>
      <c r="C39" s="59" t="s">
        <v>33</v>
      </c>
      <c r="D39" s="59" t="s">
        <v>45</v>
      </c>
      <c r="E39" s="59" t="s">
        <v>273</v>
      </c>
      <c r="F39" s="59" t="s">
        <v>2273</v>
      </c>
    </row>
    <row r="40" spans="1:6">
      <c r="A40" s="58" t="s">
        <v>2277</v>
      </c>
      <c r="B40" s="59" t="s">
        <v>2277</v>
      </c>
      <c r="C40" s="59" t="s">
        <v>2277</v>
      </c>
      <c r="D40" s="59" t="s">
        <v>2275</v>
      </c>
      <c r="E40" s="59" t="s">
        <v>2275</v>
      </c>
      <c r="F40" s="59" t="s">
        <v>2276</v>
      </c>
    </row>
    <row r="41" spans="1:6">
      <c r="A41" s="58" t="s">
        <v>81</v>
      </c>
      <c r="B41" s="59" t="s">
        <v>82</v>
      </c>
      <c r="C41" s="59" t="s">
        <v>33</v>
      </c>
      <c r="D41" s="59" t="s">
        <v>45</v>
      </c>
      <c r="E41" s="59" t="s">
        <v>273</v>
      </c>
      <c r="F41" s="59" t="s">
        <v>2273</v>
      </c>
    </row>
    <row r="42" spans="1:6">
      <c r="A42" s="58" t="s">
        <v>2278</v>
      </c>
      <c r="B42" s="59" t="s">
        <v>2278</v>
      </c>
      <c r="C42" s="59" t="s">
        <v>2278</v>
      </c>
      <c r="D42" s="59" t="s">
        <v>2275</v>
      </c>
      <c r="E42" s="59" t="s">
        <v>2275</v>
      </c>
      <c r="F42" s="59" t="s">
        <v>2276</v>
      </c>
    </row>
    <row r="43" spans="1:6">
      <c r="A43" s="58" t="s">
        <v>140</v>
      </c>
      <c r="B43" s="59" t="s">
        <v>129</v>
      </c>
      <c r="C43" s="59" t="s">
        <v>125</v>
      </c>
      <c r="D43" s="59" t="s">
        <v>125</v>
      </c>
      <c r="E43" s="59" t="s">
        <v>277</v>
      </c>
      <c r="F43" s="59" t="s">
        <v>2273</v>
      </c>
    </row>
    <row r="44" spans="1:6">
      <c r="A44" s="58" t="s">
        <v>225</v>
      </c>
      <c r="B44" s="59" t="s">
        <v>110</v>
      </c>
      <c r="C44" s="59" t="s">
        <v>111</v>
      </c>
      <c r="D44" s="59" t="s">
        <v>45</v>
      </c>
      <c r="E44" s="59" t="s">
        <v>275</v>
      </c>
      <c r="F44" s="59" t="s">
        <v>2273</v>
      </c>
    </row>
    <row r="45" spans="1:6">
      <c r="A45" s="58" t="s">
        <v>86</v>
      </c>
      <c r="B45" s="59" t="s">
        <v>82</v>
      </c>
      <c r="C45" s="59" t="s">
        <v>33</v>
      </c>
      <c r="D45" s="59" t="s">
        <v>45</v>
      </c>
      <c r="E45" s="59" t="s">
        <v>273</v>
      </c>
      <c r="F45" s="59" t="s">
        <v>2273</v>
      </c>
    </row>
    <row r="46" spans="1:6">
      <c r="A46" s="58" t="s">
        <v>203</v>
      </c>
      <c r="B46" s="58" t="s">
        <v>54</v>
      </c>
      <c r="C46" s="59" t="s">
        <v>11</v>
      </c>
      <c r="D46" s="59" t="s">
        <v>45</v>
      </c>
      <c r="E46" s="59" t="s">
        <v>270</v>
      </c>
      <c r="F46" s="59" t="s">
        <v>2273</v>
      </c>
    </row>
    <row r="47" spans="1:6">
      <c r="A47" s="58" t="s">
        <v>152</v>
      </c>
      <c r="B47" s="59" t="s">
        <v>133</v>
      </c>
      <c r="C47" s="59" t="s">
        <v>125</v>
      </c>
      <c r="D47" s="59" t="s">
        <v>125</v>
      </c>
      <c r="E47" s="59" t="s">
        <v>277</v>
      </c>
      <c r="F47" s="59" t="s">
        <v>2273</v>
      </c>
    </row>
    <row r="48" spans="1:6">
      <c r="A48" s="58" t="s">
        <v>232</v>
      </c>
      <c r="B48" s="59" t="s">
        <v>110</v>
      </c>
      <c r="C48" s="59" t="s">
        <v>111</v>
      </c>
      <c r="D48" s="59" t="s">
        <v>45</v>
      </c>
      <c r="E48" s="59" t="s">
        <v>275</v>
      </c>
      <c r="F48" s="59" t="s">
        <v>2273</v>
      </c>
    </row>
    <row r="49" spans="1:6">
      <c r="A49" s="141" t="s">
        <v>98</v>
      </c>
      <c r="B49" s="59" t="s">
        <v>99</v>
      </c>
      <c r="C49" s="59" t="s">
        <v>100</v>
      </c>
      <c r="D49" s="59" t="s">
        <v>45</v>
      </c>
      <c r="E49" s="59" t="s">
        <v>276</v>
      </c>
      <c r="F49" s="59" t="s">
        <v>2273</v>
      </c>
    </row>
    <row r="50" spans="1:6">
      <c r="A50" s="58" t="s">
        <v>176</v>
      </c>
      <c r="B50" s="59" t="s">
        <v>174</v>
      </c>
      <c r="C50" s="59" t="s">
        <v>175</v>
      </c>
      <c r="D50" s="59" t="s">
        <v>45</v>
      </c>
      <c r="E50" s="59" t="s">
        <v>273</v>
      </c>
      <c r="F50" s="59" t="s">
        <v>2273</v>
      </c>
    </row>
    <row r="51" spans="1:6">
      <c r="A51" s="58" t="s">
        <v>115</v>
      </c>
      <c r="B51" s="59" t="s">
        <v>116</v>
      </c>
      <c r="C51" s="59" t="s">
        <v>25</v>
      </c>
      <c r="D51" s="59" t="s">
        <v>45</v>
      </c>
      <c r="E51" s="59" t="s">
        <v>275</v>
      </c>
      <c r="F51" s="59" t="s">
        <v>2273</v>
      </c>
    </row>
    <row r="52" spans="1:6">
      <c r="A52" s="141" t="s">
        <v>182</v>
      </c>
      <c r="B52" s="59" t="s">
        <v>92</v>
      </c>
      <c r="C52" s="59" t="s">
        <v>23</v>
      </c>
      <c r="D52" s="59" t="s">
        <v>45</v>
      </c>
      <c r="E52" s="59" t="s">
        <v>276</v>
      </c>
      <c r="F52" s="59" t="s">
        <v>2273</v>
      </c>
    </row>
    <row r="53" spans="1:6">
      <c r="A53" s="58" t="s">
        <v>195</v>
      </c>
      <c r="B53" s="59" t="s">
        <v>158</v>
      </c>
      <c r="C53" s="59" t="s">
        <v>29</v>
      </c>
      <c r="D53" s="59" t="s">
        <v>45</v>
      </c>
      <c r="E53" s="59" t="s">
        <v>270</v>
      </c>
      <c r="F53" s="59" t="s">
        <v>2273</v>
      </c>
    </row>
    <row r="54" spans="1:6">
      <c r="A54" s="58" t="s">
        <v>180</v>
      </c>
      <c r="B54" s="59" t="s">
        <v>106</v>
      </c>
      <c r="C54" s="142" t="s">
        <v>107</v>
      </c>
      <c r="D54" s="59" t="s">
        <v>282</v>
      </c>
      <c r="E54" s="59" t="s">
        <v>276</v>
      </c>
      <c r="F54" s="59" t="s">
        <v>282</v>
      </c>
    </row>
    <row r="55" spans="1:6">
      <c r="A55" s="58" t="s">
        <v>61</v>
      </c>
      <c r="B55" s="59" t="s">
        <v>59</v>
      </c>
      <c r="C55" s="59" t="s">
        <v>15</v>
      </c>
      <c r="D55" s="59" t="s">
        <v>45</v>
      </c>
      <c r="E55" s="59" t="s">
        <v>274</v>
      </c>
      <c r="F55" s="59" t="s">
        <v>2273</v>
      </c>
    </row>
    <row r="56" spans="1:6">
      <c r="A56" s="141" t="s">
        <v>202</v>
      </c>
      <c r="B56" s="59" t="s">
        <v>92</v>
      </c>
      <c r="C56" s="59" t="s">
        <v>23</v>
      </c>
      <c r="D56" s="59" t="s">
        <v>45</v>
      </c>
      <c r="E56" s="59" t="s">
        <v>276</v>
      </c>
      <c r="F56" s="59" t="s">
        <v>2273</v>
      </c>
    </row>
    <row r="57" spans="1:6">
      <c r="A57" s="143" t="s">
        <v>196</v>
      </c>
      <c r="B57" s="59" t="s">
        <v>106</v>
      </c>
      <c r="C57" s="142" t="s">
        <v>107</v>
      </c>
      <c r="D57" s="59" t="s">
        <v>282</v>
      </c>
      <c r="E57" s="59" t="s">
        <v>276</v>
      </c>
      <c r="F57" s="59" t="s">
        <v>282</v>
      </c>
    </row>
    <row r="58" spans="1:6">
      <c r="A58" s="58" t="s">
        <v>62</v>
      </c>
      <c r="B58" s="59" t="s">
        <v>59</v>
      </c>
      <c r="C58" s="59" t="s">
        <v>15</v>
      </c>
      <c r="D58" s="59" t="s">
        <v>45</v>
      </c>
      <c r="E58" s="59" t="s">
        <v>274</v>
      </c>
      <c r="F58" s="59" t="s">
        <v>2273</v>
      </c>
    </row>
    <row r="59" spans="1:6">
      <c r="A59" s="58" t="s">
        <v>145</v>
      </c>
      <c r="B59" s="59" t="s">
        <v>131</v>
      </c>
      <c r="C59" s="59" t="s">
        <v>125</v>
      </c>
      <c r="D59" s="59" t="s">
        <v>125</v>
      </c>
      <c r="E59" s="59" t="s">
        <v>277</v>
      </c>
      <c r="F59" s="59" t="s">
        <v>2273</v>
      </c>
    </row>
    <row r="60" spans="1:6">
      <c r="A60" s="58" t="s">
        <v>2227</v>
      </c>
      <c r="B60" s="59" t="s">
        <v>2227</v>
      </c>
      <c r="C60" s="59" t="s">
        <v>2227</v>
      </c>
      <c r="D60" s="59" t="s">
        <v>2275</v>
      </c>
      <c r="E60" s="59" t="s">
        <v>2275</v>
      </c>
      <c r="F60" s="59" t="s">
        <v>2276</v>
      </c>
    </row>
    <row r="61" spans="1:6">
      <c r="A61" s="58" t="s">
        <v>2223</v>
      </c>
      <c r="B61" s="59" t="s">
        <v>2223</v>
      </c>
      <c r="C61" s="59" t="s">
        <v>2223</v>
      </c>
      <c r="D61" s="59" t="s">
        <v>2275</v>
      </c>
      <c r="E61" s="59" t="s">
        <v>2275</v>
      </c>
      <c r="F61" s="59" t="s">
        <v>2276</v>
      </c>
    </row>
    <row r="62" spans="1:6">
      <c r="A62" s="58" t="s">
        <v>122</v>
      </c>
      <c r="B62" s="59" t="s">
        <v>116</v>
      </c>
      <c r="C62" s="59" t="s">
        <v>25</v>
      </c>
      <c r="D62" s="59" t="s">
        <v>45</v>
      </c>
      <c r="E62" s="59" t="s">
        <v>275</v>
      </c>
      <c r="F62" s="59" t="s">
        <v>2273</v>
      </c>
    </row>
    <row r="63" spans="1:6">
      <c r="A63" s="58" t="s">
        <v>68</v>
      </c>
      <c r="B63" s="59" t="s">
        <v>69</v>
      </c>
      <c r="C63" s="59" t="s">
        <v>17</v>
      </c>
      <c r="D63" s="59" t="s">
        <v>45</v>
      </c>
      <c r="E63" s="140" t="s">
        <v>273</v>
      </c>
      <c r="F63" s="59" t="s">
        <v>2273</v>
      </c>
    </row>
    <row r="64" spans="1:6">
      <c r="A64" s="58" t="s">
        <v>117</v>
      </c>
      <c r="B64" s="59" t="s">
        <v>116</v>
      </c>
      <c r="C64" s="59" t="s">
        <v>25</v>
      </c>
      <c r="D64" s="59" t="s">
        <v>45</v>
      </c>
      <c r="E64" s="59" t="s">
        <v>275</v>
      </c>
      <c r="F64" s="59" t="s">
        <v>2273</v>
      </c>
    </row>
    <row r="65" spans="1:6">
      <c r="A65" s="58" t="s">
        <v>146</v>
      </c>
      <c r="B65" s="59" t="s">
        <v>131</v>
      </c>
      <c r="C65" s="59" t="s">
        <v>125</v>
      </c>
      <c r="D65" s="59" t="s">
        <v>125</v>
      </c>
      <c r="E65" s="59" t="s">
        <v>277</v>
      </c>
      <c r="F65" s="59" t="s">
        <v>2273</v>
      </c>
    </row>
    <row r="66" spans="1:6">
      <c r="A66" s="58" t="s">
        <v>70</v>
      </c>
      <c r="B66" s="59" t="s">
        <v>69</v>
      </c>
      <c r="C66" s="59" t="s">
        <v>17</v>
      </c>
      <c r="D66" s="59" t="s">
        <v>45</v>
      </c>
      <c r="E66" s="140" t="s">
        <v>273</v>
      </c>
      <c r="F66" s="59" t="s">
        <v>2273</v>
      </c>
    </row>
    <row r="67" spans="1:6">
      <c r="A67" s="58" t="s">
        <v>71</v>
      </c>
      <c r="B67" s="59" t="s">
        <v>69</v>
      </c>
      <c r="C67" s="59" t="s">
        <v>17</v>
      </c>
      <c r="D67" s="59" t="s">
        <v>45</v>
      </c>
      <c r="E67" s="140" t="s">
        <v>273</v>
      </c>
      <c r="F67" s="59" t="s">
        <v>2273</v>
      </c>
    </row>
    <row r="68" spans="1:6">
      <c r="A68" s="144" t="s">
        <v>233</v>
      </c>
      <c r="B68" s="60" t="s">
        <v>69</v>
      </c>
      <c r="C68" s="60" t="s">
        <v>17</v>
      </c>
      <c r="D68" s="60" t="s">
        <v>45</v>
      </c>
      <c r="E68" s="60" t="s">
        <v>273</v>
      </c>
      <c r="F68" s="59" t="s">
        <v>2273</v>
      </c>
    </row>
    <row r="69" spans="1:6">
      <c r="A69" s="58" t="s">
        <v>63</v>
      </c>
      <c r="B69" s="59" t="s">
        <v>59</v>
      </c>
      <c r="C69" s="59" t="s">
        <v>15</v>
      </c>
      <c r="D69" s="59" t="s">
        <v>45</v>
      </c>
      <c r="E69" s="59" t="s">
        <v>274</v>
      </c>
      <c r="F69" s="59" t="s">
        <v>2273</v>
      </c>
    </row>
    <row r="70" spans="1:6">
      <c r="A70" s="59" t="s">
        <v>211</v>
      </c>
      <c r="B70" s="59" t="s">
        <v>131</v>
      </c>
      <c r="C70" s="59" t="s">
        <v>125</v>
      </c>
      <c r="D70" s="59" t="s">
        <v>125</v>
      </c>
      <c r="E70" s="59" t="s">
        <v>277</v>
      </c>
      <c r="F70" s="59" t="s">
        <v>2273</v>
      </c>
    </row>
    <row r="71" spans="1:6">
      <c r="A71" s="58" t="s">
        <v>121</v>
      </c>
      <c r="B71" s="59" t="s">
        <v>116</v>
      </c>
      <c r="C71" s="59" t="s">
        <v>25</v>
      </c>
      <c r="D71" s="59" t="s">
        <v>45</v>
      </c>
      <c r="E71" s="59" t="s">
        <v>275</v>
      </c>
      <c r="F71" s="59" t="s">
        <v>2273</v>
      </c>
    </row>
    <row r="72" spans="1:6">
      <c r="A72" s="145" t="s">
        <v>217</v>
      </c>
      <c r="B72" s="59" t="s">
        <v>133</v>
      </c>
      <c r="C72" s="59" t="s">
        <v>125</v>
      </c>
      <c r="D72" s="59" t="s">
        <v>125</v>
      </c>
      <c r="E72" s="59" t="s">
        <v>277</v>
      </c>
      <c r="F72" s="59" t="s">
        <v>2273</v>
      </c>
    </row>
    <row r="73" spans="1:6">
      <c r="A73" s="58" t="s">
        <v>153</v>
      </c>
      <c r="B73" s="59" t="s">
        <v>133</v>
      </c>
      <c r="C73" s="59" t="s">
        <v>125</v>
      </c>
      <c r="D73" s="59" t="s">
        <v>125</v>
      </c>
      <c r="E73" s="59" t="s">
        <v>277</v>
      </c>
      <c r="F73" s="59" t="s">
        <v>2273</v>
      </c>
    </row>
    <row r="74" spans="1:6">
      <c r="A74" s="58" t="s">
        <v>142</v>
      </c>
      <c r="B74" s="59" t="s">
        <v>129</v>
      </c>
      <c r="C74" s="59" t="s">
        <v>125</v>
      </c>
      <c r="D74" s="59" t="s">
        <v>125</v>
      </c>
      <c r="E74" s="59" t="s">
        <v>277</v>
      </c>
      <c r="F74" s="59" t="s">
        <v>2273</v>
      </c>
    </row>
    <row r="75" spans="1:6">
      <c r="A75" s="58" t="s">
        <v>197</v>
      </c>
      <c r="B75" s="59" t="s">
        <v>124</v>
      </c>
      <c r="C75" s="59" t="s">
        <v>125</v>
      </c>
      <c r="D75" s="59" t="s">
        <v>125</v>
      </c>
      <c r="E75" s="59" t="s">
        <v>277</v>
      </c>
      <c r="F75" s="59" t="s">
        <v>2273</v>
      </c>
    </row>
    <row r="76" spans="1:6">
      <c r="A76" s="58" t="s">
        <v>181</v>
      </c>
      <c r="B76" s="59" t="s">
        <v>149</v>
      </c>
      <c r="C76" s="59" t="s">
        <v>125</v>
      </c>
      <c r="D76" s="59" t="s">
        <v>125</v>
      </c>
      <c r="E76" s="59" t="s">
        <v>277</v>
      </c>
      <c r="F76" s="59" t="s">
        <v>2273</v>
      </c>
    </row>
    <row r="77" spans="1:6">
      <c r="A77" s="58" t="s">
        <v>221</v>
      </c>
      <c r="B77" s="59" t="s">
        <v>59</v>
      </c>
      <c r="C77" s="59" t="s">
        <v>15</v>
      </c>
      <c r="D77" s="59" t="s">
        <v>45</v>
      </c>
      <c r="E77" s="59" t="s">
        <v>274</v>
      </c>
      <c r="F77" s="59" t="s">
        <v>2273</v>
      </c>
    </row>
    <row r="78" spans="1:6">
      <c r="A78" s="58" t="s">
        <v>198</v>
      </c>
      <c r="B78" s="59" t="s">
        <v>186</v>
      </c>
      <c r="C78" s="142" t="s">
        <v>187</v>
      </c>
      <c r="D78" s="59" t="s">
        <v>282</v>
      </c>
      <c r="E78" s="59" t="s">
        <v>276</v>
      </c>
      <c r="F78" s="59" t="s">
        <v>282</v>
      </c>
    </row>
    <row r="79" spans="1:6">
      <c r="A79" s="141" t="s">
        <v>208</v>
      </c>
      <c r="B79" s="59" t="s">
        <v>209</v>
      </c>
      <c r="C79" s="59" t="s">
        <v>100</v>
      </c>
      <c r="D79" s="59" t="s">
        <v>45</v>
      </c>
      <c r="E79" s="59" t="s">
        <v>276</v>
      </c>
      <c r="F79" s="59" t="s">
        <v>2273</v>
      </c>
    </row>
    <row r="80" spans="1:6">
      <c r="A80" s="141" t="s">
        <v>214</v>
      </c>
      <c r="B80" s="59" t="s">
        <v>94</v>
      </c>
      <c r="C80" s="59" t="s">
        <v>23</v>
      </c>
      <c r="D80" s="59" t="s">
        <v>45</v>
      </c>
      <c r="E80" s="59" t="s">
        <v>276</v>
      </c>
      <c r="F80" s="59" t="s">
        <v>2273</v>
      </c>
    </row>
    <row r="81" spans="1:6">
      <c r="A81" s="141" t="s">
        <v>101</v>
      </c>
      <c r="B81" s="59" t="s">
        <v>99</v>
      </c>
      <c r="C81" s="59" t="s">
        <v>100</v>
      </c>
      <c r="D81" s="59" t="s">
        <v>45</v>
      </c>
      <c r="E81" s="59" t="s">
        <v>276</v>
      </c>
      <c r="F81" s="59" t="s">
        <v>2273</v>
      </c>
    </row>
    <row r="82" spans="1:6">
      <c r="A82" s="58" t="s">
        <v>191</v>
      </c>
      <c r="B82" s="59" t="s">
        <v>186</v>
      </c>
      <c r="C82" s="142" t="s">
        <v>187</v>
      </c>
      <c r="D82" s="59" t="s">
        <v>282</v>
      </c>
      <c r="E82" s="59" t="s">
        <v>276</v>
      </c>
      <c r="F82" s="59" t="s">
        <v>282</v>
      </c>
    </row>
    <row r="83" spans="1:6">
      <c r="A83" s="58" t="s">
        <v>137</v>
      </c>
      <c r="B83" s="59" t="s">
        <v>149</v>
      </c>
      <c r="C83" s="59" t="s">
        <v>125</v>
      </c>
      <c r="D83" s="59" t="s">
        <v>125</v>
      </c>
      <c r="E83" s="59" t="s">
        <v>277</v>
      </c>
      <c r="F83" s="59" t="s">
        <v>2273</v>
      </c>
    </row>
    <row r="84" spans="1:6">
      <c r="A84" s="58" t="s">
        <v>157</v>
      </c>
      <c r="B84" s="59" t="s">
        <v>158</v>
      </c>
      <c r="C84" s="59" t="s">
        <v>29</v>
      </c>
      <c r="D84" s="59" t="s">
        <v>45</v>
      </c>
      <c r="E84" s="59" t="s">
        <v>270</v>
      </c>
      <c r="F84" s="59" t="s">
        <v>2273</v>
      </c>
    </row>
    <row r="85" spans="1:6">
      <c r="A85" s="58" t="s">
        <v>167</v>
      </c>
      <c r="B85" s="58" t="s">
        <v>168</v>
      </c>
      <c r="C85" s="59" t="s">
        <v>38</v>
      </c>
      <c r="D85" s="59" t="s">
        <v>45</v>
      </c>
      <c r="E85" s="59" t="s">
        <v>274</v>
      </c>
      <c r="F85" s="59" t="s">
        <v>2273</v>
      </c>
    </row>
    <row r="86" spans="1:6">
      <c r="A86" s="58" t="s">
        <v>55</v>
      </c>
      <c r="B86" s="59" t="s">
        <v>56</v>
      </c>
      <c r="C86" s="59" t="s">
        <v>13</v>
      </c>
      <c r="D86" s="59" t="s">
        <v>45</v>
      </c>
      <c r="E86" s="59" t="s">
        <v>270</v>
      </c>
      <c r="F86" s="59" t="s">
        <v>2273</v>
      </c>
    </row>
    <row r="87" spans="1:6">
      <c r="A87" s="58" t="s">
        <v>159</v>
      </c>
      <c r="B87" s="59" t="s">
        <v>158</v>
      </c>
      <c r="C87" s="59" t="s">
        <v>29</v>
      </c>
      <c r="D87" s="59" t="s">
        <v>45</v>
      </c>
      <c r="E87" s="59" t="s">
        <v>270</v>
      </c>
      <c r="F87" s="59" t="s">
        <v>2273</v>
      </c>
    </row>
    <row r="88" spans="1:6">
      <c r="A88" s="58" t="s">
        <v>177</v>
      </c>
      <c r="B88" s="59" t="s">
        <v>174</v>
      </c>
      <c r="C88" s="59" t="s">
        <v>175</v>
      </c>
      <c r="D88" s="59" t="s">
        <v>45</v>
      </c>
      <c r="E88" s="59" t="s">
        <v>273</v>
      </c>
      <c r="F88" s="59" t="s">
        <v>2273</v>
      </c>
    </row>
    <row r="89" spans="1:6">
      <c r="A89" s="58" t="s">
        <v>2279</v>
      </c>
      <c r="B89" s="59" t="s">
        <v>2279</v>
      </c>
      <c r="C89" s="59" t="s">
        <v>2279</v>
      </c>
      <c r="D89" s="59" t="s">
        <v>2275</v>
      </c>
      <c r="E89" s="59" t="s">
        <v>2275</v>
      </c>
      <c r="F89" s="59" t="s">
        <v>2275</v>
      </c>
    </row>
    <row r="90" spans="1:6">
      <c r="A90" s="59" t="s">
        <v>212</v>
      </c>
      <c r="B90" s="59" t="s">
        <v>149</v>
      </c>
      <c r="C90" s="59" t="s">
        <v>125</v>
      </c>
      <c r="D90" s="59" t="s">
        <v>125</v>
      </c>
      <c r="E90" s="59" t="s">
        <v>277</v>
      </c>
      <c r="F90" s="59" t="s">
        <v>2273</v>
      </c>
    </row>
    <row r="91" spans="1:6">
      <c r="A91" s="58" t="s">
        <v>73</v>
      </c>
      <c r="B91" s="59" t="s">
        <v>74</v>
      </c>
      <c r="C91" s="59" t="s">
        <v>17</v>
      </c>
      <c r="D91" s="59" t="s">
        <v>45</v>
      </c>
      <c r="E91" s="140" t="s">
        <v>273</v>
      </c>
      <c r="F91" s="59" t="s">
        <v>2273</v>
      </c>
    </row>
    <row r="92" spans="1:6">
      <c r="A92" s="58" t="s">
        <v>118</v>
      </c>
      <c r="B92" s="59" t="s">
        <v>116</v>
      </c>
      <c r="C92" s="59" t="s">
        <v>25</v>
      </c>
      <c r="D92" s="59" t="s">
        <v>45</v>
      </c>
      <c r="E92" s="59" t="s">
        <v>275</v>
      </c>
      <c r="F92" s="59" t="s">
        <v>2273</v>
      </c>
    </row>
    <row r="93" spans="1:6">
      <c r="A93" s="58" t="s">
        <v>119</v>
      </c>
      <c r="B93" s="59" t="s">
        <v>116</v>
      </c>
      <c r="C93" s="59" t="s">
        <v>25</v>
      </c>
      <c r="D93" s="59" t="s">
        <v>45</v>
      </c>
      <c r="E93" s="59" t="s">
        <v>275</v>
      </c>
      <c r="F93" s="59" t="s">
        <v>2273</v>
      </c>
    </row>
    <row r="94" spans="1:6">
      <c r="A94" s="141" t="s">
        <v>93</v>
      </c>
      <c r="B94" s="59" t="s">
        <v>94</v>
      </c>
      <c r="C94" s="59" t="s">
        <v>23</v>
      </c>
      <c r="D94" s="59" t="s">
        <v>45</v>
      </c>
      <c r="E94" s="59" t="s">
        <v>276</v>
      </c>
      <c r="F94" s="59" t="s">
        <v>2273</v>
      </c>
    </row>
    <row r="95" spans="1:6">
      <c r="A95" s="58" t="s">
        <v>204</v>
      </c>
      <c r="B95" s="59" t="s">
        <v>186</v>
      </c>
      <c r="C95" s="142" t="s">
        <v>187</v>
      </c>
      <c r="D95" s="59" t="s">
        <v>282</v>
      </c>
      <c r="E95" s="59" t="s">
        <v>276</v>
      </c>
      <c r="F95" s="59" t="s">
        <v>282</v>
      </c>
    </row>
    <row r="96" spans="1:6">
      <c r="A96" s="58" t="s">
        <v>147</v>
      </c>
      <c r="B96" s="59" t="s">
        <v>131</v>
      </c>
      <c r="C96" s="59" t="s">
        <v>125</v>
      </c>
      <c r="D96" s="59" t="s">
        <v>125</v>
      </c>
      <c r="E96" s="59" t="s">
        <v>277</v>
      </c>
      <c r="F96" s="59" t="s">
        <v>2273</v>
      </c>
    </row>
    <row r="97" spans="1:6">
      <c r="A97" s="58" t="s">
        <v>213</v>
      </c>
      <c r="B97" s="58" t="s">
        <v>168</v>
      </c>
      <c r="C97" s="59" t="s">
        <v>38</v>
      </c>
      <c r="D97" s="59" t="s">
        <v>45</v>
      </c>
      <c r="E97" s="60" t="s">
        <v>274</v>
      </c>
      <c r="F97" s="59" t="s">
        <v>2273</v>
      </c>
    </row>
    <row r="98" spans="1:6">
      <c r="A98" s="58" t="s">
        <v>143</v>
      </c>
      <c r="B98" s="59" t="s">
        <v>129</v>
      </c>
      <c r="C98" s="59" t="s">
        <v>125</v>
      </c>
      <c r="D98" s="59" t="s">
        <v>125</v>
      </c>
      <c r="E98" s="59" t="s">
        <v>277</v>
      </c>
      <c r="F98" s="59" t="s">
        <v>2273</v>
      </c>
    </row>
    <row r="99" spans="1:6">
      <c r="A99" s="58" t="s">
        <v>135</v>
      </c>
      <c r="B99" s="59" t="s">
        <v>124</v>
      </c>
      <c r="C99" s="59" t="s">
        <v>125</v>
      </c>
      <c r="D99" s="59" t="s">
        <v>125</v>
      </c>
      <c r="E99" s="59" t="s">
        <v>277</v>
      </c>
      <c r="F99" s="59" t="s">
        <v>2273</v>
      </c>
    </row>
    <row r="100" spans="1:6">
      <c r="A100" s="58" t="s">
        <v>207</v>
      </c>
      <c r="B100" s="59" t="s">
        <v>106</v>
      </c>
      <c r="C100" s="142" t="s">
        <v>107</v>
      </c>
      <c r="D100" s="59" t="s">
        <v>282</v>
      </c>
      <c r="E100" s="59" t="s">
        <v>276</v>
      </c>
      <c r="F100" s="59" t="s">
        <v>282</v>
      </c>
    </row>
    <row r="101" spans="1:6">
      <c r="A101" s="58" t="s">
        <v>76</v>
      </c>
      <c r="B101" s="59" t="s">
        <v>74</v>
      </c>
      <c r="C101" s="59" t="s">
        <v>17</v>
      </c>
      <c r="D101" s="59" t="s">
        <v>45</v>
      </c>
      <c r="E101" s="140" t="s">
        <v>273</v>
      </c>
      <c r="F101" s="59" t="s">
        <v>2273</v>
      </c>
    </row>
    <row r="102" spans="1:6">
      <c r="A102" s="58" t="s">
        <v>75</v>
      </c>
      <c r="B102" s="59" t="s">
        <v>74</v>
      </c>
      <c r="C102" s="59" t="s">
        <v>17</v>
      </c>
      <c r="D102" s="59" t="s">
        <v>45</v>
      </c>
      <c r="E102" s="140" t="s">
        <v>273</v>
      </c>
      <c r="F102" s="59" t="s">
        <v>2273</v>
      </c>
    </row>
    <row r="103" spans="1:6">
      <c r="A103" s="58" t="s">
        <v>120</v>
      </c>
      <c r="B103" s="59" t="s">
        <v>116</v>
      </c>
      <c r="C103" s="59" t="s">
        <v>25</v>
      </c>
      <c r="D103" s="59" t="s">
        <v>45</v>
      </c>
      <c r="E103" s="59" t="s">
        <v>275</v>
      </c>
      <c r="F103" s="59" t="s">
        <v>2273</v>
      </c>
    </row>
    <row r="104" spans="1:6">
      <c r="A104" s="58" t="s">
        <v>220</v>
      </c>
      <c r="B104" s="59" t="s">
        <v>186</v>
      </c>
      <c r="C104" s="142" t="s">
        <v>187</v>
      </c>
      <c r="D104" s="59" t="s">
        <v>282</v>
      </c>
      <c r="E104" s="59" t="s">
        <v>276</v>
      </c>
      <c r="F104" s="59" t="s">
        <v>282</v>
      </c>
    </row>
    <row r="105" spans="1:6">
      <c r="A105" s="58" t="s">
        <v>206</v>
      </c>
      <c r="B105" s="59" t="s">
        <v>158</v>
      </c>
      <c r="C105" s="59" t="s">
        <v>29</v>
      </c>
      <c r="D105" s="59" t="s">
        <v>45</v>
      </c>
      <c r="E105" s="59" t="s">
        <v>270</v>
      </c>
      <c r="F105" s="59" t="s">
        <v>2273</v>
      </c>
    </row>
    <row r="106" spans="1:6">
      <c r="A106" s="58" t="s">
        <v>36</v>
      </c>
      <c r="B106" s="59" t="s">
        <v>36</v>
      </c>
      <c r="C106" s="59" t="s">
        <v>36</v>
      </c>
      <c r="D106" s="59" t="s">
        <v>2275</v>
      </c>
      <c r="E106" s="59" t="s">
        <v>2275</v>
      </c>
      <c r="F106" s="59" t="s">
        <v>2276</v>
      </c>
    </row>
    <row r="107" spans="1:6">
      <c r="A107" s="58" t="s">
        <v>205</v>
      </c>
      <c r="B107" s="59" t="s">
        <v>56</v>
      </c>
      <c r="C107" s="59" t="s">
        <v>13</v>
      </c>
      <c r="D107" s="59" t="s">
        <v>45</v>
      </c>
      <c r="E107" s="59" t="s">
        <v>270</v>
      </c>
      <c r="F107" s="59" t="s">
        <v>2273</v>
      </c>
    </row>
    <row r="108" spans="1:6">
      <c r="A108" s="58" t="s">
        <v>155</v>
      </c>
      <c r="B108" s="59" t="s">
        <v>129</v>
      </c>
      <c r="C108" s="59" t="s">
        <v>125</v>
      </c>
      <c r="D108" s="59" t="s">
        <v>125</v>
      </c>
      <c r="E108" s="59" t="s">
        <v>277</v>
      </c>
      <c r="F108" s="59" t="s">
        <v>2273</v>
      </c>
    </row>
    <row r="109" spans="1:6">
      <c r="A109" s="58" t="s">
        <v>162</v>
      </c>
      <c r="B109" s="59" t="s">
        <v>163</v>
      </c>
      <c r="C109" s="59" t="s">
        <v>34</v>
      </c>
      <c r="D109" s="59" t="s">
        <v>45</v>
      </c>
      <c r="E109" s="59" t="s">
        <v>275</v>
      </c>
      <c r="F109" s="59" t="s">
        <v>2273</v>
      </c>
    </row>
    <row r="110" spans="1:6">
      <c r="A110" s="58" t="s">
        <v>164</v>
      </c>
      <c r="B110" s="59" t="s">
        <v>163</v>
      </c>
      <c r="C110" s="59" t="s">
        <v>34</v>
      </c>
      <c r="D110" s="59" t="s">
        <v>45</v>
      </c>
      <c r="E110" s="59" t="s">
        <v>275</v>
      </c>
      <c r="F110" s="59" t="s">
        <v>2273</v>
      </c>
    </row>
    <row r="111" spans="1:6">
      <c r="A111" s="58" t="s">
        <v>57</v>
      </c>
      <c r="B111" s="59" t="s">
        <v>56</v>
      </c>
      <c r="C111" s="59" t="s">
        <v>13</v>
      </c>
      <c r="D111" s="59" t="s">
        <v>45</v>
      </c>
      <c r="E111" s="59" t="s">
        <v>270</v>
      </c>
      <c r="F111" s="59" t="s">
        <v>2273</v>
      </c>
    </row>
    <row r="112" spans="1:6">
      <c r="A112" s="58" t="s">
        <v>171</v>
      </c>
      <c r="B112" s="58" t="s">
        <v>168</v>
      </c>
      <c r="C112" s="59" t="s">
        <v>38</v>
      </c>
      <c r="D112" s="59" t="s">
        <v>45</v>
      </c>
      <c r="E112" s="59" t="s">
        <v>274</v>
      </c>
      <c r="F112" s="59" t="s">
        <v>2273</v>
      </c>
    </row>
    <row r="113" spans="1:6">
      <c r="A113" s="58" t="s">
        <v>188</v>
      </c>
      <c r="B113" s="59" t="s">
        <v>163</v>
      </c>
      <c r="C113" s="59" t="s">
        <v>34</v>
      </c>
      <c r="D113" s="59" t="s">
        <v>45</v>
      </c>
      <c r="E113" s="59" t="s">
        <v>275</v>
      </c>
      <c r="F113" s="59" t="s">
        <v>2273</v>
      </c>
    </row>
    <row r="114" spans="1:6">
      <c r="A114" s="144" t="s">
        <v>244</v>
      </c>
      <c r="B114" s="58" t="s">
        <v>74</v>
      </c>
      <c r="C114" s="60" t="s">
        <v>17</v>
      </c>
      <c r="D114" s="60" t="s">
        <v>45</v>
      </c>
      <c r="E114" s="60" t="s">
        <v>273</v>
      </c>
      <c r="F114" s="59" t="s">
        <v>2273</v>
      </c>
    </row>
    <row r="115" spans="1:6">
      <c r="A115" s="58" t="s">
        <v>2280</v>
      </c>
      <c r="B115" s="59" t="s">
        <v>2280</v>
      </c>
      <c r="C115" s="59" t="s">
        <v>2280</v>
      </c>
      <c r="D115" s="59" t="s">
        <v>2275</v>
      </c>
      <c r="E115" s="59" t="s">
        <v>2275</v>
      </c>
      <c r="F115" s="59" t="s">
        <v>2276</v>
      </c>
    </row>
    <row r="116" spans="1:6">
      <c r="A116" s="58" t="s">
        <v>201</v>
      </c>
      <c r="B116" s="58" t="s">
        <v>168</v>
      </c>
      <c r="C116" s="59" t="s">
        <v>38</v>
      </c>
      <c r="D116" s="59" t="s">
        <v>45</v>
      </c>
      <c r="E116" s="59" t="s">
        <v>274</v>
      </c>
      <c r="F116" s="59" t="s">
        <v>2273</v>
      </c>
    </row>
    <row r="117" spans="1:6">
      <c r="A117" s="58" t="s">
        <v>80</v>
      </c>
      <c r="B117" s="59" t="s">
        <v>79</v>
      </c>
      <c r="C117" s="59" t="s">
        <v>17</v>
      </c>
      <c r="D117" s="59" t="s">
        <v>45</v>
      </c>
      <c r="E117" s="140" t="s">
        <v>273</v>
      </c>
      <c r="F117" s="59" t="s">
        <v>2273</v>
      </c>
    </row>
    <row r="118" spans="1:6">
      <c r="A118" s="58" t="s">
        <v>170</v>
      </c>
      <c r="B118" s="58" t="s">
        <v>168</v>
      </c>
      <c r="C118" s="59" t="s">
        <v>38</v>
      </c>
      <c r="D118" s="59" t="s">
        <v>45</v>
      </c>
      <c r="E118" s="59" t="s">
        <v>274</v>
      </c>
      <c r="F118" s="59" t="s">
        <v>2273</v>
      </c>
    </row>
    <row r="119" spans="1:6">
      <c r="A119" s="58" t="s">
        <v>156</v>
      </c>
      <c r="B119" s="59" t="s">
        <v>149</v>
      </c>
      <c r="C119" s="59" t="s">
        <v>125</v>
      </c>
      <c r="D119" s="59" t="s">
        <v>125</v>
      </c>
      <c r="E119" s="59" t="s">
        <v>277</v>
      </c>
      <c r="F119" s="59" t="s">
        <v>2273</v>
      </c>
    </row>
    <row r="120" spans="1:6">
      <c r="A120" s="141" t="s">
        <v>104</v>
      </c>
      <c r="B120" s="59" t="s">
        <v>99</v>
      </c>
      <c r="C120" s="59" t="s">
        <v>100</v>
      </c>
      <c r="D120" s="59" t="s">
        <v>45</v>
      </c>
      <c r="E120" s="59" t="s">
        <v>276</v>
      </c>
      <c r="F120" s="59" t="s">
        <v>2273</v>
      </c>
    </row>
    <row r="121" spans="1:6">
      <c r="A121" s="58" t="s">
        <v>90</v>
      </c>
      <c r="B121" s="59" t="s">
        <v>88</v>
      </c>
      <c r="C121" s="59" t="s">
        <v>19</v>
      </c>
      <c r="D121" s="59" t="s">
        <v>45</v>
      </c>
      <c r="E121" s="59" t="s">
        <v>270</v>
      </c>
      <c r="F121" s="59" t="s">
        <v>2273</v>
      </c>
    </row>
    <row r="122" spans="1:6">
      <c r="A122" s="58" t="s">
        <v>165</v>
      </c>
      <c r="B122" s="59" t="s">
        <v>163</v>
      </c>
      <c r="C122" s="59" t="s">
        <v>34</v>
      </c>
      <c r="D122" s="59" t="s">
        <v>45</v>
      </c>
      <c r="E122" s="59" t="s">
        <v>275</v>
      </c>
      <c r="F122" s="59" t="s">
        <v>2273</v>
      </c>
    </row>
    <row r="123" spans="1:6">
      <c r="A123" s="141" t="s">
        <v>103</v>
      </c>
      <c r="B123" s="59" t="s">
        <v>99</v>
      </c>
      <c r="C123" s="59" t="s">
        <v>100</v>
      </c>
      <c r="D123" s="59" t="s">
        <v>45</v>
      </c>
      <c r="E123" s="59" t="s">
        <v>276</v>
      </c>
      <c r="F123" s="59" t="s">
        <v>2273</v>
      </c>
    </row>
    <row r="124" spans="1:6">
      <c r="A124" s="141" t="s">
        <v>97</v>
      </c>
      <c r="B124" s="59" t="s">
        <v>94</v>
      </c>
      <c r="C124" s="59" t="s">
        <v>23</v>
      </c>
      <c r="D124" s="59" t="s">
        <v>45</v>
      </c>
      <c r="E124" s="59" t="s">
        <v>276</v>
      </c>
      <c r="F124" s="59" t="s">
        <v>2273</v>
      </c>
    </row>
    <row r="125" spans="1:6">
      <c r="A125" s="58" t="s">
        <v>136</v>
      </c>
      <c r="B125" s="59" t="s">
        <v>124</v>
      </c>
      <c r="C125" s="59" t="s">
        <v>125</v>
      </c>
      <c r="D125" s="59" t="s">
        <v>125</v>
      </c>
      <c r="E125" s="59" t="s">
        <v>277</v>
      </c>
      <c r="F125" s="59" t="s">
        <v>2273</v>
      </c>
    </row>
    <row r="126" spans="1:6">
      <c r="A126" s="58" t="s">
        <v>160</v>
      </c>
      <c r="B126" s="59" t="s">
        <v>158</v>
      </c>
      <c r="C126" s="59" t="s">
        <v>29</v>
      </c>
      <c r="D126" s="59" t="s">
        <v>45</v>
      </c>
      <c r="E126" s="59" t="s">
        <v>270</v>
      </c>
      <c r="F126" s="59" t="s">
        <v>2273</v>
      </c>
    </row>
    <row r="127" spans="1:6">
      <c r="A127" s="58" t="s">
        <v>172</v>
      </c>
      <c r="B127" s="58" t="s">
        <v>168</v>
      </c>
      <c r="C127" s="59" t="s">
        <v>38</v>
      </c>
      <c r="D127" s="59" t="s">
        <v>45</v>
      </c>
      <c r="E127" s="59" t="s">
        <v>274</v>
      </c>
      <c r="F127" s="59" t="s">
        <v>2273</v>
      </c>
    </row>
    <row r="128" spans="1:6">
      <c r="A128" s="58" t="s">
        <v>222</v>
      </c>
      <c r="B128" s="59" t="s">
        <v>56</v>
      </c>
      <c r="C128" s="59" t="s">
        <v>13</v>
      </c>
      <c r="D128" s="59" t="s">
        <v>45</v>
      </c>
      <c r="E128" s="59" t="s">
        <v>270</v>
      </c>
      <c r="F128" s="59" t="s">
        <v>2273</v>
      </c>
    </row>
    <row r="129" spans="1:6">
      <c r="A129" s="58" t="s">
        <v>223</v>
      </c>
      <c r="B129" s="59" t="s">
        <v>99</v>
      </c>
      <c r="C129" s="59" t="s">
        <v>100</v>
      </c>
      <c r="D129" s="59" t="s">
        <v>45</v>
      </c>
      <c r="E129" s="59" t="s">
        <v>276</v>
      </c>
      <c r="F129" s="59" t="s">
        <v>2273</v>
      </c>
    </row>
    <row r="130" spans="1:6">
      <c r="A130" s="58" t="s">
        <v>224</v>
      </c>
      <c r="B130" s="59" t="s">
        <v>174</v>
      </c>
      <c r="C130" s="59" t="s">
        <v>175</v>
      </c>
      <c r="D130" s="59" t="s">
        <v>45</v>
      </c>
      <c r="E130" s="59" t="s">
        <v>273</v>
      </c>
      <c r="F130" s="59" t="s">
        <v>2273</v>
      </c>
    </row>
    <row r="131" spans="1:6">
      <c r="A131" s="58" t="s">
        <v>166</v>
      </c>
      <c r="B131" s="59" t="s">
        <v>163</v>
      </c>
      <c r="C131" s="59" t="s">
        <v>34</v>
      </c>
      <c r="D131" s="59" t="s">
        <v>45</v>
      </c>
      <c r="E131" s="59" t="s">
        <v>275</v>
      </c>
      <c r="F131" s="59" t="s">
        <v>2273</v>
      </c>
    </row>
    <row r="132" spans="1:6">
      <c r="A132" s="59" t="s">
        <v>226</v>
      </c>
      <c r="B132" s="59" t="s">
        <v>88</v>
      </c>
      <c r="C132" s="59" t="s">
        <v>19</v>
      </c>
      <c r="D132" s="59" t="s">
        <v>45</v>
      </c>
      <c r="E132" s="59" t="s">
        <v>270</v>
      </c>
      <c r="F132" s="59" t="s">
        <v>2273</v>
      </c>
    </row>
    <row r="133" spans="1:6">
      <c r="A133" s="58" t="s">
        <v>227</v>
      </c>
      <c r="B133" s="59" t="s">
        <v>99</v>
      </c>
      <c r="C133" s="59" t="s">
        <v>100</v>
      </c>
      <c r="D133" s="59" t="s">
        <v>45</v>
      </c>
      <c r="E133" s="59" t="s">
        <v>276</v>
      </c>
      <c r="F133" s="59" t="s">
        <v>2273</v>
      </c>
    </row>
    <row r="134" spans="1:6">
      <c r="A134" s="58" t="s">
        <v>183</v>
      </c>
      <c r="B134" s="59" t="s">
        <v>149</v>
      </c>
      <c r="C134" s="59" t="s">
        <v>125</v>
      </c>
      <c r="D134" s="59" t="s">
        <v>125</v>
      </c>
      <c r="E134" s="59" t="s">
        <v>277</v>
      </c>
      <c r="F134" s="59" t="s">
        <v>2273</v>
      </c>
    </row>
    <row r="135" spans="1:6">
      <c r="A135" s="58" t="s">
        <v>231</v>
      </c>
      <c r="B135" s="58" t="s">
        <v>168</v>
      </c>
      <c r="C135" s="59" t="s">
        <v>38</v>
      </c>
      <c r="D135" s="59" t="s">
        <v>45</v>
      </c>
      <c r="E135" s="59" t="s">
        <v>274</v>
      </c>
      <c r="F135" s="59" t="s">
        <v>2273</v>
      </c>
    </row>
    <row r="136" spans="1:6">
      <c r="A136" s="58" t="s">
        <v>2281</v>
      </c>
      <c r="B136" s="59" t="s">
        <v>163</v>
      </c>
      <c r="C136" s="59" t="s">
        <v>34</v>
      </c>
      <c r="D136" s="59" t="s">
        <v>45</v>
      </c>
      <c r="E136" s="59" t="s">
        <v>275</v>
      </c>
      <c r="F136" s="59" t="s">
        <v>2273</v>
      </c>
    </row>
    <row r="137" spans="1:6">
      <c r="A137" s="58" t="s">
        <v>234</v>
      </c>
      <c r="B137" s="59" t="s">
        <v>186</v>
      </c>
      <c r="C137" s="142" t="s">
        <v>187</v>
      </c>
      <c r="D137" s="59" t="s">
        <v>282</v>
      </c>
      <c r="E137" s="59" t="s">
        <v>276</v>
      </c>
      <c r="F137" s="59" t="s">
        <v>187</v>
      </c>
    </row>
    <row r="138" spans="1:6">
      <c r="A138" s="58" t="s">
        <v>64</v>
      </c>
      <c r="B138" s="59" t="s">
        <v>59</v>
      </c>
      <c r="C138" s="59" t="s">
        <v>15</v>
      </c>
      <c r="D138" s="59" t="s">
        <v>45</v>
      </c>
      <c r="E138" s="59" t="s">
        <v>274</v>
      </c>
      <c r="F138" s="59" t="s">
        <v>2273</v>
      </c>
    </row>
    <row r="139" spans="1:6">
      <c r="A139" s="58" t="s">
        <v>2282</v>
      </c>
      <c r="B139" s="58" t="s">
        <v>54</v>
      </c>
      <c r="C139" s="59" t="s">
        <v>11</v>
      </c>
      <c r="D139" s="59" t="s">
        <v>45</v>
      </c>
      <c r="E139" s="59" t="s">
        <v>270</v>
      </c>
      <c r="F139" s="59" t="s">
        <v>2273</v>
      </c>
    </row>
    <row r="140" spans="1:6">
      <c r="A140" s="58" t="s">
        <v>236</v>
      </c>
      <c r="B140" s="59" t="s">
        <v>59</v>
      </c>
      <c r="C140" s="59" t="s">
        <v>15</v>
      </c>
      <c r="D140" s="59" t="s">
        <v>45</v>
      </c>
      <c r="E140" s="59" t="s">
        <v>274</v>
      </c>
      <c r="F140" s="59" t="s">
        <v>2273</v>
      </c>
    </row>
    <row r="141" spans="1:6">
      <c r="A141" s="58" t="s">
        <v>237</v>
      </c>
      <c r="B141" s="59" t="s">
        <v>59</v>
      </c>
      <c r="C141" s="59" t="s">
        <v>15</v>
      </c>
      <c r="D141" s="59" t="s">
        <v>45</v>
      </c>
      <c r="E141" s="59" t="s">
        <v>274</v>
      </c>
      <c r="F141" s="59" t="s">
        <v>2273</v>
      </c>
    </row>
    <row r="142" spans="1:6">
      <c r="A142" s="58" t="s">
        <v>239</v>
      </c>
      <c r="B142" s="59" t="s">
        <v>59</v>
      </c>
      <c r="C142" s="59" t="s">
        <v>15</v>
      </c>
      <c r="D142" s="59" t="s">
        <v>45</v>
      </c>
      <c r="E142" s="59" t="s">
        <v>274</v>
      </c>
      <c r="F142" s="59" t="s">
        <v>2273</v>
      </c>
    </row>
    <row r="143" spans="1:6">
      <c r="A143" s="58" t="s">
        <v>228</v>
      </c>
      <c r="B143" s="59" t="s">
        <v>99</v>
      </c>
      <c r="C143" s="59" t="s">
        <v>100</v>
      </c>
      <c r="D143" s="59" t="s">
        <v>45</v>
      </c>
      <c r="E143" s="59" t="s">
        <v>276</v>
      </c>
      <c r="F143" s="59" t="s">
        <v>2273</v>
      </c>
    </row>
    <row r="144" spans="1:6">
      <c r="A144" s="58" t="s">
        <v>2283</v>
      </c>
      <c r="B144" s="59" t="s">
        <v>99</v>
      </c>
      <c r="C144" s="59" t="s">
        <v>100</v>
      </c>
      <c r="D144" s="59" t="s">
        <v>45</v>
      </c>
      <c r="E144" s="59" t="s">
        <v>276</v>
      </c>
      <c r="F144" s="59" t="s">
        <v>2273</v>
      </c>
    </row>
    <row r="145" spans="1:6">
      <c r="A145" s="60" t="s">
        <v>238</v>
      </c>
      <c r="B145" s="59" t="s">
        <v>209</v>
      </c>
      <c r="C145" s="59" t="s">
        <v>100</v>
      </c>
      <c r="D145" s="59" t="s">
        <v>45</v>
      </c>
      <c r="E145" s="59" t="s">
        <v>276</v>
      </c>
      <c r="F145" s="59" t="s">
        <v>2273</v>
      </c>
    </row>
    <row r="146" spans="1:6">
      <c r="A146" s="60" t="s">
        <v>240</v>
      </c>
      <c r="B146" s="59" t="s">
        <v>209</v>
      </c>
      <c r="C146" s="59" t="s">
        <v>100</v>
      </c>
      <c r="D146" s="59" t="s">
        <v>45</v>
      </c>
      <c r="E146" s="59" t="s">
        <v>276</v>
      </c>
      <c r="F146" s="59" t="s">
        <v>2273</v>
      </c>
    </row>
    <row r="147" spans="1:6">
      <c r="A147" s="58" t="s">
        <v>78</v>
      </c>
      <c r="B147" s="59" t="s">
        <v>79</v>
      </c>
      <c r="C147" s="59" t="s">
        <v>17</v>
      </c>
      <c r="D147" s="59" t="s">
        <v>45</v>
      </c>
      <c r="E147" s="140" t="s">
        <v>273</v>
      </c>
      <c r="F147" s="59" t="s">
        <v>2273</v>
      </c>
    </row>
    <row r="148" spans="1:6">
      <c r="A148" s="58" t="s">
        <v>257</v>
      </c>
      <c r="B148" s="59" t="s">
        <v>124</v>
      </c>
      <c r="C148" s="59" t="s">
        <v>125</v>
      </c>
      <c r="D148" s="59" t="s">
        <v>125</v>
      </c>
      <c r="E148" s="59" t="s">
        <v>277</v>
      </c>
      <c r="F148" s="59" t="s">
        <v>2273</v>
      </c>
    </row>
    <row r="149" spans="1:6">
      <c r="A149" s="60" t="s">
        <v>241</v>
      </c>
      <c r="B149" s="58" t="s">
        <v>54</v>
      </c>
      <c r="C149" s="59" t="s">
        <v>11</v>
      </c>
      <c r="D149" s="59" t="s">
        <v>45</v>
      </c>
      <c r="E149" s="59" t="s">
        <v>270</v>
      </c>
      <c r="F149" s="59" t="s">
        <v>2273</v>
      </c>
    </row>
    <row r="150" spans="1:6">
      <c r="A150" s="60" t="s">
        <v>242</v>
      </c>
      <c r="B150" s="59" t="s">
        <v>59</v>
      </c>
      <c r="C150" s="59" t="s">
        <v>15</v>
      </c>
      <c r="D150" s="59" t="s">
        <v>45</v>
      </c>
      <c r="E150" s="59" t="s">
        <v>274</v>
      </c>
      <c r="F150" s="59" t="s">
        <v>2273</v>
      </c>
    </row>
    <row r="151" spans="1:6">
      <c r="A151" s="58" t="s">
        <v>243</v>
      </c>
      <c r="B151" s="59" t="s">
        <v>158</v>
      </c>
      <c r="C151" s="59" t="s">
        <v>29</v>
      </c>
      <c r="D151" s="59" t="s">
        <v>45</v>
      </c>
      <c r="E151" s="59" t="s">
        <v>270</v>
      </c>
      <c r="F151" s="59" t="s">
        <v>2273</v>
      </c>
    </row>
    <row r="152" spans="1:6">
      <c r="A152" s="146" t="s">
        <v>246</v>
      </c>
      <c r="B152" s="59" t="s">
        <v>149</v>
      </c>
      <c r="C152" s="142" t="s">
        <v>125</v>
      </c>
      <c r="D152" s="142" t="s">
        <v>125</v>
      </c>
      <c r="E152" s="142" t="s">
        <v>277</v>
      </c>
      <c r="F152" s="142" t="s">
        <v>2273</v>
      </c>
    </row>
    <row r="153" spans="1:6">
      <c r="A153" s="146" t="s">
        <v>245</v>
      </c>
      <c r="B153" s="146" t="s">
        <v>131</v>
      </c>
      <c r="C153" s="142" t="s">
        <v>125</v>
      </c>
      <c r="D153" s="142" t="s">
        <v>125</v>
      </c>
      <c r="E153" s="142" t="s">
        <v>277</v>
      </c>
      <c r="F153" s="142" t="s">
        <v>2273</v>
      </c>
    </row>
    <row r="154" spans="1:6">
      <c r="A154" s="58" t="s">
        <v>248</v>
      </c>
      <c r="B154" s="59" t="s">
        <v>163</v>
      </c>
      <c r="C154" s="59" t="s">
        <v>34</v>
      </c>
      <c r="D154" s="59" t="s">
        <v>45</v>
      </c>
      <c r="E154" s="59" t="s">
        <v>275</v>
      </c>
      <c r="F154" s="59" t="s">
        <v>2273</v>
      </c>
    </row>
    <row r="155" spans="1:6">
      <c r="A155" s="146" t="s">
        <v>229</v>
      </c>
      <c r="B155" s="146" t="s">
        <v>124</v>
      </c>
      <c r="C155" s="142" t="s">
        <v>125</v>
      </c>
      <c r="D155" s="142" t="s">
        <v>125</v>
      </c>
      <c r="E155" s="142" t="s">
        <v>277</v>
      </c>
      <c r="F155" s="142" t="s">
        <v>2273</v>
      </c>
    </row>
    <row r="156" spans="1:6">
      <c r="A156" s="58" t="s">
        <v>250</v>
      </c>
      <c r="B156" s="58" t="s">
        <v>168</v>
      </c>
      <c r="C156" s="59" t="s">
        <v>38</v>
      </c>
      <c r="D156" s="59" t="s">
        <v>45</v>
      </c>
      <c r="E156" s="59" t="s">
        <v>274</v>
      </c>
      <c r="F156" s="59" t="s">
        <v>2273</v>
      </c>
    </row>
    <row r="157" spans="1:6">
      <c r="A157" s="58" t="s">
        <v>252</v>
      </c>
      <c r="B157" s="59" t="s">
        <v>79</v>
      </c>
      <c r="C157" s="59" t="s">
        <v>17</v>
      </c>
      <c r="D157" s="59" t="s">
        <v>45</v>
      </c>
      <c r="E157" s="140" t="s">
        <v>273</v>
      </c>
      <c r="F157" s="59" t="s">
        <v>2273</v>
      </c>
    </row>
    <row r="158" spans="1:6">
      <c r="A158" s="146" t="s">
        <v>251</v>
      </c>
      <c r="B158" s="147" t="s">
        <v>94</v>
      </c>
      <c r="C158" s="147" t="s">
        <v>23</v>
      </c>
      <c r="D158" s="147" t="s">
        <v>282</v>
      </c>
      <c r="E158" s="147" t="s">
        <v>276</v>
      </c>
      <c r="F158" s="142" t="s">
        <v>187</v>
      </c>
    </row>
    <row r="159" spans="1:6">
      <c r="A159" s="58" t="s">
        <v>253</v>
      </c>
      <c r="B159" s="58" t="s">
        <v>168</v>
      </c>
      <c r="C159" s="59" t="s">
        <v>38</v>
      </c>
      <c r="D159" s="59" t="s">
        <v>45</v>
      </c>
      <c r="E159" s="59" t="s">
        <v>274</v>
      </c>
      <c r="F159" s="59" t="s">
        <v>2273</v>
      </c>
    </row>
    <row r="160" spans="1:6">
      <c r="A160" s="60" t="s">
        <v>249</v>
      </c>
      <c r="B160" s="59" t="s">
        <v>209</v>
      </c>
      <c r="C160" s="59" t="s">
        <v>100</v>
      </c>
      <c r="D160" s="59" t="s">
        <v>45</v>
      </c>
      <c r="E160" s="59" t="s">
        <v>276</v>
      </c>
      <c r="F160" s="59" t="s">
        <v>2273</v>
      </c>
    </row>
    <row r="161" spans="1:6">
      <c r="A161" s="60" t="s">
        <v>54</v>
      </c>
      <c r="B161" s="59" t="s">
        <v>79</v>
      </c>
      <c r="C161" s="59" t="s">
        <v>17</v>
      </c>
      <c r="D161" s="59" t="s">
        <v>45</v>
      </c>
      <c r="E161" s="140" t="s">
        <v>273</v>
      </c>
      <c r="F161" s="59" t="s">
        <v>2273</v>
      </c>
    </row>
    <row r="162" spans="1:6">
      <c r="A162" s="146" t="s">
        <v>255</v>
      </c>
      <c r="B162" s="147" t="s">
        <v>106</v>
      </c>
      <c r="C162" s="147" t="s">
        <v>107</v>
      </c>
      <c r="D162" s="59" t="s">
        <v>282</v>
      </c>
      <c r="E162" s="147" t="s">
        <v>276</v>
      </c>
      <c r="F162" s="142" t="s">
        <v>107</v>
      </c>
    </row>
  </sheetData>
  <conditionalFormatting sqref="A147">
    <cfRule type="duplicateValues" dxfId="3" priority="19"/>
  </conditionalFormatting>
  <conditionalFormatting sqref="A148">
    <cfRule type="duplicateValues" dxfId="3" priority="18"/>
  </conditionalFormatting>
  <conditionalFormatting sqref="A151">
    <cfRule type="duplicateValues" dxfId="3" priority="17"/>
  </conditionalFormatting>
  <conditionalFormatting sqref="A152">
    <cfRule type="duplicateValues" dxfId="1" priority="13"/>
    <cfRule type="duplicateValues" dxfId="2" priority="14"/>
    <cfRule type="duplicateValues" dxfId="1" priority="15"/>
  </conditionalFormatting>
  <conditionalFormatting sqref="A153">
    <cfRule type="duplicateValues" dxfId="3" priority="12"/>
  </conditionalFormatting>
  <conditionalFormatting sqref="A154">
    <cfRule type="duplicateValues" dxfId="3" priority="11"/>
  </conditionalFormatting>
  <conditionalFormatting sqref="A155">
    <cfRule type="duplicateValues" dxfId="2" priority="9"/>
    <cfRule type="duplicateValues" dxfId="1" priority="10"/>
  </conditionalFormatting>
  <conditionalFormatting sqref="A156">
    <cfRule type="duplicateValues" dxfId="3" priority="7"/>
  </conditionalFormatting>
  <conditionalFormatting sqref="A157">
    <cfRule type="duplicateValues" dxfId="3" priority="6"/>
  </conditionalFormatting>
  <conditionalFormatting sqref="A158">
    <cfRule type="duplicateValues" dxfId="3" priority="5"/>
  </conditionalFormatting>
  <conditionalFormatting sqref="A159">
    <cfRule type="duplicateValues" dxfId="3" priority="4"/>
  </conditionalFormatting>
  <conditionalFormatting sqref="A162">
    <cfRule type="duplicateValues" dxfId="3" priority="1"/>
  </conditionalFormatting>
  <conditionalFormatting sqref="A1:A146 A149:A150 A163:A1048576 A160:A161">
    <cfRule type="duplicateValues" dxfId="3" priority="20"/>
  </conditionalFormatting>
  <conditionalFormatting sqref="A1:A161 A163:A1048576">
    <cfRule type="duplicateValues" dxfId="1" priority="2"/>
    <cfRule type="duplicateValues" dxfId="1" priority="3"/>
  </conditionalFormatting>
  <pageMargins left="0.7" right="0.7" top="0.75" bottom="0.75" header="0.3" footer="0.3"/>
  <pageSetup paperSize="256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57" sqref="K157"/>
    </sheetView>
  </sheetViews>
  <sheetFormatPr defaultColWidth="9" defaultRowHeight="15.75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12"/>
  <sheetViews>
    <sheetView zoomScale="85" zoomScaleNormal="85" workbookViewId="0">
      <pane ySplit="1" topLeftCell="A489" activePane="bottomLeft" state="frozen"/>
      <selection/>
      <selection pane="bottomLeft" activeCell="A512" sqref="A512"/>
    </sheetView>
  </sheetViews>
  <sheetFormatPr defaultColWidth="9" defaultRowHeight="15.75"/>
  <cols>
    <col min="1" max="1" width="20.125" customWidth="1"/>
    <col min="2" max="2" width="16.875" customWidth="1"/>
    <col min="3" max="3" width="17.375" customWidth="1"/>
    <col min="4" max="4" width="17.25" customWidth="1"/>
    <col min="5" max="5" width="17.375" customWidth="1"/>
    <col min="6" max="6" width="23.125" customWidth="1"/>
    <col min="7" max="7" width="18.75" customWidth="1"/>
    <col min="8" max="8" width="11.5" customWidth="1"/>
    <col min="9" max="9" width="39.5" customWidth="1"/>
    <col min="10" max="10" width="13.25" customWidth="1"/>
    <col min="11" max="11" width="9.375" customWidth="1"/>
    <col min="12" max="12" width="22.875" customWidth="1"/>
    <col min="13" max="13" width="15.25" customWidth="1"/>
    <col min="14" max="14" width="21.875" customWidth="1"/>
    <col min="15" max="15" width="12.125" customWidth="1"/>
    <col min="16" max="16" width="12" customWidth="1"/>
    <col min="17" max="17" width="10.25" customWidth="1"/>
    <col min="18" max="18" width="9.375" customWidth="1"/>
    <col min="19" max="19" width="36.25" customWidth="1"/>
    <col min="20" max="20" width="11.5" customWidth="1"/>
    <col min="21" max="21" width="19.75" customWidth="1"/>
    <col min="22" max="22" width="20.625" customWidth="1"/>
    <col min="23" max="23" width="14.75" customWidth="1"/>
    <col min="24" max="24" width="16.375" customWidth="1"/>
    <col min="25" max="25" width="20.875" customWidth="1"/>
    <col min="26" max="26" width="49.375" customWidth="1"/>
    <col min="27" max="27" width="12.75" customWidth="1"/>
    <col min="28" max="28" width="19.125" customWidth="1"/>
    <col min="29" max="29" width="22.75" customWidth="1"/>
    <col min="30" max="30" width="15.125" customWidth="1"/>
    <col min="31" max="31" width="20.375" customWidth="1"/>
    <col min="32" max="32" width="26.375" customWidth="1"/>
    <col min="33" max="33" width="27.25" customWidth="1"/>
    <col min="34" max="34" width="12.875" customWidth="1"/>
    <col min="35" max="35" width="18.25" customWidth="1"/>
    <col min="36" max="36" width="17.875" customWidth="1"/>
    <col min="37" max="37" width="11.125" customWidth="1"/>
    <col min="38" max="38" width="15.375" customWidth="1"/>
    <col min="39" max="39" width="17.125" customWidth="1"/>
    <col min="40" max="40" width="32.625" customWidth="1"/>
    <col min="41" max="41" width="37.75" customWidth="1"/>
    <col min="42" max="42" width="12.75" customWidth="1"/>
  </cols>
  <sheetData>
    <row r="1" spans="1:42">
      <c r="A1" s="108" t="s">
        <v>2284</v>
      </c>
      <c r="B1" s="108" t="s">
        <v>2285</v>
      </c>
      <c r="C1" s="108" t="s">
        <v>2286</v>
      </c>
      <c r="D1" s="108" t="s">
        <v>2287</v>
      </c>
      <c r="E1" s="108" t="s">
        <v>2288</v>
      </c>
      <c r="F1" s="108" t="s">
        <v>2289</v>
      </c>
      <c r="G1" s="108" t="s">
        <v>2290</v>
      </c>
      <c r="H1" s="108" t="s">
        <v>2291</v>
      </c>
      <c r="I1" s="108" t="s">
        <v>2292</v>
      </c>
      <c r="J1" s="108" t="s">
        <v>2293</v>
      </c>
      <c r="K1" s="108" t="s">
        <v>2294</v>
      </c>
      <c r="L1" s="108" t="s">
        <v>2295</v>
      </c>
      <c r="M1" s="108" t="s">
        <v>2296</v>
      </c>
      <c r="N1" s="108" t="s">
        <v>2297</v>
      </c>
      <c r="O1" s="108" t="s">
        <v>2298</v>
      </c>
      <c r="P1" s="108" t="s">
        <v>2299</v>
      </c>
      <c r="Q1" s="108" t="s">
        <v>2300</v>
      </c>
      <c r="R1" s="108" t="s">
        <v>2301</v>
      </c>
      <c r="S1" s="108" t="s">
        <v>2302</v>
      </c>
      <c r="T1" s="108" t="s">
        <v>2303</v>
      </c>
      <c r="U1" s="108" t="s">
        <v>2304</v>
      </c>
      <c r="V1" s="108" t="s">
        <v>2305</v>
      </c>
      <c r="W1" s="108" t="s">
        <v>2306</v>
      </c>
      <c r="X1" s="108" t="s">
        <v>2307</v>
      </c>
      <c r="Y1" s="108" t="s">
        <v>2308</v>
      </c>
      <c r="Z1" s="108" t="s">
        <v>2309</v>
      </c>
      <c r="AA1" s="108" t="s">
        <v>2310</v>
      </c>
      <c r="AB1" s="108" t="s">
        <v>2311</v>
      </c>
      <c r="AC1" s="108" t="s">
        <v>2312</v>
      </c>
      <c r="AD1" s="108" t="s">
        <v>2313</v>
      </c>
      <c r="AE1" s="108" t="s">
        <v>2314</v>
      </c>
      <c r="AF1" s="108" t="s">
        <v>2315</v>
      </c>
      <c r="AG1" s="108" t="s">
        <v>2316</v>
      </c>
      <c r="AH1" s="108" t="s">
        <v>2317</v>
      </c>
      <c r="AI1" s="108" t="s">
        <v>2318</v>
      </c>
      <c r="AJ1" s="108" t="s">
        <v>2319</v>
      </c>
      <c r="AK1" s="108" t="s">
        <v>2320</v>
      </c>
      <c r="AL1" s="108" t="s">
        <v>2321</v>
      </c>
      <c r="AM1" s="108" t="s">
        <v>2322</v>
      </c>
      <c r="AN1" s="120" t="s">
        <v>2323</v>
      </c>
      <c r="AO1" s="120" t="s">
        <v>2324</v>
      </c>
      <c r="AP1" s="108" t="s">
        <v>2325</v>
      </c>
    </row>
    <row r="2" spans="1:42">
      <c r="A2" s="109" t="s">
        <v>2326</v>
      </c>
      <c r="B2" s="110">
        <v>46058</v>
      </c>
      <c r="C2" s="111">
        <v>0.583993055555556</v>
      </c>
      <c r="D2" s="110">
        <v>46058</v>
      </c>
      <c r="E2" s="111">
        <v>0.585219907407407</v>
      </c>
      <c r="F2" s="112" t="s">
        <v>2327</v>
      </c>
      <c r="G2" s="110">
        <v>46053</v>
      </c>
      <c r="H2" s="112">
        <v>2566985119</v>
      </c>
      <c r="I2" s="112" t="s">
        <v>2328</v>
      </c>
      <c r="J2" s="112" t="s">
        <v>2141</v>
      </c>
      <c r="K2" s="112" t="s">
        <v>2329</v>
      </c>
      <c r="L2" s="112" t="s">
        <v>2330</v>
      </c>
      <c r="M2" s="112" t="s">
        <v>2331</v>
      </c>
      <c r="N2" s="112" t="s">
        <v>2332</v>
      </c>
      <c r="O2" s="117" t="s">
        <v>2333</v>
      </c>
      <c r="P2" s="112">
        <v>9987219</v>
      </c>
      <c r="Q2" s="112" t="s">
        <v>2334</v>
      </c>
      <c r="R2" s="112" t="s">
        <v>2335</v>
      </c>
      <c r="S2" s="112" t="s">
        <v>2336</v>
      </c>
      <c r="T2" s="112">
        <v>1075044.03</v>
      </c>
      <c r="U2" s="112">
        <v>900000</v>
      </c>
      <c r="V2" s="112" t="s">
        <v>2337</v>
      </c>
      <c r="W2" s="112">
        <v>261501000000000</v>
      </c>
      <c r="X2" s="110">
        <v>46058</v>
      </c>
      <c r="Y2" s="112">
        <v>2027910</v>
      </c>
      <c r="Z2" s="112" t="s">
        <v>2328</v>
      </c>
      <c r="AA2" s="112">
        <v>-0.01</v>
      </c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21"/>
      <c r="AN2" s="112" t="s">
        <v>2338</v>
      </c>
      <c r="AO2" s="112" t="s">
        <v>2339</v>
      </c>
      <c r="AP2" s="112" t="s">
        <v>2340</v>
      </c>
    </row>
    <row r="3" spans="1:42">
      <c r="A3" s="109" t="s">
        <v>361</v>
      </c>
      <c r="B3" s="110">
        <v>46087</v>
      </c>
      <c r="C3" s="111">
        <v>0.390833333333333</v>
      </c>
      <c r="D3" s="110">
        <v>46087</v>
      </c>
      <c r="E3" s="111">
        <v>0.392951388888889</v>
      </c>
      <c r="F3" s="112" t="s">
        <v>357</v>
      </c>
      <c r="G3" s="110">
        <v>46073</v>
      </c>
      <c r="H3" s="112">
        <v>2567242037</v>
      </c>
      <c r="I3" s="112" t="s">
        <v>2341</v>
      </c>
      <c r="J3" s="112" t="s">
        <v>2141</v>
      </c>
      <c r="K3" s="112" t="s">
        <v>2329</v>
      </c>
      <c r="L3" s="112" t="s">
        <v>2330</v>
      </c>
      <c r="M3" s="112" t="s">
        <v>2331</v>
      </c>
      <c r="N3" s="112" t="s">
        <v>2342</v>
      </c>
      <c r="O3" s="118"/>
      <c r="P3" s="112" t="s">
        <v>360</v>
      </c>
      <c r="Q3" s="112" t="s">
        <v>2343</v>
      </c>
      <c r="R3" s="112" t="s">
        <v>2344</v>
      </c>
      <c r="S3" s="112" t="s">
        <v>2345</v>
      </c>
      <c r="T3" s="112">
        <v>554900.19</v>
      </c>
      <c r="U3" s="112">
        <v>535934</v>
      </c>
      <c r="V3" s="112" t="s">
        <v>2337</v>
      </c>
      <c r="W3" s="112">
        <v>261501000000000</v>
      </c>
      <c r="X3" s="110">
        <v>46087</v>
      </c>
      <c r="Y3" s="112">
        <v>2036590</v>
      </c>
      <c r="Z3" s="112" t="s">
        <v>2341</v>
      </c>
      <c r="AA3" s="112">
        <v>-0.02</v>
      </c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21"/>
      <c r="AN3" s="112" t="s">
        <v>2346</v>
      </c>
      <c r="AO3" s="112" t="s">
        <v>2346</v>
      </c>
      <c r="AP3" s="112" t="s">
        <v>2347</v>
      </c>
    </row>
    <row r="4" spans="1:42">
      <c r="A4" s="113" t="s">
        <v>374</v>
      </c>
      <c r="B4" s="114">
        <v>46087</v>
      </c>
      <c r="C4" s="115">
        <v>0.40255787037037</v>
      </c>
      <c r="D4" s="114">
        <v>46087</v>
      </c>
      <c r="E4" s="115">
        <v>0.403391203703704</v>
      </c>
      <c r="F4" s="116" t="s">
        <v>370</v>
      </c>
      <c r="G4" s="114">
        <v>46079</v>
      </c>
      <c r="H4" s="116">
        <v>2567344451</v>
      </c>
      <c r="I4" s="116" t="s">
        <v>2348</v>
      </c>
      <c r="J4" s="116" t="s">
        <v>2141</v>
      </c>
      <c r="K4" s="116" t="s">
        <v>2329</v>
      </c>
      <c r="L4" s="116" t="s">
        <v>2330</v>
      </c>
      <c r="M4" s="116" t="s">
        <v>2331</v>
      </c>
      <c r="N4" s="116" t="s">
        <v>2349</v>
      </c>
      <c r="O4" s="119"/>
      <c r="P4" s="116" t="s">
        <v>373</v>
      </c>
      <c r="Q4" s="116" t="s">
        <v>2343</v>
      </c>
      <c r="R4" s="116" t="s">
        <v>2344</v>
      </c>
      <c r="S4" s="116" t="s">
        <v>2345</v>
      </c>
      <c r="T4" s="116">
        <v>569900.17</v>
      </c>
      <c r="U4" s="116">
        <v>530000</v>
      </c>
      <c r="V4" s="116" t="s">
        <v>2337</v>
      </c>
      <c r="W4" s="116">
        <v>261501000000000</v>
      </c>
      <c r="X4" s="114">
        <v>46087</v>
      </c>
      <c r="Y4" s="116">
        <v>2038790</v>
      </c>
      <c r="Z4" s="116" t="s">
        <v>2348</v>
      </c>
      <c r="AA4" s="116">
        <v>-0.04</v>
      </c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22"/>
      <c r="AN4" s="116" t="s">
        <v>2350</v>
      </c>
      <c r="AO4" s="116" t="s">
        <v>2351</v>
      </c>
      <c r="AP4" s="116" t="s">
        <v>2347</v>
      </c>
    </row>
    <row r="5" spans="1:42">
      <c r="A5" s="113" t="s">
        <v>383</v>
      </c>
      <c r="B5" s="114">
        <v>46087</v>
      </c>
      <c r="C5" s="115">
        <v>0.420393518518519</v>
      </c>
      <c r="D5" s="114">
        <v>46087</v>
      </c>
      <c r="E5" s="115">
        <v>0.420659722222222</v>
      </c>
      <c r="F5" s="116" t="s">
        <v>379</v>
      </c>
      <c r="G5" s="114">
        <v>46086</v>
      </c>
      <c r="H5" s="116">
        <v>2567447231</v>
      </c>
      <c r="I5" s="119"/>
      <c r="J5" s="116" t="s">
        <v>2141</v>
      </c>
      <c r="K5" s="116" t="s">
        <v>2329</v>
      </c>
      <c r="L5" s="116" t="s">
        <v>2330</v>
      </c>
      <c r="M5" s="116" t="s">
        <v>2331</v>
      </c>
      <c r="N5" s="116" t="s">
        <v>2352</v>
      </c>
      <c r="O5" s="119"/>
      <c r="P5" s="116" t="s">
        <v>382</v>
      </c>
      <c r="Q5" s="116" t="s">
        <v>2343</v>
      </c>
      <c r="R5" s="116" t="s">
        <v>2344</v>
      </c>
      <c r="S5" s="116" t="s">
        <v>2353</v>
      </c>
      <c r="T5" s="116">
        <v>570900.18</v>
      </c>
      <c r="U5" s="116">
        <v>530000</v>
      </c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22"/>
      <c r="AN5" s="116" t="s">
        <v>2346</v>
      </c>
      <c r="AO5" s="116" t="s">
        <v>2346</v>
      </c>
      <c r="AP5" s="123"/>
    </row>
    <row r="6" spans="1:42">
      <c r="A6" s="113" t="s">
        <v>2354</v>
      </c>
      <c r="B6" s="114">
        <v>46087</v>
      </c>
      <c r="C6" s="115">
        <v>0.621030092592593</v>
      </c>
      <c r="D6" s="114">
        <v>46087</v>
      </c>
      <c r="E6" s="115">
        <v>0.622175925925926</v>
      </c>
      <c r="F6" s="116" t="s">
        <v>2355</v>
      </c>
      <c r="G6" s="114">
        <v>46072</v>
      </c>
      <c r="H6" s="116">
        <v>2567225084</v>
      </c>
      <c r="I6" s="116" t="s">
        <v>2356</v>
      </c>
      <c r="J6" s="116" t="s">
        <v>2222</v>
      </c>
      <c r="K6" s="116" t="s">
        <v>2357</v>
      </c>
      <c r="L6" s="116" t="s">
        <v>2358</v>
      </c>
      <c r="M6" s="116" t="s">
        <v>2331</v>
      </c>
      <c r="N6" s="116" t="s">
        <v>2359</v>
      </c>
      <c r="O6" s="119"/>
      <c r="P6" s="116" t="s">
        <v>2360</v>
      </c>
      <c r="Q6" s="116" t="s">
        <v>2361</v>
      </c>
      <c r="R6" s="116" t="s">
        <v>2362</v>
      </c>
      <c r="S6" s="116" t="s">
        <v>2363</v>
      </c>
      <c r="T6" s="116">
        <v>2018989.55</v>
      </c>
      <c r="U6" s="116">
        <v>1796550</v>
      </c>
      <c r="V6" s="116" t="s">
        <v>2364</v>
      </c>
      <c r="W6" s="116">
        <v>261534000000000</v>
      </c>
      <c r="X6" s="114">
        <v>46087</v>
      </c>
      <c r="Y6" s="116">
        <v>2036183</v>
      </c>
      <c r="Z6" s="116" t="s">
        <v>2356</v>
      </c>
      <c r="AA6" s="116">
        <v>115180.42</v>
      </c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22"/>
      <c r="AN6" s="116" t="s">
        <v>2365</v>
      </c>
      <c r="AO6" s="116" t="s">
        <v>2366</v>
      </c>
      <c r="AP6" s="116" t="s">
        <v>2367</v>
      </c>
    </row>
    <row r="7" spans="1:42">
      <c r="A7" s="113" t="s">
        <v>2368</v>
      </c>
      <c r="B7" s="114">
        <v>46087</v>
      </c>
      <c r="C7" s="115">
        <v>0.693854166666667</v>
      </c>
      <c r="D7" s="114">
        <v>46087</v>
      </c>
      <c r="E7" s="115">
        <v>0.695046296296296</v>
      </c>
      <c r="F7" s="116" t="s">
        <v>2369</v>
      </c>
      <c r="G7" s="114">
        <v>46029</v>
      </c>
      <c r="H7" s="116">
        <v>2566503043</v>
      </c>
      <c r="I7" s="116" t="s">
        <v>2370</v>
      </c>
      <c r="J7" s="116" t="s">
        <v>2199</v>
      </c>
      <c r="K7" s="116" t="s">
        <v>2371</v>
      </c>
      <c r="L7" s="116" t="s">
        <v>2372</v>
      </c>
      <c r="M7" s="116" t="s">
        <v>2331</v>
      </c>
      <c r="N7" s="116" t="s">
        <v>2373</v>
      </c>
      <c r="O7" s="119"/>
      <c r="P7" s="116" t="s">
        <v>2374</v>
      </c>
      <c r="Q7" s="116" t="s">
        <v>2375</v>
      </c>
      <c r="R7" s="116" t="s">
        <v>2376</v>
      </c>
      <c r="S7" s="116" t="s">
        <v>2377</v>
      </c>
      <c r="T7" s="116">
        <v>1216847.8</v>
      </c>
      <c r="U7" s="116">
        <v>500000</v>
      </c>
      <c r="V7" s="116" t="s">
        <v>2378</v>
      </c>
      <c r="W7" s="116">
        <v>261502000000000</v>
      </c>
      <c r="X7" s="114">
        <v>46087</v>
      </c>
      <c r="Y7" s="116">
        <v>2017062</v>
      </c>
      <c r="Z7" s="116" t="s">
        <v>2370</v>
      </c>
      <c r="AA7" s="116">
        <v>-0.03</v>
      </c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22"/>
      <c r="AN7" s="116" t="s">
        <v>2379</v>
      </c>
      <c r="AO7" s="116" t="s">
        <v>2380</v>
      </c>
      <c r="AP7" s="116" t="s">
        <v>2340</v>
      </c>
    </row>
    <row r="8" spans="1:42">
      <c r="A8" s="113" t="s">
        <v>391</v>
      </c>
      <c r="B8" s="114">
        <v>46087</v>
      </c>
      <c r="C8" s="115">
        <v>0.70287037037037</v>
      </c>
      <c r="D8" s="114">
        <v>46087</v>
      </c>
      <c r="E8" s="115">
        <v>0.705462962962963</v>
      </c>
      <c r="F8" s="116" t="s">
        <v>387</v>
      </c>
      <c r="G8" s="114">
        <v>46072</v>
      </c>
      <c r="H8" s="116">
        <v>2567222939</v>
      </c>
      <c r="I8" s="116" t="s">
        <v>2381</v>
      </c>
      <c r="J8" s="116" t="s">
        <v>2141</v>
      </c>
      <c r="K8" s="116" t="s">
        <v>2329</v>
      </c>
      <c r="L8" s="116" t="s">
        <v>2330</v>
      </c>
      <c r="M8" s="116" t="s">
        <v>2331</v>
      </c>
      <c r="N8" s="116" t="s">
        <v>2382</v>
      </c>
      <c r="O8" s="119"/>
      <c r="P8" s="116" t="s">
        <v>390</v>
      </c>
      <c r="Q8" s="116" t="s">
        <v>2343</v>
      </c>
      <c r="R8" s="116" t="s">
        <v>2344</v>
      </c>
      <c r="S8" s="116" t="s">
        <v>2383</v>
      </c>
      <c r="T8" s="116">
        <v>570900.18</v>
      </c>
      <c r="U8" s="119"/>
      <c r="V8" s="116" t="s">
        <v>2337</v>
      </c>
      <c r="W8" s="116">
        <v>261501000000000</v>
      </c>
      <c r="X8" s="114">
        <v>46087</v>
      </c>
      <c r="Y8" s="116">
        <v>2036212</v>
      </c>
      <c r="Z8" s="116" t="s">
        <v>2381</v>
      </c>
      <c r="AA8" s="116">
        <v>-0.03</v>
      </c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22"/>
      <c r="AN8" s="116" t="s">
        <v>2346</v>
      </c>
      <c r="AO8" s="116" t="s">
        <v>2384</v>
      </c>
      <c r="AP8" s="116" t="s">
        <v>2347</v>
      </c>
    </row>
    <row r="9" spans="1:42">
      <c r="A9" s="113" t="s">
        <v>396</v>
      </c>
      <c r="B9" s="114">
        <v>46087</v>
      </c>
      <c r="C9" s="115">
        <v>0.706574074074074</v>
      </c>
      <c r="D9" s="114">
        <v>46087</v>
      </c>
      <c r="E9" s="115">
        <v>0.708935185185185</v>
      </c>
      <c r="F9" s="116" t="s">
        <v>393</v>
      </c>
      <c r="G9" s="114">
        <v>46045</v>
      </c>
      <c r="H9" s="116">
        <v>2566746837</v>
      </c>
      <c r="I9" s="116" t="s">
        <v>2385</v>
      </c>
      <c r="J9" s="116" t="s">
        <v>2141</v>
      </c>
      <c r="K9" s="116" t="s">
        <v>2329</v>
      </c>
      <c r="L9" s="116" t="s">
        <v>2330</v>
      </c>
      <c r="M9" s="116" t="s">
        <v>2331</v>
      </c>
      <c r="N9" s="116" t="s">
        <v>2386</v>
      </c>
      <c r="O9" s="119"/>
      <c r="P9" s="116">
        <v>1427481</v>
      </c>
      <c r="Q9" s="116" t="s">
        <v>2343</v>
      </c>
      <c r="R9" s="116" t="s">
        <v>2344</v>
      </c>
      <c r="S9" s="116" t="s">
        <v>2387</v>
      </c>
      <c r="T9" s="116">
        <v>569900.17</v>
      </c>
      <c r="U9" s="116">
        <v>600000</v>
      </c>
      <c r="V9" s="116" t="s">
        <v>2337</v>
      </c>
      <c r="W9" s="116">
        <v>261501000000000</v>
      </c>
      <c r="X9" s="114">
        <v>46087</v>
      </c>
      <c r="Y9" s="116">
        <v>2023813</v>
      </c>
      <c r="Z9" s="116" t="s">
        <v>2385</v>
      </c>
      <c r="AA9" s="116">
        <v>-0.04</v>
      </c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22"/>
      <c r="AN9" s="116" t="s">
        <v>2388</v>
      </c>
      <c r="AO9" s="116" t="s">
        <v>2351</v>
      </c>
      <c r="AP9" s="116" t="s">
        <v>2347</v>
      </c>
    </row>
    <row r="10" spans="1:42">
      <c r="A10" s="113" t="s">
        <v>402</v>
      </c>
      <c r="B10" s="114">
        <v>46087</v>
      </c>
      <c r="C10" s="115">
        <v>0.708726851851852</v>
      </c>
      <c r="D10" s="114">
        <v>46087</v>
      </c>
      <c r="E10" s="115">
        <v>0.708935185185185</v>
      </c>
      <c r="F10" s="116" t="s">
        <v>398</v>
      </c>
      <c r="G10" s="114">
        <v>46064</v>
      </c>
      <c r="H10" s="116">
        <v>2567087596</v>
      </c>
      <c r="I10" s="116" t="s">
        <v>2389</v>
      </c>
      <c r="J10" s="116" t="s">
        <v>2141</v>
      </c>
      <c r="K10" s="116" t="s">
        <v>2329</v>
      </c>
      <c r="L10" s="116" t="s">
        <v>2330</v>
      </c>
      <c r="M10" s="116" t="s">
        <v>2331</v>
      </c>
      <c r="N10" s="116" t="s">
        <v>2390</v>
      </c>
      <c r="O10" s="119"/>
      <c r="P10" s="116" t="s">
        <v>401</v>
      </c>
      <c r="Q10" s="116" t="s">
        <v>2343</v>
      </c>
      <c r="R10" s="116" t="s">
        <v>2344</v>
      </c>
      <c r="S10" s="116" t="s">
        <v>2353</v>
      </c>
      <c r="T10" s="116">
        <v>570900.18</v>
      </c>
      <c r="U10" s="116">
        <v>530000</v>
      </c>
      <c r="V10" s="116" t="s">
        <v>2337</v>
      </c>
      <c r="W10" s="116">
        <v>261501000000000</v>
      </c>
      <c r="X10" s="114">
        <v>46087</v>
      </c>
      <c r="Y10" s="116">
        <v>2033334</v>
      </c>
      <c r="Z10" s="116" t="s">
        <v>2389</v>
      </c>
      <c r="AA10" s="116">
        <v>-0.03</v>
      </c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22"/>
      <c r="AN10" s="116" t="s">
        <v>2391</v>
      </c>
      <c r="AO10" s="116" t="s">
        <v>2392</v>
      </c>
      <c r="AP10" s="116" t="s">
        <v>2347</v>
      </c>
    </row>
    <row r="11" spans="1:42">
      <c r="A11" s="113" t="s">
        <v>408</v>
      </c>
      <c r="B11" s="114">
        <v>46087</v>
      </c>
      <c r="C11" s="115">
        <v>0.720069444444444</v>
      </c>
      <c r="D11" s="114">
        <v>46087</v>
      </c>
      <c r="E11" s="115">
        <v>0.722858796296296</v>
      </c>
      <c r="F11" s="116" t="s">
        <v>404</v>
      </c>
      <c r="G11" s="114">
        <v>46069</v>
      </c>
      <c r="H11" s="116">
        <v>2567161284</v>
      </c>
      <c r="I11" s="116" t="s">
        <v>409</v>
      </c>
      <c r="J11" s="116" t="s">
        <v>2141</v>
      </c>
      <c r="K11" s="116" t="s">
        <v>2329</v>
      </c>
      <c r="L11" s="116" t="s">
        <v>2330</v>
      </c>
      <c r="M11" s="116" t="s">
        <v>2331</v>
      </c>
      <c r="N11" s="116" t="s">
        <v>2393</v>
      </c>
      <c r="O11" s="119"/>
      <c r="P11" s="116" t="s">
        <v>407</v>
      </c>
      <c r="Q11" s="116" t="s">
        <v>2343</v>
      </c>
      <c r="R11" s="116" t="s">
        <v>2344</v>
      </c>
      <c r="S11" s="116" t="s">
        <v>2394</v>
      </c>
      <c r="T11" s="116">
        <v>572441.18</v>
      </c>
      <c r="U11" s="116">
        <v>482500</v>
      </c>
      <c r="V11" s="116" t="s">
        <v>2337</v>
      </c>
      <c r="W11" s="116">
        <v>261501000000000</v>
      </c>
      <c r="X11" s="114">
        <v>46087</v>
      </c>
      <c r="Y11" s="116">
        <v>2035211</v>
      </c>
      <c r="Z11" s="116" t="s">
        <v>409</v>
      </c>
      <c r="AA11" s="116">
        <v>-0.02</v>
      </c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22"/>
      <c r="AN11" s="116" t="s">
        <v>2395</v>
      </c>
      <c r="AO11" s="116" t="s">
        <v>2396</v>
      </c>
      <c r="AP11" s="116" t="s">
        <v>2397</v>
      </c>
    </row>
    <row r="12" spans="1:42">
      <c r="A12" s="113" t="s">
        <v>415</v>
      </c>
      <c r="B12" s="114">
        <v>46087</v>
      </c>
      <c r="C12" s="115">
        <v>0.733159722222222</v>
      </c>
      <c r="D12" s="114">
        <v>46087</v>
      </c>
      <c r="E12" s="115">
        <v>0.736712962962963</v>
      </c>
      <c r="F12" s="116" t="s">
        <v>412</v>
      </c>
      <c r="G12" s="114">
        <v>46070</v>
      </c>
      <c r="H12" s="116">
        <v>2567186125</v>
      </c>
      <c r="I12" s="116" t="s">
        <v>416</v>
      </c>
      <c r="J12" s="116" t="s">
        <v>2141</v>
      </c>
      <c r="K12" s="116" t="s">
        <v>2329</v>
      </c>
      <c r="L12" s="116" t="s">
        <v>2330</v>
      </c>
      <c r="M12" s="116" t="s">
        <v>2331</v>
      </c>
      <c r="N12" s="116" t="s">
        <v>2398</v>
      </c>
      <c r="O12" s="119"/>
      <c r="P12" s="116">
        <v>1426622</v>
      </c>
      <c r="Q12" s="116" t="s">
        <v>2343</v>
      </c>
      <c r="R12" s="116" t="s">
        <v>2344</v>
      </c>
      <c r="S12" s="116" t="s">
        <v>2399</v>
      </c>
      <c r="T12" s="116">
        <v>570400.18</v>
      </c>
      <c r="U12" s="116">
        <v>500000</v>
      </c>
      <c r="V12" s="116" t="s">
        <v>2337</v>
      </c>
      <c r="W12" s="116">
        <v>261501000000000</v>
      </c>
      <c r="X12" s="114">
        <v>46087</v>
      </c>
      <c r="Y12" s="116">
        <v>2035423</v>
      </c>
      <c r="Z12" s="116" t="s">
        <v>416</v>
      </c>
      <c r="AA12" s="116">
        <v>-0.02</v>
      </c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22"/>
      <c r="AN12" s="116" t="s">
        <v>2400</v>
      </c>
      <c r="AO12" s="116" t="s">
        <v>69</v>
      </c>
      <c r="AP12" s="116" t="s">
        <v>2397</v>
      </c>
    </row>
    <row r="13" spans="1:42">
      <c r="A13" s="113" t="s">
        <v>2401</v>
      </c>
      <c r="B13" s="114">
        <v>46087</v>
      </c>
      <c r="C13" s="115">
        <v>0.734027777777778</v>
      </c>
      <c r="D13" s="114">
        <v>46087</v>
      </c>
      <c r="E13" s="115">
        <v>0.736712962962963</v>
      </c>
      <c r="F13" s="116" t="s">
        <v>2402</v>
      </c>
      <c r="G13" s="114">
        <v>46073</v>
      </c>
      <c r="H13" s="116">
        <v>2567235600</v>
      </c>
      <c r="I13" s="116" t="s">
        <v>2403</v>
      </c>
      <c r="J13" s="116" t="s">
        <v>2222</v>
      </c>
      <c r="K13" s="116" t="s">
        <v>2357</v>
      </c>
      <c r="L13" s="116" t="s">
        <v>2358</v>
      </c>
      <c r="M13" s="116" t="s">
        <v>2331</v>
      </c>
      <c r="N13" s="116" t="s">
        <v>2404</v>
      </c>
      <c r="O13" s="119"/>
      <c r="P13" s="116">
        <v>4889366</v>
      </c>
      <c r="Q13" s="116" t="s">
        <v>2405</v>
      </c>
      <c r="R13" s="116" t="s">
        <v>2376</v>
      </c>
      <c r="S13" s="116" t="s">
        <v>2406</v>
      </c>
      <c r="T13" s="116">
        <v>751899.6</v>
      </c>
      <c r="U13" s="116">
        <v>743536</v>
      </c>
      <c r="V13" s="116" t="s">
        <v>2364</v>
      </c>
      <c r="W13" s="116">
        <v>261534000000000</v>
      </c>
      <c r="X13" s="114">
        <v>46087</v>
      </c>
      <c r="Y13" s="116">
        <v>2023451</v>
      </c>
      <c r="Z13" s="116" t="s">
        <v>2403</v>
      </c>
      <c r="AA13" s="116">
        <v>0.04</v>
      </c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22"/>
      <c r="AN13" s="116" t="s">
        <v>2407</v>
      </c>
      <c r="AO13" s="116" t="s">
        <v>2408</v>
      </c>
      <c r="AP13" s="116" t="s">
        <v>2367</v>
      </c>
    </row>
    <row r="14" spans="1:42">
      <c r="A14" s="113" t="s">
        <v>421</v>
      </c>
      <c r="B14" s="114">
        <v>46087</v>
      </c>
      <c r="C14" s="115">
        <v>0.734780092592593</v>
      </c>
      <c r="D14" s="114">
        <v>46087</v>
      </c>
      <c r="E14" s="115">
        <v>0.736712962962963</v>
      </c>
      <c r="F14" s="116" t="s">
        <v>418</v>
      </c>
      <c r="G14" s="114">
        <v>46087</v>
      </c>
      <c r="H14" s="116">
        <v>2567459895</v>
      </c>
      <c r="I14" s="119"/>
      <c r="J14" s="116" t="s">
        <v>2141</v>
      </c>
      <c r="K14" s="116" t="s">
        <v>2329</v>
      </c>
      <c r="L14" s="116" t="s">
        <v>2330</v>
      </c>
      <c r="M14" s="116" t="s">
        <v>2331</v>
      </c>
      <c r="N14" s="116" t="s">
        <v>2409</v>
      </c>
      <c r="O14" s="119"/>
      <c r="P14" s="116">
        <v>1426830</v>
      </c>
      <c r="Q14" s="116" t="s">
        <v>2343</v>
      </c>
      <c r="R14" s="116" t="s">
        <v>2344</v>
      </c>
      <c r="S14" s="116" t="s">
        <v>2353</v>
      </c>
      <c r="T14" s="116">
        <v>573900.17</v>
      </c>
      <c r="U14" s="116">
        <v>637979</v>
      </c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22"/>
      <c r="AN14" s="116" t="s">
        <v>2346</v>
      </c>
      <c r="AO14" s="116" t="s">
        <v>2346</v>
      </c>
      <c r="AP14" s="123"/>
    </row>
    <row r="15" spans="1:42">
      <c r="A15" s="109" t="s">
        <v>454</v>
      </c>
      <c r="B15" s="110">
        <v>46088</v>
      </c>
      <c r="C15" s="111">
        <v>0.531284722222222</v>
      </c>
      <c r="D15" s="110">
        <v>46088</v>
      </c>
      <c r="E15" s="111">
        <v>0.53306712962963</v>
      </c>
      <c r="F15" s="112" t="s">
        <v>451</v>
      </c>
      <c r="G15" s="110">
        <v>46087</v>
      </c>
      <c r="H15" s="112">
        <v>2567449123</v>
      </c>
      <c r="I15" s="112" t="s">
        <v>455</v>
      </c>
      <c r="J15" s="112" t="s">
        <v>2141</v>
      </c>
      <c r="K15" s="112" t="s">
        <v>2329</v>
      </c>
      <c r="L15" s="112" t="s">
        <v>2330</v>
      </c>
      <c r="M15" s="112" t="s">
        <v>2331</v>
      </c>
      <c r="N15" s="112" t="s">
        <v>2410</v>
      </c>
      <c r="O15" s="118"/>
      <c r="P15" s="112">
        <v>1426949</v>
      </c>
      <c r="Q15" s="112" t="s">
        <v>2343</v>
      </c>
      <c r="R15" s="112" t="s">
        <v>2344</v>
      </c>
      <c r="S15" s="112" t="s">
        <v>2353</v>
      </c>
      <c r="T15" s="112">
        <v>568900.19</v>
      </c>
      <c r="U15" s="112">
        <v>500000</v>
      </c>
      <c r="V15" s="112" t="s">
        <v>2337</v>
      </c>
      <c r="W15" s="112">
        <v>261501000000000</v>
      </c>
      <c r="X15" s="110">
        <v>46088</v>
      </c>
      <c r="Y15" s="112">
        <v>2036917</v>
      </c>
      <c r="Z15" s="112" t="s">
        <v>455</v>
      </c>
      <c r="AA15" s="112">
        <v>-0.02</v>
      </c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21"/>
      <c r="AN15" s="112" t="s">
        <v>2411</v>
      </c>
      <c r="AO15" s="112" t="s">
        <v>2412</v>
      </c>
      <c r="AP15" s="112" t="s">
        <v>2413</v>
      </c>
    </row>
    <row r="16" spans="1:42">
      <c r="A16" s="113" t="s">
        <v>461</v>
      </c>
      <c r="B16" s="114">
        <v>46088</v>
      </c>
      <c r="C16" s="115">
        <v>0.564664351851852</v>
      </c>
      <c r="D16" s="114">
        <v>46088</v>
      </c>
      <c r="E16" s="115">
        <v>0.570983796296296</v>
      </c>
      <c r="F16" s="116" t="s">
        <v>458</v>
      </c>
      <c r="G16" s="114">
        <v>46081</v>
      </c>
      <c r="H16" s="116">
        <v>2567473596</v>
      </c>
      <c r="I16" s="116" t="s">
        <v>462</v>
      </c>
      <c r="J16" s="116" t="s">
        <v>2151</v>
      </c>
      <c r="K16" s="116" t="s">
        <v>2414</v>
      </c>
      <c r="L16" s="116" t="s">
        <v>2415</v>
      </c>
      <c r="M16" s="116" t="s">
        <v>2331</v>
      </c>
      <c r="N16" s="116" t="s">
        <v>2416</v>
      </c>
      <c r="O16" s="119"/>
      <c r="P16" s="116" t="s">
        <v>460</v>
      </c>
      <c r="Q16" s="116" t="s">
        <v>2417</v>
      </c>
      <c r="R16" s="116" t="s">
        <v>2376</v>
      </c>
      <c r="S16" s="116" t="s">
        <v>2418</v>
      </c>
      <c r="T16" s="116">
        <v>1028078.82</v>
      </c>
      <c r="U16" s="116">
        <v>1000000</v>
      </c>
      <c r="V16" s="116" t="s">
        <v>2419</v>
      </c>
      <c r="W16" s="116">
        <v>261503000000000</v>
      </c>
      <c r="X16" s="114">
        <v>46088</v>
      </c>
      <c r="Y16" s="116">
        <v>2039462</v>
      </c>
      <c r="Z16" s="116" t="s">
        <v>462</v>
      </c>
      <c r="AA16" s="116">
        <v>0.02</v>
      </c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22"/>
      <c r="AN16" s="116" t="s">
        <v>2420</v>
      </c>
      <c r="AO16" s="116" t="s">
        <v>2421</v>
      </c>
      <c r="AP16" s="116" t="s">
        <v>2413</v>
      </c>
    </row>
    <row r="17" spans="1:42">
      <c r="A17" s="113" t="s">
        <v>2422</v>
      </c>
      <c r="B17" s="114">
        <v>46088</v>
      </c>
      <c r="C17" s="115">
        <v>0.599826388888889</v>
      </c>
      <c r="D17" s="114">
        <v>46088</v>
      </c>
      <c r="E17" s="115">
        <v>0.602384259259259</v>
      </c>
      <c r="F17" s="116" t="s">
        <v>700</v>
      </c>
      <c r="G17" s="114">
        <v>46077</v>
      </c>
      <c r="H17" s="116">
        <v>2567288671</v>
      </c>
      <c r="I17" s="116" t="s">
        <v>2423</v>
      </c>
      <c r="J17" s="116" t="s">
        <v>2199</v>
      </c>
      <c r="K17" s="116" t="s">
        <v>2371</v>
      </c>
      <c r="L17" s="116" t="s">
        <v>2372</v>
      </c>
      <c r="M17" s="116" t="s">
        <v>2331</v>
      </c>
      <c r="N17" s="116" t="s">
        <v>2424</v>
      </c>
      <c r="O17" s="119"/>
      <c r="P17" s="116">
        <v>4510493</v>
      </c>
      <c r="Q17" s="116" t="s">
        <v>2425</v>
      </c>
      <c r="R17" s="116" t="s">
        <v>2335</v>
      </c>
      <c r="S17" s="116" t="s">
        <v>2426</v>
      </c>
      <c r="T17" s="116">
        <v>1291992.2</v>
      </c>
      <c r="U17" s="116">
        <v>500000</v>
      </c>
      <c r="V17" s="116" t="s">
        <v>2378</v>
      </c>
      <c r="W17" s="116">
        <v>261502000000000</v>
      </c>
      <c r="X17" s="114">
        <v>46088</v>
      </c>
      <c r="Y17" s="116">
        <v>1599397</v>
      </c>
      <c r="Z17" s="116" t="s">
        <v>2423</v>
      </c>
      <c r="AA17" s="116">
        <v>-0.01</v>
      </c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22"/>
      <c r="AN17" s="116" t="s">
        <v>2427</v>
      </c>
      <c r="AO17" s="116" t="s">
        <v>2428</v>
      </c>
      <c r="AP17" s="116" t="s">
        <v>2429</v>
      </c>
    </row>
    <row r="18" spans="1:42">
      <c r="A18" s="113" t="s">
        <v>2430</v>
      </c>
      <c r="B18" s="114">
        <v>46088</v>
      </c>
      <c r="C18" s="115">
        <v>0.602939814814815</v>
      </c>
      <c r="D18" s="114">
        <v>46088</v>
      </c>
      <c r="E18" s="115">
        <v>0.605902777777778</v>
      </c>
      <c r="F18" s="116" t="s">
        <v>2431</v>
      </c>
      <c r="G18" s="114">
        <v>45982</v>
      </c>
      <c r="H18" s="116">
        <v>2565596302</v>
      </c>
      <c r="I18" s="116" t="s">
        <v>2432</v>
      </c>
      <c r="J18" s="116" t="s">
        <v>2199</v>
      </c>
      <c r="K18" s="116" t="s">
        <v>2371</v>
      </c>
      <c r="L18" s="116" t="s">
        <v>2372</v>
      </c>
      <c r="M18" s="116" t="s">
        <v>2331</v>
      </c>
      <c r="N18" s="116" t="s">
        <v>2433</v>
      </c>
      <c r="O18" s="119"/>
      <c r="P18" s="116">
        <v>4916423</v>
      </c>
      <c r="Q18" s="116" t="s">
        <v>2434</v>
      </c>
      <c r="R18" s="116" t="s">
        <v>2435</v>
      </c>
      <c r="S18" s="116" t="s">
        <v>2436</v>
      </c>
      <c r="T18" s="116">
        <v>716999.63</v>
      </c>
      <c r="U18" s="119"/>
      <c r="V18" s="116" t="s">
        <v>2378</v>
      </c>
      <c r="W18" s="116">
        <v>261502000000000</v>
      </c>
      <c r="X18" s="114">
        <v>46088</v>
      </c>
      <c r="Y18" s="116">
        <v>1993263</v>
      </c>
      <c r="Z18" s="116" t="s">
        <v>2432</v>
      </c>
      <c r="AA18" s="116">
        <v>0</v>
      </c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22"/>
      <c r="AN18" s="116" t="s">
        <v>2346</v>
      </c>
      <c r="AO18" s="116" t="s">
        <v>2346</v>
      </c>
      <c r="AP18" s="116" t="s">
        <v>2347</v>
      </c>
    </row>
    <row r="19" spans="1:42">
      <c r="A19" s="113" t="s">
        <v>2437</v>
      </c>
      <c r="B19" s="114">
        <v>46088</v>
      </c>
      <c r="C19" s="115">
        <v>0.610856481481482</v>
      </c>
      <c r="D19" s="114">
        <v>46088</v>
      </c>
      <c r="E19" s="115">
        <v>0.612824074074074</v>
      </c>
      <c r="F19" s="116" t="s">
        <v>2438</v>
      </c>
      <c r="G19" s="114">
        <v>46077</v>
      </c>
      <c r="H19" s="116">
        <v>2567244118</v>
      </c>
      <c r="I19" s="116" t="s">
        <v>2439</v>
      </c>
      <c r="J19" s="116" t="s">
        <v>2199</v>
      </c>
      <c r="K19" s="116" t="s">
        <v>2371</v>
      </c>
      <c r="L19" s="116" t="s">
        <v>2372</v>
      </c>
      <c r="M19" s="116" t="s">
        <v>2331</v>
      </c>
      <c r="N19" s="116" t="s">
        <v>2440</v>
      </c>
      <c r="O19" s="119"/>
      <c r="P19" s="116">
        <v>4888165</v>
      </c>
      <c r="Q19" s="116" t="s">
        <v>2405</v>
      </c>
      <c r="R19" s="116" t="s">
        <v>2376</v>
      </c>
      <c r="S19" s="116" t="s">
        <v>2441</v>
      </c>
      <c r="T19" s="116">
        <v>741499.68</v>
      </c>
      <c r="U19" s="116">
        <v>500000</v>
      </c>
      <c r="V19" s="116" t="s">
        <v>2378</v>
      </c>
      <c r="W19" s="116">
        <v>261502000000000</v>
      </c>
      <c r="X19" s="114">
        <v>46088</v>
      </c>
      <c r="Y19" s="116">
        <v>2038028</v>
      </c>
      <c r="Z19" s="116" t="s">
        <v>2439</v>
      </c>
      <c r="AA19" s="116">
        <v>0.01</v>
      </c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22"/>
      <c r="AN19" s="116" t="s">
        <v>2442</v>
      </c>
      <c r="AO19" s="116" t="s">
        <v>2443</v>
      </c>
      <c r="AP19" s="116" t="s">
        <v>2340</v>
      </c>
    </row>
    <row r="20" spans="1:42">
      <c r="A20" s="113" t="s">
        <v>2444</v>
      </c>
      <c r="B20" s="114">
        <v>46088</v>
      </c>
      <c r="C20" s="115">
        <v>0.615659722222222</v>
      </c>
      <c r="D20" s="114">
        <v>46088</v>
      </c>
      <c r="E20" s="115">
        <v>0.616631944444444</v>
      </c>
      <c r="F20" s="116" t="s">
        <v>2445</v>
      </c>
      <c r="G20" s="114">
        <v>46070</v>
      </c>
      <c r="H20" s="116">
        <v>2567184450</v>
      </c>
      <c r="I20" s="116" t="s">
        <v>2446</v>
      </c>
      <c r="J20" s="116" t="s">
        <v>2199</v>
      </c>
      <c r="K20" s="116" t="s">
        <v>2371</v>
      </c>
      <c r="L20" s="116" t="s">
        <v>2372</v>
      </c>
      <c r="M20" s="116" t="s">
        <v>2331</v>
      </c>
      <c r="N20" s="116" t="s">
        <v>2447</v>
      </c>
      <c r="O20" s="119"/>
      <c r="P20" s="116">
        <v>7932432</v>
      </c>
      <c r="Q20" s="116" t="s">
        <v>2448</v>
      </c>
      <c r="R20" s="116" t="s">
        <v>2335</v>
      </c>
      <c r="S20" s="116" t="s">
        <v>2449</v>
      </c>
      <c r="T20" s="116">
        <v>1358853.62</v>
      </c>
      <c r="U20" s="119"/>
      <c r="V20" s="116" t="s">
        <v>2378</v>
      </c>
      <c r="W20" s="116">
        <v>261502000000000</v>
      </c>
      <c r="X20" s="114">
        <v>46088</v>
      </c>
      <c r="Y20" s="116">
        <v>2035393</v>
      </c>
      <c r="Z20" s="116" t="s">
        <v>2446</v>
      </c>
      <c r="AA20" s="116">
        <v>0</v>
      </c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22"/>
      <c r="AN20" s="116" t="s">
        <v>2450</v>
      </c>
      <c r="AO20" s="116" t="s">
        <v>2443</v>
      </c>
      <c r="AP20" s="116" t="s">
        <v>2340</v>
      </c>
    </row>
    <row r="21" spans="1:42">
      <c r="A21" s="113" t="s">
        <v>2451</v>
      </c>
      <c r="B21" s="114">
        <v>46088</v>
      </c>
      <c r="C21" s="115">
        <v>0.624675925925926</v>
      </c>
      <c r="D21" s="114">
        <v>46088</v>
      </c>
      <c r="E21" s="115">
        <v>0.626724537037037</v>
      </c>
      <c r="F21" s="116" t="s">
        <v>2452</v>
      </c>
      <c r="G21" s="114">
        <v>46075</v>
      </c>
      <c r="H21" s="116">
        <v>2567270733</v>
      </c>
      <c r="I21" s="116" t="s">
        <v>2453</v>
      </c>
      <c r="J21" s="116" t="s">
        <v>2213</v>
      </c>
      <c r="K21" s="116" t="s">
        <v>2454</v>
      </c>
      <c r="L21" s="116" t="s">
        <v>2455</v>
      </c>
      <c r="M21" s="116" t="s">
        <v>2331</v>
      </c>
      <c r="N21" s="116" t="s">
        <v>2456</v>
      </c>
      <c r="O21" s="119"/>
      <c r="P21" s="116">
        <v>7935263</v>
      </c>
      <c r="Q21" s="116" t="s">
        <v>2457</v>
      </c>
      <c r="R21" s="116" t="s">
        <v>2458</v>
      </c>
      <c r="S21" s="116" t="s">
        <v>2459</v>
      </c>
      <c r="T21" s="116">
        <v>883898.9</v>
      </c>
      <c r="U21" s="119"/>
      <c r="V21" s="116" t="s">
        <v>2460</v>
      </c>
      <c r="W21" s="116">
        <v>261532000000000</v>
      </c>
      <c r="X21" s="114">
        <v>46088</v>
      </c>
      <c r="Y21" s="116">
        <v>2037201</v>
      </c>
      <c r="Z21" s="116" t="s">
        <v>2453</v>
      </c>
      <c r="AA21" s="116">
        <v>0.05</v>
      </c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22"/>
      <c r="AN21" s="116" t="s">
        <v>2461</v>
      </c>
      <c r="AO21" s="116" t="s">
        <v>2346</v>
      </c>
      <c r="AP21" s="116" t="s">
        <v>2462</v>
      </c>
    </row>
    <row r="22" spans="1:42">
      <c r="A22" s="113" t="s">
        <v>475</v>
      </c>
      <c r="B22" s="114">
        <v>46088</v>
      </c>
      <c r="C22" s="115">
        <v>0.626747685185185</v>
      </c>
      <c r="D22" s="114">
        <v>46088</v>
      </c>
      <c r="E22" s="115">
        <v>0.630150462962963</v>
      </c>
      <c r="F22" s="116" t="s">
        <v>472</v>
      </c>
      <c r="G22" s="114">
        <v>46086</v>
      </c>
      <c r="H22" s="116">
        <v>2567435685</v>
      </c>
      <c r="I22" s="116" t="s">
        <v>476</v>
      </c>
      <c r="J22" s="116" t="s">
        <v>2189</v>
      </c>
      <c r="K22" s="116" t="s">
        <v>2463</v>
      </c>
      <c r="L22" s="116" t="s">
        <v>2464</v>
      </c>
      <c r="M22" s="116" t="s">
        <v>2331</v>
      </c>
      <c r="N22" s="116" t="s">
        <v>2465</v>
      </c>
      <c r="O22" s="119"/>
      <c r="P22" s="116" t="s">
        <v>474</v>
      </c>
      <c r="Q22" s="116" t="s">
        <v>2466</v>
      </c>
      <c r="R22" s="116" t="s">
        <v>2467</v>
      </c>
      <c r="S22" s="116" t="s">
        <v>2468</v>
      </c>
      <c r="T22" s="116">
        <v>792699.88</v>
      </c>
      <c r="U22" s="116">
        <v>929746</v>
      </c>
      <c r="V22" s="116" t="s">
        <v>2469</v>
      </c>
      <c r="W22" s="116">
        <v>261517000000000</v>
      </c>
      <c r="X22" s="114">
        <v>46088</v>
      </c>
      <c r="Y22" s="116">
        <v>2041565</v>
      </c>
      <c r="Z22" s="116" t="s">
        <v>476</v>
      </c>
      <c r="AA22" s="116">
        <v>-0.06</v>
      </c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22"/>
      <c r="AN22" s="116" t="s">
        <v>2470</v>
      </c>
      <c r="AO22" s="116" t="s">
        <v>2471</v>
      </c>
      <c r="AP22" s="116" t="s">
        <v>2472</v>
      </c>
    </row>
    <row r="23" spans="1:42">
      <c r="A23" s="113" t="s">
        <v>2473</v>
      </c>
      <c r="B23" s="114">
        <v>46088</v>
      </c>
      <c r="C23" s="115">
        <v>0.628321759259259</v>
      </c>
      <c r="D23" s="114">
        <v>46088</v>
      </c>
      <c r="E23" s="115">
        <v>0.630150462962963</v>
      </c>
      <c r="F23" s="116" t="s">
        <v>2474</v>
      </c>
      <c r="G23" s="114">
        <v>46035</v>
      </c>
      <c r="H23" s="116">
        <v>2566564072</v>
      </c>
      <c r="I23" s="116" t="s">
        <v>2475</v>
      </c>
      <c r="J23" s="116" t="s">
        <v>2199</v>
      </c>
      <c r="K23" s="116" t="s">
        <v>2371</v>
      </c>
      <c r="L23" s="116" t="s">
        <v>2372</v>
      </c>
      <c r="M23" s="116" t="s">
        <v>2331</v>
      </c>
      <c r="N23" s="116" t="s">
        <v>2476</v>
      </c>
      <c r="O23" s="119"/>
      <c r="P23" s="116">
        <v>7793800</v>
      </c>
      <c r="Q23" s="116" t="s">
        <v>2477</v>
      </c>
      <c r="R23" s="116" t="s">
        <v>2435</v>
      </c>
      <c r="S23" s="116" t="s">
        <v>2377</v>
      </c>
      <c r="T23" s="116">
        <v>792499.49</v>
      </c>
      <c r="U23" s="116">
        <v>500000</v>
      </c>
      <c r="V23" s="116" t="s">
        <v>2378</v>
      </c>
      <c r="W23" s="116">
        <v>261502000000000</v>
      </c>
      <c r="X23" s="114">
        <v>46088</v>
      </c>
      <c r="Y23" s="116">
        <v>2018747</v>
      </c>
      <c r="Z23" s="116" t="s">
        <v>2475</v>
      </c>
      <c r="AA23" s="116">
        <v>-0.03</v>
      </c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22"/>
      <c r="AN23" s="116" t="s">
        <v>2379</v>
      </c>
      <c r="AO23" s="116" t="s">
        <v>2380</v>
      </c>
      <c r="AP23" s="116" t="s">
        <v>2340</v>
      </c>
    </row>
    <row r="24" spans="1:42">
      <c r="A24" s="113" t="s">
        <v>2478</v>
      </c>
      <c r="B24" s="114">
        <v>46088</v>
      </c>
      <c r="C24" s="115">
        <v>0.63787037037037</v>
      </c>
      <c r="D24" s="114">
        <v>46088</v>
      </c>
      <c r="E24" s="115">
        <v>0.644050925925926</v>
      </c>
      <c r="F24" s="116" t="s">
        <v>2479</v>
      </c>
      <c r="G24" s="114">
        <v>46045</v>
      </c>
      <c r="H24" s="116">
        <v>2566747142</v>
      </c>
      <c r="I24" s="116" t="s">
        <v>2480</v>
      </c>
      <c r="J24" s="116" t="s">
        <v>2222</v>
      </c>
      <c r="K24" s="116" t="s">
        <v>2357</v>
      </c>
      <c r="L24" s="116" t="s">
        <v>2358</v>
      </c>
      <c r="M24" s="116" t="s">
        <v>2331</v>
      </c>
      <c r="N24" s="116" t="s">
        <v>2481</v>
      </c>
      <c r="O24" s="119"/>
      <c r="P24" s="116">
        <v>7933884</v>
      </c>
      <c r="Q24" s="116" t="s">
        <v>2482</v>
      </c>
      <c r="R24" s="116" t="s">
        <v>2435</v>
      </c>
      <c r="S24" s="116" t="s">
        <v>2483</v>
      </c>
      <c r="T24" s="116">
        <v>1207758.45</v>
      </c>
      <c r="U24" s="119"/>
      <c r="V24" s="116" t="s">
        <v>2364</v>
      </c>
      <c r="W24" s="116">
        <v>261534000000000</v>
      </c>
      <c r="X24" s="114">
        <v>46088</v>
      </c>
      <c r="Y24" s="116">
        <v>2023904</v>
      </c>
      <c r="Z24" s="116" t="s">
        <v>2480</v>
      </c>
      <c r="AA24" s="116">
        <v>0.01</v>
      </c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22"/>
      <c r="AN24" s="116" t="s">
        <v>2484</v>
      </c>
      <c r="AO24" s="116" t="s">
        <v>2485</v>
      </c>
      <c r="AP24" s="116" t="s">
        <v>2367</v>
      </c>
    </row>
    <row r="25" spans="1:42">
      <c r="A25" s="113" t="s">
        <v>2486</v>
      </c>
      <c r="B25" s="114">
        <v>46088</v>
      </c>
      <c r="C25" s="115">
        <v>0.638773148148148</v>
      </c>
      <c r="D25" s="114">
        <v>46088</v>
      </c>
      <c r="E25" s="115">
        <v>0.644050925925926</v>
      </c>
      <c r="F25" s="116" t="s">
        <v>2487</v>
      </c>
      <c r="G25" s="114">
        <v>46002</v>
      </c>
      <c r="H25" s="116">
        <v>2565932259</v>
      </c>
      <c r="I25" s="116" t="s">
        <v>2488</v>
      </c>
      <c r="J25" s="116" t="s">
        <v>2199</v>
      </c>
      <c r="K25" s="116" t="s">
        <v>2371</v>
      </c>
      <c r="L25" s="116" t="s">
        <v>2372</v>
      </c>
      <c r="M25" s="116" t="s">
        <v>2331</v>
      </c>
      <c r="N25" s="116" t="s">
        <v>2489</v>
      </c>
      <c r="O25" s="119"/>
      <c r="P25" s="116">
        <v>4916466</v>
      </c>
      <c r="Q25" s="116" t="s">
        <v>2490</v>
      </c>
      <c r="R25" s="116" t="s">
        <v>2376</v>
      </c>
      <c r="S25" s="116" t="s">
        <v>2491</v>
      </c>
      <c r="T25" s="116">
        <v>612600.02</v>
      </c>
      <c r="U25" s="116">
        <v>500000</v>
      </c>
      <c r="V25" s="116" t="s">
        <v>2378</v>
      </c>
      <c r="W25" s="116">
        <v>261502000000000</v>
      </c>
      <c r="X25" s="114">
        <v>46090</v>
      </c>
      <c r="Y25" s="116">
        <v>2005226</v>
      </c>
      <c r="Z25" s="116" t="s">
        <v>2488</v>
      </c>
      <c r="AA25" s="116">
        <v>0.01</v>
      </c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22"/>
      <c r="AN25" s="116" t="s">
        <v>2492</v>
      </c>
      <c r="AO25" s="116" t="s">
        <v>2493</v>
      </c>
      <c r="AP25" s="116" t="s">
        <v>2340</v>
      </c>
    </row>
    <row r="26" spans="1:42">
      <c r="A26" s="113" t="s">
        <v>2494</v>
      </c>
      <c r="B26" s="114">
        <v>46088</v>
      </c>
      <c r="C26" s="115">
        <v>0.644756944444444</v>
      </c>
      <c r="D26" s="114">
        <v>46088</v>
      </c>
      <c r="E26" s="115">
        <v>0.647511574074074</v>
      </c>
      <c r="F26" s="116" t="s">
        <v>2495</v>
      </c>
      <c r="G26" s="114">
        <v>46088</v>
      </c>
      <c r="H26" s="116">
        <v>2567476870</v>
      </c>
      <c r="I26" s="116" t="s">
        <v>2496</v>
      </c>
      <c r="J26" s="116" t="s">
        <v>2217</v>
      </c>
      <c r="K26" s="116" t="s">
        <v>2497</v>
      </c>
      <c r="L26" s="116" t="s">
        <v>2498</v>
      </c>
      <c r="M26" s="116" t="s">
        <v>2331</v>
      </c>
      <c r="N26" s="116" t="s">
        <v>2499</v>
      </c>
      <c r="O26" s="119"/>
      <c r="P26" s="116">
        <v>9260017</v>
      </c>
      <c r="Q26" s="116" t="s">
        <v>2500</v>
      </c>
      <c r="R26" s="116" t="s">
        <v>2458</v>
      </c>
      <c r="S26" s="116" t="s">
        <v>2501</v>
      </c>
      <c r="T26" s="116">
        <v>612353.03</v>
      </c>
      <c r="U26" s="119"/>
      <c r="V26" s="116" t="s">
        <v>2502</v>
      </c>
      <c r="W26" s="116">
        <v>261535000000000</v>
      </c>
      <c r="X26" s="114">
        <v>46088</v>
      </c>
      <c r="Y26" s="116">
        <v>2027454</v>
      </c>
      <c r="Z26" s="116" t="s">
        <v>2496</v>
      </c>
      <c r="AA26" s="116">
        <v>-0.01</v>
      </c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22"/>
      <c r="AN26" s="116" t="s">
        <v>2346</v>
      </c>
      <c r="AO26" s="116" t="s">
        <v>2346</v>
      </c>
      <c r="AP26" s="116" t="s">
        <v>2462</v>
      </c>
    </row>
    <row r="27" spans="1:42">
      <c r="A27" s="113" t="s">
        <v>2503</v>
      </c>
      <c r="B27" s="114">
        <v>46088</v>
      </c>
      <c r="C27" s="115">
        <v>0.647314814814815</v>
      </c>
      <c r="D27" s="114">
        <v>46088</v>
      </c>
      <c r="E27" s="115">
        <v>0.647511574074074</v>
      </c>
      <c r="F27" s="116" t="s">
        <v>2504</v>
      </c>
      <c r="G27" s="114">
        <v>45996</v>
      </c>
      <c r="H27" s="116">
        <v>2565818263</v>
      </c>
      <c r="I27" s="116" t="s">
        <v>2505</v>
      </c>
      <c r="J27" s="116" t="s">
        <v>2213</v>
      </c>
      <c r="K27" s="116" t="s">
        <v>2454</v>
      </c>
      <c r="L27" s="116" t="s">
        <v>2455</v>
      </c>
      <c r="M27" s="116" t="s">
        <v>2331</v>
      </c>
      <c r="N27" s="116" t="s">
        <v>2506</v>
      </c>
      <c r="O27" s="119"/>
      <c r="P27" s="116">
        <v>1427250</v>
      </c>
      <c r="Q27" s="116" t="s">
        <v>2507</v>
      </c>
      <c r="R27" s="116" t="s">
        <v>2467</v>
      </c>
      <c r="S27" s="116" t="s">
        <v>2508</v>
      </c>
      <c r="T27" s="116">
        <v>529800.18</v>
      </c>
      <c r="U27" s="116">
        <v>615000</v>
      </c>
      <c r="V27" s="116" t="s">
        <v>2460</v>
      </c>
      <c r="W27" s="116">
        <v>261532000000000</v>
      </c>
      <c r="X27" s="114">
        <v>46088</v>
      </c>
      <c r="Y27" s="116">
        <v>2000073</v>
      </c>
      <c r="Z27" s="116" t="s">
        <v>2505</v>
      </c>
      <c r="AA27" s="116">
        <v>0</v>
      </c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22"/>
      <c r="AN27" s="116" t="s">
        <v>2346</v>
      </c>
      <c r="AO27" s="116" t="s">
        <v>2346</v>
      </c>
      <c r="AP27" s="116" t="s">
        <v>2462</v>
      </c>
    </row>
    <row r="28" spans="1:42">
      <c r="A28" s="113" t="s">
        <v>449</v>
      </c>
      <c r="B28" s="114">
        <v>46088</v>
      </c>
      <c r="C28" s="115">
        <v>0.679953703703704</v>
      </c>
      <c r="D28" s="114">
        <v>46088</v>
      </c>
      <c r="E28" s="115">
        <v>0.6821875</v>
      </c>
      <c r="F28" s="116" t="s">
        <v>445</v>
      </c>
      <c r="G28" s="114">
        <v>46053</v>
      </c>
      <c r="H28" s="116">
        <v>2567479837</v>
      </c>
      <c r="I28" s="116" t="s">
        <v>1461</v>
      </c>
      <c r="J28" s="116" t="s">
        <v>2141</v>
      </c>
      <c r="K28" s="116" t="s">
        <v>2329</v>
      </c>
      <c r="L28" s="116" t="s">
        <v>2330</v>
      </c>
      <c r="M28" s="116" t="s">
        <v>2331</v>
      </c>
      <c r="N28" s="116" t="s">
        <v>2509</v>
      </c>
      <c r="O28" s="119"/>
      <c r="P28" s="116" t="s">
        <v>448</v>
      </c>
      <c r="Q28" s="116" t="s">
        <v>2343</v>
      </c>
      <c r="R28" s="116" t="s">
        <v>2344</v>
      </c>
      <c r="S28" s="116" t="s">
        <v>2394</v>
      </c>
      <c r="T28" s="116">
        <v>570900.18</v>
      </c>
      <c r="U28" s="116">
        <v>540186</v>
      </c>
      <c r="V28" s="116" t="s">
        <v>2337</v>
      </c>
      <c r="W28" s="116">
        <v>261501000000000</v>
      </c>
      <c r="X28" s="114">
        <v>46088</v>
      </c>
      <c r="Y28" s="116">
        <v>2029628</v>
      </c>
      <c r="Z28" s="116" t="s">
        <v>1461</v>
      </c>
      <c r="AA28" s="116">
        <v>-0.03</v>
      </c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22"/>
      <c r="AN28" s="116" t="s">
        <v>2510</v>
      </c>
      <c r="AO28" s="116" t="s">
        <v>2511</v>
      </c>
      <c r="AP28" s="116" t="s">
        <v>2397</v>
      </c>
    </row>
    <row r="29" spans="1:42">
      <c r="A29" s="113" t="s">
        <v>428</v>
      </c>
      <c r="B29" s="114">
        <v>46088</v>
      </c>
      <c r="C29" s="115">
        <v>0.696342592592593</v>
      </c>
      <c r="D29" s="114">
        <v>46088</v>
      </c>
      <c r="E29" s="115">
        <v>0.699594907407407</v>
      </c>
      <c r="F29" s="116" t="s">
        <v>425</v>
      </c>
      <c r="G29" s="114">
        <v>46088</v>
      </c>
      <c r="H29" s="116">
        <v>2567479499</v>
      </c>
      <c r="I29" s="116" t="s">
        <v>429</v>
      </c>
      <c r="J29" s="116" t="s">
        <v>2141</v>
      </c>
      <c r="K29" s="116" t="s">
        <v>2329</v>
      </c>
      <c r="L29" s="116" t="s">
        <v>2330</v>
      </c>
      <c r="M29" s="116" t="s">
        <v>2331</v>
      </c>
      <c r="N29" s="116" t="s">
        <v>2512</v>
      </c>
      <c r="O29" s="119"/>
      <c r="P29" s="116">
        <v>1427670</v>
      </c>
      <c r="Q29" s="116" t="s">
        <v>2343</v>
      </c>
      <c r="R29" s="116" t="s">
        <v>2344</v>
      </c>
      <c r="S29" s="116" t="s">
        <v>2513</v>
      </c>
      <c r="T29" s="116">
        <v>568900.19</v>
      </c>
      <c r="U29" s="116">
        <v>633086</v>
      </c>
      <c r="V29" s="116" t="s">
        <v>2337</v>
      </c>
      <c r="W29" s="116">
        <v>261501000000000</v>
      </c>
      <c r="X29" s="114">
        <v>46088</v>
      </c>
      <c r="Y29" s="116">
        <v>2040934</v>
      </c>
      <c r="Z29" s="116" t="s">
        <v>429</v>
      </c>
      <c r="AA29" s="116">
        <v>-0.02</v>
      </c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22"/>
      <c r="AN29" s="116" t="s">
        <v>2514</v>
      </c>
      <c r="AO29" s="116" t="s">
        <v>56</v>
      </c>
      <c r="AP29" s="116" t="s">
        <v>2515</v>
      </c>
    </row>
    <row r="30" spans="1:42">
      <c r="A30" s="113" t="s">
        <v>432</v>
      </c>
      <c r="B30" s="114">
        <v>46088</v>
      </c>
      <c r="C30" s="115">
        <v>0.703009259259259</v>
      </c>
      <c r="D30" s="114">
        <v>46088</v>
      </c>
      <c r="E30" s="115">
        <v>0.706597222222222</v>
      </c>
      <c r="F30" s="116" t="s">
        <v>430</v>
      </c>
      <c r="G30" s="114">
        <v>46088</v>
      </c>
      <c r="H30" s="116">
        <v>2567480248</v>
      </c>
      <c r="I30" s="116" t="s">
        <v>1489</v>
      </c>
      <c r="J30" s="116" t="s">
        <v>2141</v>
      </c>
      <c r="K30" s="116" t="s">
        <v>2329</v>
      </c>
      <c r="L30" s="116" t="s">
        <v>2330</v>
      </c>
      <c r="M30" s="116" t="s">
        <v>2331</v>
      </c>
      <c r="N30" s="116" t="s">
        <v>2516</v>
      </c>
      <c r="O30" s="119"/>
      <c r="P30" s="116">
        <v>1427330</v>
      </c>
      <c r="Q30" s="116" t="s">
        <v>2517</v>
      </c>
      <c r="R30" s="116" t="s">
        <v>2518</v>
      </c>
      <c r="S30" s="116" t="s">
        <v>2519</v>
      </c>
      <c r="T30" s="116">
        <v>375299.58</v>
      </c>
      <c r="U30" s="116">
        <v>447500</v>
      </c>
      <c r="V30" s="116" t="s">
        <v>2337</v>
      </c>
      <c r="W30" s="116">
        <v>261501000000000</v>
      </c>
      <c r="X30" s="114">
        <v>46090</v>
      </c>
      <c r="Y30" s="116">
        <v>2040001</v>
      </c>
      <c r="Z30" s="116" t="s">
        <v>1489</v>
      </c>
      <c r="AA30" s="116">
        <v>-0.03</v>
      </c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22"/>
      <c r="AN30" s="116" t="s">
        <v>2520</v>
      </c>
      <c r="AO30" s="116" t="s">
        <v>2521</v>
      </c>
      <c r="AP30" s="116" t="s">
        <v>2522</v>
      </c>
    </row>
    <row r="31" spans="1:42">
      <c r="A31" s="113" t="s">
        <v>2523</v>
      </c>
      <c r="B31" s="114">
        <v>46088</v>
      </c>
      <c r="C31" s="115">
        <v>0.710023148148148</v>
      </c>
      <c r="D31" s="114">
        <v>46088</v>
      </c>
      <c r="E31" s="115">
        <v>0.710081018518519</v>
      </c>
      <c r="F31" s="116" t="s">
        <v>2524</v>
      </c>
      <c r="G31" s="114">
        <v>46052</v>
      </c>
      <c r="H31" s="116">
        <v>2566848752</v>
      </c>
      <c r="I31" s="116" t="s">
        <v>2525</v>
      </c>
      <c r="J31" s="116" t="s">
        <v>2203</v>
      </c>
      <c r="K31" s="116" t="s">
        <v>2526</v>
      </c>
      <c r="L31" s="116" t="s">
        <v>2527</v>
      </c>
      <c r="M31" s="116" t="s">
        <v>2331</v>
      </c>
      <c r="N31" s="116" t="s">
        <v>2528</v>
      </c>
      <c r="O31" s="119"/>
      <c r="P31" s="116">
        <v>4888357</v>
      </c>
      <c r="Q31" s="116" t="s">
        <v>2529</v>
      </c>
      <c r="R31" s="116" t="s">
        <v>2530</v>
      </c>
      <c r="S31" s="116" t="s">
        <v>2531</v>
      </c>
      <c r="T31" s="116">
        <v>794899.69</v>
      </c>
      <c r="U31" s="116">
        <v>500000</v>
      </c>
      <c r="V31" s="116" t="s">
        <v>2532</v>
      </c>
      <c r="W31" s="116">
        <v>261536000000000</v>
      </c>
      <c r="X31" s="114">
        <v>46088</v>
      </c>
      <c r="Y31" s="116">
        <v>2023926</v>
      </c>
      <c r="Z31" s="116" t="s">
        <v>2525</v>
      </c>
      <c r="AA31" s="116">
        <v>0</v>
      </c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22"/>
      <c r="AN31" s="116" t="s">
        <v>2420</v>
      </c>
      <c r="AO31" s="116" t="s">
        <v>2421</v>
      </c>
      <c r="AP31" s="116" t="s">
        <v>2533</v>
      </c>
    </row>
    <row r="32" spans="1:42">
      <c r="A32" s="113" t="s">
        <v>469</v>
      </c>
      <c r="B32" s="114">
        <v>46088</v>
      </c>
      <c r="C32" s="115">
        <v>0.720821759259259</v>
      </c>
      <c r="D32" s="114">
        <v>46088</v>
      </c>
      <c r="E32" s="115">
        <v>0.723900462962963</v>
      </c>
      <c r="F32" s="116" t="s">
        <v>467</v>
      </c>
      <c r="G32" s="114">
        <v>46087</v>
      </c>
      <c r="H32" s="116">
        <v>2567460397</v>
      </c>
      <c r="I32" s="116" t="s">
        <v>470</v>
      </c>
      <c r="J32" s="116" t="s">
        <v>2157</v>
      </c>
      <c r="K32" s="116" t="s">
        <v>2534</v>
      </c>
      <c r="L32" s="116" t="s">
        <v>2535</v>
      </c>
      <c r="M32" s="116" t="s">
        <v>2331</v>
      </c>
      <c r="N32" s="116" t="s">
        <v>2536</v>
      </c>
      <c r="O32" s="119"/>
      <c r="P32" s="116">
        <v>1416463</v>
      </c>
      <c r="Q32" s="116" t="s">
        <v>2537</v>
      </c>
      <c r="R32" s="116" t="s">
        <v>2538</v>
      </c>
      <c r="S32" s="116" t="s">
        <v>2539</v>
      </c>
      <c r="T32" s="116">
        <v>427799.71</v>
      </c>
      <c r="U32" s="119"/>
      <c r="V32" s="116" t="s">
        <v>2540</v>
      </c>
      <c r="W32" s="116">
        <v>261504000000000</v>
      </c>
      <c r="X32" s="114">
        <v>46088</v>
      </c>
      <c r="Y32" s="116">
        <v>2041761</v>
      </c>
      <c r="Z32" s="116" t="s">
        <v>470</v>
      </c>
      <c r="AA32" s="116">
        <v>-0.04</v>
      </c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22"/>
      <c r="AN32" s="116" t="s">
        <v>2541</v>
      </c>
      <c r="AO32" s="116" t="s">
        <v>2542</v>
      </c>
      <c r="AP32" s="116" t="s">
        <v>2543</v>
      </c>
    </row>
    <row r="33" spans="1:42">
      <c r="A33" s="113" t="s">
        <v>2544</v>
      </c>
      <c r="B33" s="114">
        <v>46088</v>
      </c>
      <c r="C33" s="115">
        <v>0.721782407407407</v>
      </c>
      <c r="D33" s="114">
        <v>46088</v>
      </c>
      <c r="E33" s="115">
        <v>0.723900462962963</v>
      </c>
      <c r="F33" s="116" t="s">
        <v>2545</v>
      </c>
      <c r="G33" s="114">
        <v>46088</v>
      </c>
      <c r="H33" s="116">
        <v>2567473855</v>
      </c>
      <c r="I33" s="116" t="s">
        <v>2546</v>
      </c>
      <c r="J33" s="116" t="s">
        <v>2213</v>
      </c>
      <c r="K33" s="116" t="s">
        <v>2454</v>
      </c>
      <c r="L33" s="116" t="s">
        <v>2455</v>
      </c>
      <c r="M33" s="116" t="s">
        <v>2331</v>
      </c>
      <c r="N33" s="116" t="s">
        <v>2547</v>
      </c>
      <c r="O33" s="119"/>
      <c r="P33" s="116">
        <v>1426029</v>
      </c>
      <c r="Q33" s="116" t="s">
        <v>2548</v>
      </c>
      <c r="R33" s="116" t="s">
        <v>2344</v>
      </c>
      <c r="S33" s="116" t="s">
        <v>2549</v>
      </c>
      <c r="T33" s="116">
        <v>478900.41</v>
      </c>
      <c r="U33" s="119"/>
      <c r="V33" s="116" t="s">
        <v>2460</v>
      </c>
      <c r="W33" s="116">
        <v>261532000000000</v>
      </c>
      <c r="X33" s="114">
        <v>46088</v>
      </c>
      <c r="Y33" s="116">
        <v>2023199</v>
      </c>
      <c r="Z33" s="116" t="s">
        <v>2546</v>
      </c>
      <c r="AA33" s="116">
        <v>-0.04</v>
      </c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22"/>
      <c r="AN33" s="116" t="s">
        <v>2550</v>
      </c>
      <c r="AO33" s="116" t="s">
        <v>2346</v>
      </c>
      <c r="AP33" s="116" t="s">
        <v>2462</v>
      </c>
    </row>
    <row r="34" spans="1:42">
      <c r="A34" s="113" t="s">
        <v>2551</v>
      </c>
      <c r="B34" s="114">
        <v>46088</v>
      </c>
      <c r="C34" s="115">
        <v>0.730138888888889</v>
      </c>
      <c r="D34" s="114">
        <v>46088</v>
      </c>
      <c r="E34" s="115">
        <v>0.730914351851852</v>
      </c>
      <c r="F34" s="116" t="s">
        <v>2552</v>
      </c>
      <c r="G34" s="114">
        <v>46051</v>
      </c>
      <c r="H34" s="116">
        <v>2567484050</v>
      </c>
      <c r="I34" s="116" t="s">
        <v>2553</v>
      </c>
      <c r="J34" s="116" t="s">
        <v>2213</v>
      </c>
      <c r="K34" s="116" t="s">
        <v>2454</v>
      </c>
      <c r="L34" s="116" t="s">
        <v>2455</v>
      </c>
      <c r="M34" s="116" t="s">
        <v>2331</v>
      </c>
      <c r="N34" s="116" t="s">
        <v>2554</v>
      </c>
      <c r="O34" s="119"/>
      <c r="P34" s="116">
        <v>7919904</v>
      </c>
      <c r="Q34" s="116" t="s">
        <v>2555</v>
      </c>
      <c r="R34" s="116" t="s">
        <v>2458</v>
      </c>
      <c r="S34" s="116" t="s">
        <v>2556</v>
      </c>
      <c r="T34" s="116">
        <v>1027066.92</v>
      </c>
      <c r="U34" s="116">
        <v>820000</v>
      </c>
      <c r="V34" s="116" t="s">
        <v>2460</v>
      </c>
      <c r="W34" s="116">
        <v>261532000000000</v>
      </c>
      <c r="X34" s="114">
        <v>46088</v>
      </c>
      <c r="Y34" s="116">
        <v>2026293</v>
      </c>
      <c r="Z34" s="116" t="s">
        <v>2553</v>
      </c>
      <c r="AA34" s="116">
        <v>-0.01</v>
      </c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22"/>
      <c r="AN34" s="116" t="s">
        <v>2346</v>
      </c>
      <c r="AO34" s="116" t="s">
        <v>2346</v>
      </c>
      <c r="AP34" s="116" t="s">
        <v>2557</v>
      </c>
    </row>
    <row r="35" spans="1:42">
      <c r="A35" s="113" t="s">
        <v>441</v>
      </c>
      <c r="B35" s="114">
        <v>46088</v>
      </c>
      <c r="C35" s="115">
        <v>0.736030092592593</v>
      </c>
      <c r="D35" s="114">
        <v>46088</v>
      </c>
      <c r="E35" s="115">
        <v>0.737777777777778</v>
      </c>
      <c r="F35" s="116" t="s">
        <v>438</v>
      </c>
      <c r="G35" s="114">
        <v>46008</v>
      </c>
      <c r="H35" s="116">
        <v>2566023466</v>
      </c>
      <c r="I35" s="116" t="s">
        <v>442</v>
      </c>
      <c r="J35" s="116" t="s">
        <v>2141</v>
      </c>
      <c r="K35" s="116" t="s">
        <v>2329</v>
      </c>
      <c r="L35" s="116" t="s">
        <v>2330</v>
      </c>
      <c r="M35" s="116" t="s">
        <v>2331</v>
      </c>
      <c r="N35" s="116" t="s">
        <v>2558</v>
      </c>
      <c r="O35" s="119"/>
      <c r="P35" s="116" t="s">
        <v>440</v>
      </c>
      <c r="Q35" s="116" t="s">
        <v>2559</v>
      </c>
      <c r="R35" s="116" t="s">
        <v>2335</v>
      </c>
      <c r="S35" s="116" t="s">
        <v>2513</v>
      </c>
      <c r="T35" s="116">
        <v>701299.44</v>
      </c>
      <c r="U35" s="119"/>
      <c r="V35" s="116" t="s">
        <v>2337</v>
      </c>
      <c r="W35" s="116">
        <v>261501000000000</v>
      </c>
      <c r="X35" s="114">
        <v>46088</v>
      </c>
      <c r="Y35" s="116">
        <v>2008333</v>
      </c>
      <c r="Z35" s="116" t="s">
        <v>442</v>
      </c>
      <c r="AA35" s="116">
        <v>0.03</v>
      </c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22"/>
      <c r="AN35" s="116" t="s">
        <v>2560</v>
      </c>
      <c r="AO35" s="116" t="s">
        <v>2561</v>
      </c>
      <c r="AP35" s="116" t="s">
        <v>2562</v>
      </c>
    </row>
    <row r="36" spans="1:42">
      <c r="A36" s="113" t="s">
        <v>2563</v>
      </c>
      <c r="B36" s="114">
        <v>46088</v>
      </c>
      <c r="C36" s="115">
        <v>0.741076388888889</v>
      </c>
      <c r="D36" s="114">
        <v>46088</v>
      </c>
      <c r="E36" s="115">
        <v>0.74125</v>
      </c>
      <c r="F36" s="116" t="s">
        <v>2564</v>
      </c>
      <c r="G36" s="114">
        <v>46087</v>
      </c>
      <c r="H36" s="116">
        <v>2567448280</v>
      </c>
      <c r="I36" s="116" t="s">
        <v>2565</v>
      </c>
      <c r="J36" s="116" t="s">
        <v>2226</v>
      </c>
      <c r="K36" s="116" t="s">
        <v>2566</v>
      </c>
      <c r="L36" s="116" t="s">
        <v>2567</v>
      </c>
      <c r="M36" s="116" t="s">
        <v>2331</v>
      </c>
      <c r="N36" s="116" t="s">
        <v>2568</v>
      </c>
      <c r="O36" s="119"/>
      <c r="P36" s="116">
        <v>4889861</v>
      </c>
      <c r="Q36" s="116" t="s">
        <v>2405</v>
      </c>
      <c r="R36" s="116" t="s">
        <v>2376</v>
      </c>
      <c r="S36" s="116" t="s">
        <v>2569</v>
      </c>
      <c r="T36" s="116">
        <v>749899.57</v>
      </c>
      <c r="U36" s="116">
        <v>680000</v>
      </c>
      <c r="V36" s="116" t="s">
        <v>2570</v>
      </c>
      <c r="W36" s="116">
        <v>261531000000000</v>
      </c>
      <c r="X36" s="114">
        <v>46088</v>
      </c>
      <c r="Y36" s="116">
        <v>2041680</v>
      </c>
      <c r="Z36" s="116" t="s">
        <v>2565</v>
      </c>
      <c r="AA36" s="116">
        <v>0.02</v>
      </c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22"/>
      <c r="AN36" s="116" t="s">
        <v>2346</v>
      </c>
      <c r="AO36" s="116" t="s">
        <v>2346</v>
      </c>
      <c r="AP36" s="116" t="s">
        <v>2571</v>
      </c>
    </row>
    <row r="37" spans="1:42">
      <c r="A37" s="113" t="s">
        <v>525</v>
      </c>
      <c r="B37" s="114">
        <v>46090</v>
      </c>
      <c r="C37" s="115">
        <v>0.50806712962963</v>
      </c>
      <c r="D37" s="114">
        <v>46090</v>
      </c>
      <c r="E37" s="115">
        <v>0.508888888888889</v>
      </c>
      <c r="F37" s="116" t="s">
        <v>521</v>
      </c>
      <c r="G37" s="114">
        <v>46032</v>
      </c>
      <c r="H37" s="116">
        <v>2566534647</v>
      </c>
      <c r="I37" s="116" t="s">
        <v>2572</v>
      </c>
      <c r="J37" s="116" t="s">
        <v>2141</v>
      </c>
      <c r="K37" s="116" t="s">
        <v>2329</v>
      </c>
      <c r="L37" s="116" t="s">
        <v>2330</v>
      </c>
      <c r="M37" s="116" t="s">
        <v>2331</v>
      </c>
      <c r="N37" s="116" t="s">
        <v>2573</v>
      </c>
      <c r="O37" s="119"/>
      <c r="P37" s="116" t="s">
        <v>524</v>
      </c>
      <c r="Q37" s="116" t="s">
        <v>2548</v>
      </c>
      <c r="R37" s="116" t="s">
        <v>2458</v>
      </c>
      <c r="S37" s="116" t="s">
        <v>2353</v>
      </c>
      <c r="T37" s="116">
        <v>477800.46</v>
      </c>
      <c r="U37" s="116">
        <v>450000</v>
      </c>
      <c r="V37" s="116" t="s">
        <v>2337</v>
      </c>
      <c r="W37" s="116">
        <v>261501000000000</v>
      </c>
      <c r="X37" s="114">
        <v>46090</v>
      </c>
      <c r="Y37" s="116">
        <v>2018065</v>
      </c>
      <c r="Z37" s="116" t="s">
        <v>2572</v>
      </c>
      <c r="AA37" s="116">
        <v>-0.05</v>
      </c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22"/>
      <c r="AN37" s="116" t="s">
        <v>2391</v>
      </c>
      <c r="AO37" s="116" t="s">
        <v>2392</v>
      </c>
      <c r="AP37" s="116" t="s">
        <v>2347</v>
      </c>
    </row>
    <row r="38" spans="1:42">
      <c r="A38" s="113" t="s">
        <v>2574</v>
      </c>
      <c r="B38" s="114">
        <v>46090</v>
      </c>
      <c r="C38" s="115">
        <v>0.510115740740741</v>
      </c>
      <c r="D38" s="114">
        <v>46090</v>
      </c>
      <c r="E38" s="115">
        <v>0.51224537037037</v>
      </c>
      <c r="F38" s="116" t="s">
        <v>2575</v>
      </c>
      <c r="G38" s="114">
        <v>46077</v>
      </c>
      <c r="H38" s="116">
        <v>2567296923</v>
      </c>
      <c r="I38" s="116" t="s">
        <v>2576</v>
      </c>
      <c r="J38" s="116" t="s">
        <v>2226</v>
      </c>
      <c r="K38" s="116" t="s">
        <v>2566</v>
      </c>
      <c r="L38" s="116" t="s">
        <v>2567</v>
      </c>
      <c r="M38" s="116" t="s">
        <v>2331</v>
      </c>
      <c r="N38" s="116" t="s">
        <v>2577</v>
      </c>
      <c r="O38" s="119"/>
      <c r="P38" s="116">
        <v>7055556</v>
      </c>
      <c r="Q38" s="116" t="s">
        <v>2578</v>
      </c>
      <c r="R38" s="116" t="s">
        <v>2435</v>
      </c>
      <c r="S38" s="116" t="s">
        <v>2579</v>
      </c>
      <c r="T38" s="116">
        <v>955899.56</v>
      </c>
      <c r="U38" s="116">
        <v>865000</v>
      </c>
      <c r="V38" s="116" t="s">
        <v>2570</v>
      </c>
      <c r="W38" s="116">
        <v>261531000000000</v>
      </c>
      <c r="X38" s="114">
        <v>46090</v>
      </c>
      <c r="Y38" s="116">
        <v>2037827</v>
      </c>
      <c r="Z38" s="116" t="s">
        <v>2576</v>
      </c>
      <c r="AA38" s="116">
        <v>0</v>
      </c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22"/>
      <c r="AN38" s="116" t="s">
        <v>2346</v>
      </c>
      <c r="AO38" s="116" t="s">
        <v>2346</v>
      </c>
      <c r="AP38" s="116" t="s">
        <v>2571</v>
      </c>
    </row>
    <row r="39" spans="1:42">
      <c r="A39" s="113" t="s">
        <v>2580</v>
      </c>
      <c r="B39" s="114">
        <v>46090</v>
      </c>
      <c r="C39" s="115">
        <v>0.514293981481482</v>
      </c>
      <c r="D39" s="114">
        <v>46090</v>
      </c>
      <c r="E39" s="115">
        <v>0.515590277777778</v>
      </c>
      <c r="F39" s="116" t="s">
        <v>2581</v>
      </c>
      <c r="G39" s="114">
        <v>46070</v>
      </c>
      <c r="H39" s="116">
        <v>2567183819</v>
      </c>
      <c r="I39" s="116" t="s">
        <v>2582</v>
      </c>
      <c r="J39" s="116" t="s">
        <v>2226</v>
      </c>
      <c r="K39" s="116" t="s">
        <v>2566</v>
      </c>
      <c r="L39" s="116" t="s">
        <v>2567</v>
      </c>
      <c r="M39" s="116" t="s">
        <v>2331</v>
      </c>
      <c r="N39" s="116" t="s">
        <v>2583</v>
      </c>
      <c r="O39" s="119"/>
      <c r="P39" s="116">
        <v>4890162</v>
      </c>
      <c r="Q39" s="116" t="s">
        <v>2584</v>
      </c>
      <c r="R39" s="116" t="s">
        <v>2585</v>
      </c>
      <c r="S39" s="116" t="s">
        <v>2586</v>
      </c>
      <c r="T39" s="116">
        <v>883399.61</v>
      </c>
      <c r="U39" s="116">
        <v>790000</v>
      </c>
      <c r="V39" s="116" t="s">
        <v>2570</v>
      </c>
      <c r="W39" s="116">
        <v>261531000000000</v>
      </c>
      <c r="X39" s="114">
        <v>46090</v>
      </c>
      <c r="Y39" s="116">
        <v>2035338</v>
      </c>
      <c r="Z39" s="116" t="s">
        <v>2582</v>
      </c>
      <c r="AA39" s="116">
        <v>0.02</v>
      </c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22"/>
      <c r="AN39" s="116" t="s">
        <v>2346</v>
      </c>
      <c r="AO39" s="116" t="s">
        <v>2346</v>
      </c>
      <c r="AP39" s="116" t="s">
        <v>2571</v>
      </c>
    </row>
    <row r="40" spans="1:42">
      <c r="A40" s="113" t="s">
        <v>502</v>
      </c>
      <c r="B40" s="114">
        <v>46090</v>
      </c>
      <c r="C40" s="115">
        <v>0.519178240740741</v>
      </c>
      <c r="D40" s="114">
        <v>46090</v>
      </c>
      <c r="E40" s="115">
        <v>0.522650462962963</v>
      </c>
      <c r="F40" s="116" t="s">
        <v>499</v>
      </c>
      <c r="G40" s="114">
        <v>46088</v>
      </c>
      <c r="H40" s="116">
        <v>2567483180</v>
      </c>
      <c r="I40" s="116" t="s">
        <v>2587</v>
      </c>
      <c r="J40" s="116" t="s">
        <v>2141</v>
      </c>
      <c r="K40" s="116" t="s">
        <v>2329</v>
      </c>
      <c r="L40" s="116" t="s">
        <v>2330</v>
      </c>
      <c r="M40" s="116" t="s">
        <v>2331</v>
      </c>
      <c r="N40" s="116" t="s">
        <v>2588</v>
      </c>
      <c r="O40" s="119"/>
      <c r="P40" s="116">
        <v>7934235</v>
      </c>
      <c r="Q40" s="116" t="s">
        <v>2589</v>
      </c>
      <c r="R40" s="116" t="s">
        <v>2590</v>
      </c>
      <c r="S40" s="116" t="s">
        <v>2353</v>
      </c>
      <c r="T40" s="116">
        <v>1121402.99</v>
      </c>
      <c r="U40" s="116">
        <v>1008186</v>
      </c>
      <c r="V40" s="116" t="s">
        <v>2337</v>
      </c>
      <c r="W40" s="116">
        <v>261501000000000</v>
      </c>
      <c r="X40" s="114">
        <v>46090</v>
      </c>
      <c r="Y40" s="116">
        <v>2031468</v>
      </c>
      <c r="Z40" s="116" t="s">
        <v>2587</v>
      </c>
      <c r="AA40" s="116">
        <v>-0.04</v>
      </c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22"/>
      <c r="AN40" s="116" t="s">
        <v>2591</v>
      </c>
      <c r="AO40" s="116" t="s">
        <v>2592</v>
      </c>
      <c r="AP40" s="116" t="s">
        <v>2593</v>
      </c>
    </row>
    <row r="41" spans="1:42">
      <c r="A41" s="113" t="s">
        <v>2594</v>
      </c>
      <c r="B41" s="114">
        <v>46090</v>
      </c>
      <c r="C41" s="115">
        <v>0.540821759259259</v>
      </c>
      <c r="D41" s="114">
        <v>46090</v>
      </c>
      <c r="E41" s="115">
        <v>0.543368055555556</v>
      </c>
      <c r="F41" s="116" t="s">
        <v>2595</v>
      </c>
      <c r="G41" s="114">
        <v>46070</v>
      </c>
      <c r="H41" s="116">
        <v>2567181960</v>
      </c>
      <c r="I41" s="116" t="s">
        <v>2596</v>
      </c>
      <c r="J41" s="116" t="s">
        <v>2199</v>
      </c>
      <c r="K41" s="116" t="s">
        <v>2371</v>
      </c>
      <c r="L41" s="116" t="s">
        <v>2372</v>
      </c>
      <c r="M41" s="116" t="s">
        <v>2331</v>
      </c>
      <c r="N41" s="116" t="s">
        <v>2597</v>
      </c>
      <c r="O41" s="119"/>
      <c r="P41" s="116" t="s">
        <v>2598</v>
      </c>
      <c r="Q41" s="116" t="s">
        <v>2599</v>
      </c>
      <c r="R41" s="116" t="s">
        <v>2376</v>
      </c>
      <c r="S41" s="116" t="s">
        <v>2600</v>
      </c>
      <c r="T41" s="116">
        <v>1108272.77</v>
      </c>
      <c r="U41" s="116">
        <v>500000</v>
      </c>
      <c r="V41" s="116" t="s">
        <v>2378</v>
      </c>
      <c r="W41" s="116">
        <v>261502000000000</v>
      </c>
      <c r="X41" s="114">
        <v>46090</v>
      </c>
      <c r="Y41" s="116">
        <v>1072469</v>
      </c>
      <c r="Z41" s="116" t="s">
        <v>2596</v>
      </c>
      <c r="AA41" s="116">
        <v>-0.07</v>
      </c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22"/>
      <c r="AN41" s="116" t="s">
        <v>2601</v>
      </c>
      <c r="AO41" s="116" t="s">
        <v>2511</v>
      </c>
      <c r="AP41" s="116" t="s">
        <v>2397</v>
      </c>
    </row>
    <row r="42" spans="1:42">
      <c r="A42" s="113" t="s">
        <v>2602</v>
      </c>
      <c r="B42" s="114">
        <v>46090</v>
      </c>
      <c r="C42" s="115">
        <v>0.598101851851852</v>
      </c>
      <c r="D42" s="114">
        <v>46090</v>
      </c>
      <c r="E42" s="115">
        <v>0.598912037037037</v>
      </c>
      <c r="F42" s="116" t="s">
        <v>2603</v>
      </c>
      <c r="G42" s="114">
        <v>46055</v>
      </c>
      <c r="H42" s="116">
        <v>2566941936</v>
      </c>
      <c r="I42" s="116" t="s">
        <v>2604</v>
      </c>
      <c r="J42" s="116" t="s">
        <v>2222</v>
      </c>
      <c r="K42" s="116" t="s">
        <v>2357</v>
      </c>
      <c r="L42" s="116" t="s">
        <v>2358</v>
      </c>
      <c r="M42" s="116" t="s">
        <v>2331</v>
      </c>
      <c r="N42" s="116" t="s">
        <v>2605</v>
      </c>
      <c r="O42" s="119"/>
      <c r="P42" s="116">
        <v>4889353</v>
      </c>
      <c r="Q42" s="116" t="s">
        <v>2405</v>
      </c>
      <c r="R42" s="116" t="s">
        <v>2376</v>
      </c>
      <c r="S42" s="116" t="s">
        <v>2606</v>
      </c>
      <c r="T42" s="116">
        <v>751899.6</v>
      </c>
      <c r="U42" s="116">
        <v>676737</v>
      </c>
      <c r="V42" s="116" t="s">
        <v>2364</v>
      </c>
      <c r="W42" s="116">
        <v>261534000000000</v>
      </c>
      <c r="X42" s="114">
        <v>46090</v>
      </c>
      <c r="Y42" s="116">
        <v>2020121</v>
      </c>
      <c r="Z42" s="116" t="s">
        <v>2604</v>
      </c>
      <c r="AA42" s="116">
        <v>0.04</v>
      </c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22"/>
      <c r="AN42" s="116" t="s">
        <v>2607</v>
      </c>
      <c r="AO42" s="116" t="s">
        <v>2608</v>
      </c>
      <c r="AP42" s="116" t="s">
        <v>2367</v>
      </c>
    </row>
    <row r="43" spans="1:42">
      <c r="A43" s="113" t="s">
        <v>2609</v>
      </c>
      <c r="B43" s="114">
        <v>46090</v>
      </c>
      <c r="C43" s="115">
        <v>0.599965277777778</v>
      </c>
      <c r="D43" s="114">
        <v>46090</v>
      </c>
      <c r="E43" s="115">
        <v>0.605949074074074</v>
      </c>
      <c r="F43" s="116" t="s">
        <v>2610</v>
      </c>
      <c r="G43" s="114">
        <v>46037</v>
      </c>
      <c r="H43" s="116">
        <v>2566604029</v>
      </c>
      <c r="I43" s="116" t="s">
        <v>2611</v>
      </c>
      <c r="J43" s="116" t="s">
        <v>2226</v>
      </c>
      <c r="K43" s="116" t="s">
        <v>2566</v>
      </c>
      <c r="L43" s="116" t="s">
        <v>2567</v>
      </c>
      <c r="M43" s="116" t="s">
        <v>2331</v>
      </c>
      <c r="N43" s="116" t="s">
        <v>2612</v>
      </c>
      <c r="O43" s="119"/>
      <c r="P43" s="116">
        <v>7055486</v>
      </c>
      <c r="Q43" s="116" t="s">
        <v>2613</v>
      </c>
      <c r="R43" s="116" t="s">
        <v>2335</v>
      </c>
      <c r="S43" s="116" t="s">
        <v>2614</v>
      </c>
      <c r="T43" s="116">
        <v>1094739.43</v>
      </c>
      <c r="U43" s="116">
        <v>1090000</v>
      </c>
      <c r="V43" s="116" t="s">
        <v>2570</v>
      </c>
      <c r="W43" s="116">
        <v>261531000000000</v>
      </c>
      <c r="X43" s="114">
        <v>46090</v>
      </c>
      <c r="Y43" s="116">
        <v>2020348</v>
      </c>
      <c r="Z43" s="116" t="s">
        <v>2611</v>
      </c>
      <c r="AA43" s="116">
        <v>0.02</v>
      </c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22"/>
      <c r="AN43" s="116" t="s">
        <v>2346</v>
      </c>
      <c r="AO43" s="116" t="s">
        <v>2346</v>
      </c>
      <c r="AP43" s="116" t="s">
        <v>2571</v>
      </c>
    </row>
    <row r="44" spans="1:42">
      <c r="A44" s="113" t="s">
        <v>2615</v>
      </c>
      <c r="B44" s="114">
        <v>46090</v>
      </c>
      <c r="C44" s="115">
        <v>0.61005787037037</v>
      </c>
      <c r="D44" s="114">
        <v>46090</v>
      </c>
      <c r="E44" s="115">
        <v>0.612835648148148</v>
      </c>
      <c r="F44" s="116" t="s">
        <v>2616</v>
      </c>
      <c r="G44" s="114">
        <v>46056</v>
      </c>
      <c r="H44" s="116">
        <v>2566957061</v>
      </c>
      <c r="I44" s="116" t="s">
        <v>2617</v>
      </c>
      <c r="J44" s="116" t="s">
        <v>2226</v>
      </c>
      <c r="K44" s="116" t="s">
        <v>2566</v>
      </c>
      <c r="L44" s="116" t="s">
        <v>2567</v>
      </c>
      <c r="M44" s="116" t="s">
        <v>2331</v>
      </c>
      <c r="N44" s="116" t="s">
        <v>2618</v>
      </c>
      <c r="O44" s="119"/>
      <c r="P44" s="116">
        <v>4890143</v>
      </c>
      <c r="Q44" s="116" t="s">
        <v>2405</v>
      </c>
      <c r="R44" s="116" t="s">
        <v>2585</v>
      </c>
      <c r="S44" s="116" t="s">
        <v>2619</v>
      </c>
      <c r="T44" s="116">
        <v>745459.54</v>
      </c>
      <c r="U44" s="116">
        <v>689000</v>
      </c>
      <c r="V44" s="116" t="s">
        <v>2570</v>
      </c>
      <c r="W44" s="116">
        <v>261531000000000</v>
      </c>
      <c r="X44" s="114">
        <v>46090</v>
      </c>
      <c r="Y44" s="116">
        <v>2029578</v>
      </c>
      <c r="Z44" s="116" t="s">
        <v>2617</v>
      </c>
      <c r="AA44" s="116">
        <v>0</v>
      </c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22"/>
      <c r="AN44" s="116" t="s">
        <v>2346</v>
      </c>
      <c r="AO44" s="116" t="s">
        <v>2346</v>
      </c>
      <c r="AP44" s="116" t="s">
        <v>2571</v>
      </c>
    </row>
    <row r="45" spans="1:42">
      <c r="A45" s="113" t="s">
        <v>2620</v>
      </c>
      <c r="B45" s="114">
        <v>46090</v>
      </c>
      <c r="C45" s="115">
        <v>0.611342592592593</v>
      </c>
      <c r="D45" s="114">
        <v>46090</v>
      </c>
      <c r="E45" s="115">
        <v>0.612835648148148</v>
      </c>
      <c r="F45" s="116" t="s">
        <v>2621</v>
      </c>
      <c r="G45" s="114">
        <v>46050</v>
      </c>
      <c r="H45" s="116">
        <v>2566832787</v>
      </c>
      <c r="I45" s="116" t="s">
        <v>2622</v>
      </c>
      <c r="J45" s="116" t="s">
        <v>2222</v>
      </c>
      <c r="K45" s="116" t="s">
        <v>2357</v>
      </c>
      <c r="L45" s="116" t="s">
        <v>2358</v>
      </c>
      <c r="M45" s="116" t="s">
        <v>2331</v>
      </c>
      <c r="N45" s="116" t="s">
        <v>2623</v>
      </c>
      <c r="O45" s="119"/>
      <c r="P45" s="116">
        <v>4888874</v>
      </c>
      <c r="Q45" s="116" t="s">
        <v>2405</v>
      </c>
      <c r="R45" s="116" t="s">
        <v>2530</v>
      </c>
      <c r="S45" s="116" t="s">
        <v>2624</v>
      </c>
      <c r="T45" s="116">
        <v>746899.94</v>
      </c>
      <c r="U45" s="116">
        <v>700000</v>
      </c>
      <c r="V45" s="116" t="s">
        <v>2364</v>
      </c>
      <c r="W45" s="116">
        <v>261534000000000</v>
      </c>
      <c r="X45" s="114">
        <v>46090</v>
      </c>
      <c r="Y45" s="116">
        <v>2026526</v>
      </c>
      <c r="Z45" s="116" t="s">
        <v>2622</v>
      </c>
      <c r="AA45" s="116">
        <v>0.04</v>
      </c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22"/>
      <c r="AN45" s="116" t="s">
        <v>2625</v>
      </c>
      <c r="AO45" s="116" t="s">
        <v>2408</v>
      </c>
      <c r="AP45" s="116" t="s">
        <v>2367</v>
      </c>
    </row>
    <row r="46" spans="1:42">
      <c r="A46" s="113" t="s">
        <v>497</v>
      </c>
      <c r="B46" s="114">
        <v>46090</v>
      </c>
      <c r="C46" s="115">
        <v>0.62900462962963</v>
      </c>
      <c r="D46" s="114">
        <v>46090</v>
      </c>
      <c r="E46" s="115">
        <v>0.630138888888889</v>
      </c>
      <c r="F46" s="116" t="s">
        <v>493</v>
      </c>
      <c r="G46" s="114">
        <v>46073</v>
      </c>
      <c r="H46" s="116">
        <v>2567243043</v>
      </c>
      <c r="I46" s="116" t="s">
        <v>498</v>
      </c>
      <c r="J46" s="116" t="s">
        <v>2141</v>
      </c>
      <c r="K46" s="116" t="s">
        <v>2329</v>
      </c>
      <c r="L46" s="116" t="s">
        <v>2330</v>
      </c>
      <c r="M46" s="116" t="s">
        <v>2331</v>
      </c>
      <c r="N46" s="116" t="s">
        <v>2626</v>
      </c>
      <c r="O46" s="119"/>
      <c r="P46" s="116" t="s">
        <v>496</v>
      </c>
      <c r="Q46" s="116" t="s">
        <v>2343</v>
      </c>
      <c r="R46" s="116" t="s">
        <v>2344</v>
      </c>
      <c r="S46" s="116" t="s">
        <v>2627</v>
      </c>
      <c r="T46" s="116">
        <v>567900.18</v>
      </c>
      <c r="U46" s="119"/>
      <c r="V46" s="116" t="s">
        <v>2337</v>
      </c>
      <c r="W46" s="116">
        <v>261501000000000</v>
      </c>
      <c r="X46" s="114">
        <v>46090</v>
      </c>
      <c r="Y46" s="116">
        <v>2036602</v>
      </c>
      <c r="Z46" s="116" t="s">
        <v>498</v>
      </c>
      <c r="AA46" s="116">
        <v>-0.04</v>
      </c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22"/>
      <c r="AN46" s="116" t="s">
        <v>2628</v>
      </c>
      <c r="AO46" s="116" t="s">
        <v>2428</v>
      </c>
      <c r="AP46" s="116" t="s">
        <v>2429</v>
      </c>
    </row>
    <row r="47" spans="1:42">
      <c r="A47" s="113" t="s">
        <v>2629</v>
      </c>
      <c r="B47" s="114">
        <v>46090</v>
      </c>
      <c r="C47" s="115">
        <v>0.635011574074074</v>
      </c>
      <c r="D47" s="114">
        <v>46090</v>
      </c>
      <c r="E47" s="115">
        <v>0.63712962962963</v>
      </c>
      <c r="F47" s="116" t="s">
        <v>2630</v>
      </c>
      <c r="G47" s="114">
        <v>46088</v>
      </c>
      <c r="H47" s="116">
        <v>2567476986</v>
      </c>
      <c r="I47" s="116" t="s">
        <v>2631</v>
      </c>
      <c r="J47" s="116" t="s">
        <v>2222</v>
      </c>
      <c r="K47" s="116" t="s">
        <v>2357</v>
      </c>
      <c r="L47" s="116" t="s">
        <v>2358</v>
      </c>
      <c r="M47" s="116" t="s">
        <v>2331</v>
      </c>
      <c r="N47" s="116" t="s">
        <v>2632</v>
      </c>
      <c r="O47" s="119"/>
      <c r="P47" s="116" t="s">
        <v>2633</v>
      </c>
      <c r="Q47" s="116" t="s">
        <v>2599</v>
      </c>
      <c r="R47" s="116" t="s">
        <v>2530</v>
      </c>
      <c r="S47" s="116" t="s">
        <v>2634</v>
      </c>
      <c r="T47" s="116">
        <v>1106757.84</v>
      </c>
      <c r="U47" s="116">
        <v>1050000</v>
      </c>
      <c r="V47" s="116" t="s">
        <v>2364</v>
      </c>
      <c r="W47" s="116">
        <v>261534000000000</v>
      </c>
      <c r="X47" s="114">
        <v>46090</v>
      </c>
      <c r="Y47" s="116">
        <v>2032795</v>
      </c>
      <c r="Z47" s="116" t="s">
        <v>2631</v>
      </c>
      <c r="AA47" s="116">
        <v>0</v>
      </c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22"/>
      <c r="AN47" s="116" t="s">
        <v>2635</v>
      </c>
      <c r="AO47" s="116" t="s">
        <v>2636</v>
      </c>
      <c r="AP47" s="116" t="s">
        <v>2367</v>
      </c>
    </row>
    <row r="48" spans="1:42">
      <c r="A48" s="113" t="s">
        <v>512</v>
      </c>
      <c r="B48" s="114">
        <v>46090</v>
      </c>
      <c r="C48" s="115">
        <v>0.656134259259259</v>
      </c>
      <c r="D48" s="114">
        <v>46090</v>
      </c>
      <c r="E48" s="115">
        <v>0.65806712962963</v>
      </c>
      <c r="F48" s="116" t="s">
        <v>508</v>
      </c>
      <c r="G48" s="114">
        <v>46080</v>
      </c>
      <c r="H48" s="116">
        <v>2567354817</v>
      </c>
      <c r="I48" s="116" t="s">
        <v>2637</v>
      </c>
      <c r="J48" s="116" t="s">
        <v>2141</v>
      </c>
      <c r="K48" s="116" t="s">
        <v>2329</v>
      </c>
      <c r="L48" s="116" t="s">
        <v>2330</v>
      </c>
      <c r="M48" s="116" t="s">
        <v>2331</v>
      </c>
      <c r="N48" s="116" t="s">
        <v>2638</v>
      </c>
      <c r="O48" s="119"/>
      <c r="P48" s="116" t="s">
        <v>511</v>
      </c>
      <c r="Q48" s="116" t="s">
        <v>2343</v>
      </c>
      <c r="R48" s="116" t="s">
        <v>2344</v>
      </c>
      <c r="S48" s="116" t="s">
        <v>2336</v>
      </c>
      <c r="T48" s="116">
        <v>570400.18</v>
      </c>
      <c r="U48" s="116">
        <v>636127</v>
      </c>
      <c r="V48" s="116" t="s">
        <v>2337</v>
      </c>
      <c r="W48" s="116">
        <v>261501000000000</v>
      </c>
      <c r="X48" s="114">
        <v>46090</v>
      </c>
      <c r="Y48" s="116">
        <v>2039114</v>
      </c>
      <c r="Z48" s="116" t="s">
        <v>2637</v>
      </c>
      <c r="AA48" s="116">
        <v>-0.02</v>
      </c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22"/>
      <c r="AN48" s="116" t="s">
        <v>2639</v>
      </c>
      <c r="AO48" s="116" t="s">
        <v>69</v>
      </c>
      <c r="AP48" s="116" t="s">
        <v>2397</v>
      </c>
    </row>
    <row r="49" spans="1:42">
      <c r="A49" s="113" t="s">
        <v>2640</v>
      </c>
      <c r="B49" s="114">
        <v>46090</v>
      </c>
      <c r="C49" s="115">
        <v>0.672546296296296</v>
      </c>
      <c r="D49" s="114">
        <v>46090</v>
      </c>
      <c r="E49" s="115">
        <v>0.675428240740741</v>
      </c>
      <c r="F49" s="116" t="s">
        <v>2641</v>
      </c>
      <c r="G49" s="114">
        <v>46070</v>
      </c>
      <c r="H49" s="116">
        <v>2567188510</v>
      </c>
      <c r="I49" s="116" t="s">
        <v>2642</v>
      </c>
      <c r="J49" s="116" t="s">
        <v>2222</v>
      </c>
      <c r="K49" s="116" t="s">
        <v>2357</v>
      </c>
      <c r="L49" s="116" t="s">
        <v>2358</v>
      </c>
      <c r="M49" s="116" t="s">
        <v>2331</v>
      </c>
      <c r="N49" s="116" t="s">
        <v>2643</v>
      </c>
      <c r="O49" s="119"/>
      <c r="P49" s="116">
        <v>4916487</v>
      </c>
      <c r="Q49" s="116" t="s">
        <v>2644</v>
      </c>
      <c r="R49" s="116" t="s">
        <v>2645</v>
      </c>
      <c r="S49" s="116" t="s">
        <v>2646</v>
      </c>
      <c r="T49" s="116">
        <v>576499.65</v>
      </c>
      <c r="U49" s="116">
        <v>630000</v>
      </c>
      <c r="V49" s="116" t="s">
        <v>2364</v>
      </c>
      <c r="W49" s="116">
        <v>261534000000000</v>
      </c>
      <c r="X49" s="114">
        <v>46090</v>
      </c>
      <c r="Y49" s="116">
        <v>2035518</v>
      </c>
      <c r="Z49" s="116" t="s">
        <v>2642</v>
      </c>
      <c r="AA49" s="116">
        <v>0.02</v>
      </c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22"/>
      <c r="AN49" s="116" t="s">
        <v>2647</v>
      </c>
      <c r="AO49" s="116" t="s">
        <v>2636</v>
      </c>
      <c r="AP49" s="116" t="s">
        <v>2367</v>
      </c>
    </row>
    <row r="50" spans="1:42">
      <c r="A50" s="113" t="s">
        <v>518</v>
      </c>
      <c r="B50" s="114">
        <v>46090</v>
      </c>
      <c r="C50" s="115">
        <v>0.711215277777778</v>
      </c>
      <c r="D50" s="114">
        <v>46090</v>
      </c>
      <c r="E50" s="115">
        <v>0.713449074074074</v>
      </c>
      <c r="F50" s="116" t="s">
        <v>514</v>
      </c>
      <c r="G50" s="114">
        <v>46055</v>
      </c>
      <c r="H50" s="116">
        <v>2566948355</v>
      </c>
      <c r="I50" s="116" t="s">
        <v>2648</v>
      </c>
      <c r="J50" s="116" t="s">
        <v>2141</v>
      </c>
      <c r="K50" s="116" t="s">
        <v>2329</v>
      </c>
      <c r="L50" s="116" t="s">
        <v>2330</v>
      </c>
      <c r="M50" s="116" t="s">
        <v>2331</v>
      </c>
      <c r="N50" s="116" t="s">
        <v>2649</v>
      </c>
      <c r="O50" s="119"/>
      <c r="P50" s="116" t="s">
        <v>517</v>
      </c>
      <c r="Q50" s="116" t="s">
        <v>2548</v>
      </c>
      <c r="R50" s="116" t="s">
        <v>2344</v>
      </c>
      <c r="S50" s="116" t="s">
        <v>2513</v>
      </c>
      <c r="T50" s="116">
        <v>477800.46</v>
      </c>
      <c r="U50" s="116">
        <v>471466</v>
      </c>
      <c r="V50" s="116" t="s">
        <v>2337</v>
      </c>
      <c r="W50" s="116">
        <v>261501000000000</v>
      </c>
      <c r="X50" s="114">
        <v>46090</v>
      </c>
      <c r="Y50" s="116">
        <v>2029467</v>
      </c>
      <c r="Z50" s="116" t="s">
        <v>2648</v>
      </c>
      <c r="AA50" s="116">
        <v>-0.05</v>
      </c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22"/>
      <c r="AN50" s="116" t="s">
        <v>2560</v>
      </c>
      <c r="AO50" s="116" t="s">
        <v>2561</v>
      </c>
      <c r="AP50" s="116" t="s">
        <v>2562</v>
      </c>
    </row>
    <row r="51" spans="1:42">
      <c r="A51" s="113" t="s">
        <v>530</v>
      </c>
      <c r="B51" s="114">
        <v>46090</v>
      </c>
      <c r="C51" s="115">
        <v>0.730347222222222</v>
      </c>
      <c r="D51" s="114">
        <v>46090</v>
      </c>
      <c r="E51" s="115">
        <v>0.730856481481482</v>
      </c>
      <c r="F51" s="116" t="s">
        <v>527</v>
      </c>
      <c r="G51" s="114">
        <v>46086</v>
      </c>
      <c r="H51" s="116">
        <v>2567445237</v>
      </c>
      <c r="I51" s="116" t="s">
        <v>2650</v>
      </c>
      <c r="J51" s="116" t="s">
        <v>2157</v>
      </c>
      <c r="K51" s="116" t="s">
        <v>2534</v>
      </c>
      <c r="L51" s="116" t="s">
        <v>2535</v>
      </c>
      <c r="M51" s="116" t="s">
        <v>2331</v>
      </c>
      <c r="N51" s="116" t="s">
        <v>2651</v>
      </c>
      <c r="O51" s="119"/>
      <c r="P51" s="116">
        <v>4578574</v>
      </c>
      <c r="Q51" s="116" t="s">
        <v>2652</v>
      </c>
      <c r="R51" s="116" t="s">
        <v>2376</v>
      </c>
      <c r="S51" s="116" t="s">
        <v>2539</v>
      </c>
      <c r="T51" s="116">
        <v>608700.01</v>
      </c>
      <c r="U51" s="116">
        <v>575000</v>
      </c>
      <c r="V51" s="116" t="s">
        <v>2540</v>
      </c>
      <c r="W51" s="116">
        <v>261504000000000</v>
      </c>
      <c r="X51" s="114">
        <v>46090</v>
      </c>
      <c r="Y51" s="116">
        <v>2041302</v>
      </c>
      <c r="Z51" s="116" t="s">
        <v>2650</v>
      </c>
      <c r="AA51" s="116">
        <v>-0.01</v>
      </c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22"/>
      <c r="AN51" s="116" t="s">
        <v>2541</v>
      </c>
      <c r="AO51" s="116" t="s">
        <v>2542</v>
      </c>
      <c r="AP51" s="116" t="s">
        <v>2543</v>
      </c>
    </row>
    <row r="52" spans="1:42">
      <c r="A52" s="113" t="s">
        <v>2653</v>
      </c>
      <c r="B52" s="114">
        <v>46090</v>
      </c>
      <c r="C52" s="115">
        <v>0.735023148148148</v>
      </c>
      <c r="D52" s="114">
        <v>46090</v>
      </c>
      <c r="E52" s="115">
        <v>0.737766203703704</v>
      </c>
      <c r="F52" s="116" t="s">
        <v>2654</v>
      </c>
      <c r="G52" s="114">
        <v>46053</v>
      </c>
      <c r="H52" s="116">
        <v>2566927992</v>
      </c>
      <c r="I52" s="116" t="s">
        <v>2655</v>
      </c>
      <c r="J52" s="116" t="s">
        <v>2213</v>
      </c>
      <c r="K52" s="116" t="s">
        <v>2454</v>
      </c>
      <c r="L52" s="116" t="s">
        <v>2455</v>
      </c>
      <c r="M52" s="116" t="s">
        <v>2331</v>
      </c>
      <c r="N52" s="116" t="s">
        <v>2656</v>
      </c>
      <c r="O52" s="119"/>
      <c r="P52" s="116" t="s">
        <v>2657</v>
      </c>
      <c r="Q52" s="116" t="s">
        <v>2334</v>
      </c>
      <c r="R52" s="116" t="s">
        <v>2335</v>
      </c>
      <c r="S52" s="116" t="s">
        <v>2658</v>
      </c>
      <c r="T52" s="116">
        <v>1074032.58</v>
      </c>
      <c r="U52" s="116">
        <v>1100000</v>
      </c>
      <c r="V52" s="116" t="s">
        <v>2460</v>
      </c>
      <c r="W52" s="116">
        <v>261532000000000</v>
      </c>
      <c r="X52" s="114">
        <v>46090</v>
      </c>
      <c r="Y52" s="116">
        <v>2029691</v>
      </c>
      <c r="Z52" s="116" t="s">
        <v>2655</v>
      </c>
      <c r="AA52" s="116">
        <v>-0.05</v>
      </c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22"/>
      <c r="AN52" s="116" t="s">
        <v>2346</v>
      </c>
      <c r="AO52" s="116" t="s">
        <v>2346</v>
      </c>
      <c r="AP52" s="116" t="s">
        <v>2659</v>
      </c>
    </row>
    <row r="53" spans="1:42">
      <c r="A53" s="113" t="s">
        <v>2653</v>
      </c>
      <c r="B53" s="114">
        <v>46090</v>
      </c>
      <c r="C53" s="115">
        <v>0.735023148148148</v>
      </c>
      <c r="D53" s="114">
        <v>46090</v>
      </c>
      <c r="E53" s="115">
        <v>0.737766203703704</v>
      </c>
      <c r="F53" s="116" t="s">
        <v>2654</v>
      </c>
      <c r="G53" s="114">
        <v>46053</v>
      </c>
      <c r="H53" s="116">
        <v>2566927992</v>
      </c>
      <c r="I53" s="116" t="s">
        <v>2655</v>
      </c>
      <c r="J53" s="116" t="s">
        <v>2213</v>
      </c>
      <c r="K53" s="116" t="s">
        <v>2454</v>
      </c>
      <c r="L53" s="116" t="s">
        <v>2455</v>
      </c>
      <c r="M53" s="116" t="s">
        <v>2331</v>
      </c>
      <c r="N53" s="116" t="s">
        <v>2656</v>
      </c>
      <c r="O53" s="119"/>
      <c r="P53" s="116" t="s">
        <v>2657</v>
      </c>
      <c r="Q53" s="116" t="s">
        <v>2334</v>
      </c>
      <c r="R53" s="116" t="s">
        <v>2335</v>
      </c>
      <c r="S53" s="116" t="s">
        <v>2658</v>
      </c>
      <c r="T53" s="116">
        <v>1074032.58</v>
      </c>
      <c r="U53" s="116">
        <v>1100000</v>
      </c>
      <c r="V53" s="116" t="s">
        <v>2460</v>
      </c>
      <c r="W53" s="116">
        <v>261532000000000</v>
      </c>
      <c r="X53" s="114">
        <v>46090</v>
      </c>
      <c r="Y53" s="116">
        <v>2029691</v>
      </c>
      <c r="Z53" s="116" t="s">
        <v>2655</v>
      </c>
      <c r="AA53" s="116">
        <v>-0.05</v>
      </c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22"/>
      <c r="AN53" s="116" t="s">
        <v>2346</v>
      </c>
      <c r="AO53" s="116" t="s">
        <v>2346</v>
      </c>
      <c r="AP53" s="116" t="s">
        <v>2659</v>
      </c>
    </row>
    <row r="54" spans="1:42">
      <c r="A54" s="113" t="s">
        <v>2660</v>
      </c>
      <c r="B54" s="114">
        <v>46090</v>
      </c>
      <c r="C54" s="115">
        <v>0.740011574074074</v>
      </c>
      <c r="D54" s="114">
        <v>46090</v>
      </c>
      <c r="E54" s="115">
        <v>0.74130787037037</v>
      </c>
      <c r="F54" s="116" t="s">
        <v>1394</v>
      </c>
      <c r="G54" s="114">
        <v>46085</v>
      </c>
      <c r="H54" s="116">
        <v>2567418227</v>
      </c>
      <c r="I54" s="116" t="s">
        <v>2661</v>
      </c>
      <c r="J54" s="116" t="s">
        <v>2207</v>
      </c>
      <c r="K54" s="116" t="s">
        <v>2662</v>
      </c>
      <c r="L54" s="116" t="s">
        <v>2663</v>
      </c>
      <c r="M54" s="116" t="s">
        <v>2331</v>
      </c>
      <c r="N54" s="116" t="s">
        <v>2664</v>
      </c>
      <c r="O54" s="119"/>
      <c r="P54" s="116">
        <v>4530851</v>
      </c>
      <c r="Q54" s="116" t="s">
        <v>2425</v>
      </c>
      <c r="R54" s="116" t="s">
        <v>2376</v>
      </c>
      <c r="S54" s="116" t="s">
        <v>2665</v>
      </c>
      <c r="T54" s="116">
        <v>1367742.22</v>
      </c>
      <c r="U54" s="116">
        <v>1421566</v>
      </c>
      <c r="V54" s="116" t="s">
        <v>2666</v>
      </c>
      <c r="W54" s="116">
        <v>261537000000000</v>
      </c>
      <c r="X54" s="114">
        <v>46090</v>
      </c>
      <c r="Y54" s="116">
        <v>2040960</v>
      </c>
      <c r="Z54" s="116" t="s">
        <v>2661</v>
      </c>
      <c r="AA54" s="116">
        <v>0</v>
      </c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22"/>
      <c r="AN54" s="116" t="s">
        <v>2667</v>
      </c>
      <c r="AO54" s="116" t="s">
        <v>2668</v>
      </c>
      <c r="AP54" s="116" t="s">
        <v>2669</v>
      </c>
    </row>
    <row r="55" spans="1:42">
      <c r="A55" s="113" t="s">
        <v>482</v>
      </c>
      <c r="B55" s="114">
        <v>46090</v>
      </c>
      <c r="C55" s="115">
        <v>0.744791666666667</v>
      </c>
      <c r="D55" s="114">
        <v>46090</v>
      </c>
      <c r="E55" s="115">
        <v>0.748229166666667</v>
      </c>
      <c r="F55" s="116" t="s">
        <v>479</v>
      </c>
      <c r="G55" s="114">
        <v>46080</v>
      </c>
      <c r="H55" s="116">
        <v>2567348291</v>
      </c>
      <c r="I55" s="116" t="s">
        <v>483</v>
      </c>
      <c r="J55" s="116" t="s">
        <v>2141</v>
      </c>
      <c r="K55" s="116" t="s">
        <v>2329</v>
      </c>
      <c r="L55" s="116" t="s">
        <v>2330</v>
      </c>
      <c r="M55" s="116" t="s">
        <v>2331</v>
      </c>
      <c r="N55" s="116" t="s">
        <v>2670</v>
      </c>
      <c r="O55" s="119"/>
      <c r="P55" s="116">
        <v>1428231</v>
      </c>
      <c r="Q55" s="116" t="s">
        <v>2343</v>
      </c>
      <c r="R55" s="116" t="s">
        <v>2344</v>
      </c>
      <c r="S55" s="116" t="s">
        <v>2513</v>
      </c>
      <c r="T55" s="116">
        <v>566900.16</v>
      </c>
      <c r="U55" s="116">
        <v>638284</v>
      </c>
      <c r="V55" s="116" t="s">
        <v>2337</v>
      </c>
      <c r="W55" s="116">
        <v>261501000000000</v>
      </c>
      <c r="X55" s="114">
        <v>46090</v>
      </c>
      <c r="Y55" s="116">
        <v>2039058</v>
      </c>
      <c r="Z55" s="116" t="s">
        <v>483</v>
      </c>
      <c r="AA55" s="116">
        <v>-0.06</v>
      </c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22"/>
      <c r="AN55" s="116" t="s">
        <v>2671</v>
      </c>
      <c r="AO55" s="116" t="s">
        <v>2561</v>
      </c>
      <c r="AP55" s="116" t="s">
        <v>2562</v>
      </c>
    </row>
    <row r="56" spans="1:42">
      <c r="A56" s="113" t="s">
        <v>487</v>
      </c>
      <c r="B56" s="114">
        <v>46090</v>
      </c>
      <c r="C56" s="115">
        <v>0.746805555555556</v>
      </c>
      <c r="D56" s="114">
        <v>46090</v>
      </c>
      <c r="E56" s="115">
        <v>0.748229166666667</v>
      </c>
      <c r="F56" s="116" t="s">
        <v>484</v>
      </c>
      <c r="G56" s="114">
        <v>46090</v>
      </c>
      <c r="H56" s="116">
        <v>2567497252</v>
      </c>
      <c r="I56" s="116" t="s">
        <v>488</v>
      </c>
      <c r="J56" s="116" t="s">
        <v>2141</v>
      </c>
      <c r="K56" s="116" t="s">
        <v>2329</v>
      </c>
      <c r="L56" s="116" t="s">
        <v>2330</v>
      </c>
      <c r="M56" s="116" t="s">
        <v>2331</v>
      </c>
      <c r="N56" s="116" t="s">
        <v>2672</v>
      </c>
      <c r="O56" s="119"/>
      <c r="P56" s="116">
        <v>9261102</v>
      </c>
      <c r="Q56" s="116" t="s">
        <v>2673</v>
      </c>
      <c r="R56" s="116" t="s">
        <v>2458</v>
      </c>
      <c r="S56" s="116" t="s">
        <v>2353</v>
      </c>
      <c r="T56" s="116">
        <v>658899.6</v>
      </c>
      <c r="U56" s="116">
        <v>600000</v>
      </c>
      <c r="V56" s="116" t="s">
        <v>2337</v>
      </c>
      <c r="W56" s="116">
        <v>261501000000000</v>
      </c>
      <c r="X56" s="114">
        <v>46090</v>
      </c>
      <c r="Y56" s="116">
        <v>2035233</v>
      </c>
      <c r="Z56" s="116" t="s">
        <v>488</v>
      </c>
      <c r="AA56" s="116">
        <v>0</v>
      </c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22"/>
      <c r="AN56" s="116" t="s">
        <v>2674</v>
      </c>
      <c r="AO56" s="116" t="s">
        <v>2421</v>
      </c>
      <c r="AP56" s="116" t="s">
        <v>2413</v>
      </c>
    </row>
    <row r="57" spans="1:42">
      <c r="A57" s="113" t="s">
        <v>2675</v>
      </c>
      <c r="B57" s="114">
        <v>46090</v>
      </c>
      <c r="C57" s="115">
        <v>0.751087962962963</v>
      </c>
      <c r="D57" s="114">
        <v>46090</v>
      </c>
      <c r="E57" s="115">
        <v>0.755196759259259</v>
      </c>
      <c r="F57" s="116" t="s">
        <v>2676</v>
      </c>
      <c r="G57" s="114">
        <v>46087</v>
      </c>
      <c r="H57" s="116">
        <v>2567454358</v>
      </c>
      <c r="I57" s="116" t="s">
        <v>2677</v>
      </c>
      <c r="J57" s="116" t="s">
        <v>2199</v>
      </c>
      <c r="K57" s="116" t="s">
        <v>2371</v>
      </c>
      <c r="L57" s="116" t="s">
        <v>2372</v>
      </c>
      <c r="M57" s="116" t="s">
        <v>2331</v>
      </c>
      <c r="N57" s="116" t="s">
        <v>2678</v>
      </c>
      <c r="O57" s="119"/>
      <c r="P57" s="116">
        <v>4916141</v>
      </c>
      <c r="Q57" s="116" t="s">
        <v>2679</v>
      </c>
      <c r="R57" s="116" t="s">
        <v>2435</v>
      </c>
      <c r="S57" s="116" t="s">
        <v>2377</v>
      </c>
      <c r="T57" s="116">
        <v>472999.7</v>
      </c>
      <c r="U57" s="116">
        <v>450000</v>
      </c>
      <c r="V57" s="116" t="s">
        <v>2378</v>
      </c>
      <c r="W57" s="116">
        <v>261502000000000</v>
      </c>
      <c r="X57" s="114">
        <v>46090</v>
      </c>
      <c r="Y57" s="116">
        <v>2009738</v>
      </c>
      <c r="Z57" s="116" t="s">
        <v>2677</v>
      </c>
      <c r="AA57" s="116">
        <v>0</v>
      </c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22"/>
      <c r="AN57" s="116" t="s">
        <v>2379</v>
      </c>
      <c r="AO57" s="116" t="s">
        <v>2380</v>
      </c>
      <c r="AP57" s="116" t="s">
        <v>2347</v>
      </c>
    </row>
    <row r="58" spans="1:42">
      <c r="A58" s="113" t="s">
        <v>2680</v>
      </c>
      <c r="B58" s="114">
        <v>46091</v>
      </c>
      <c r="C58" s="115">
        <v>0.522962962962963</v>
      </c>
      <c r="D58" s="114">
        <v>46091</v>
      </c>
      <c r="E58" s="115">
        <v>0.525972222222222</v>
      </c>
      <c r="F58" s="116" t="s">
        <v>2681</v>
      </c>
      <c r="G58" s="114">
        <v>46000</v>
      </c>
      <c r="H58" s="116">
        <v>2565894471</v>
      </c>
      <c r="I58" s="116" t="s">
        <v>2682</v>
      </c>
      <c r="J58" s="116" t="s">
        <v>2203</v>
      </c>
      <c r="K58" s="116" t="s">
        <v>2526</v>
      </c>
      <c r="L58" s="116" t="s">
        <v>2527</v>
      </c>
      <c r="M58" s="116" t="s">
        <v>2331</v>
      </c>
      <c r="N58" s="116" t="s">
        <v>2683</v>
      </c>
      <c r="O58" s="119"/>
      <c r="P58" s="116">
        <v>7922094</v>
      </c>
      <c r="Q58" s="116" t="s">
        <v>2684</v>
      </c>
      <c r="R58" s="116" t="s">
        <v>2376</v>
      </c>
      <c r="S58" s="116" t="s">
        <v>2531</v>
      </c>
      <c r="T58" s="116">
        <v>1264823.41</v>
      </c>
      <c r="U58" s="116">
        <v>500000</v>
      </c>
      <c r="V58" s="116" t="s">
        <v>2532</v>
      </c>
      <c r="W58" s="116">
        <v>261536000000000</v>
      </c>
      <c r="X58" s="114">
        <v>46091</v>
      </c>
      <c r="Y58" s="116">
        <v>2002807</v>
      </c>
      <c r="Z58" s="116" t="s">
        <v>2682</v>
      </c>
      <c r="AA58" s="116">
        <v>-0.02</v>
      </c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22"/>
      <c r="AN58" s="116" t="s">
        <v>2685</v>
      </c>
      <c r="AO58" s="116" t="s">
        <v>2384</v>
      </c>
      <c r="AP58" s="116" t="s">
        <v>2686</v>
      </c>
    </row>
    <row r="59" spans="1:42">
      <c r="A59" s="113" t="s">
        <v>2687</v>
      </c>
      <c r="B59" s="114">
        <v>46091</v>
      </c>
      <c r="C59" s="115">
        <v>0.565300925925926</v>
      </c>
      <c r="D59" s="114">
        <v>46091</v>
      </c>
      <c r="E59" s="115">
        <v>0.567546296296296</v>
      </c>
      <c r="F59" s="116" t="s">
        <v>2688</v>
      </c>
      <c r="G59" s="114">
        <v>46014</v>
      </c>
      <c r="H59" s="116">
        <v>2566163875</v>
      </c>
      <c r="I59" s="116" t="s">
        <v>2689</v>
      </c>
      <c r="J59" s="116" t="s">
        <v>2226</v>
      </c>
      <c r="K59" s="116" t="s">
        <v>2566</v>
      </c>
      <c r="L59" s="116" t="s">
        <v>2567</v>
      </c>
      <c r="M59" s="116" t="s">
        <v>2331</v>
      </c>
      <c r="N59" s="116" t="s">
        <v>2690</v>
      </c>
      <c r="O59" s="119"/>
      <c r="P59" s="116">
        <v>7055294</v>
      </c>
      <c r="Q59" s="116" t="s">
        <v>2691</v>
      </c>
      <c r="R59" s="116" t="s">
        <v>2376</v>
      </c>
      <c r="S59" s="116" t="s">
        <v>2579</v>
      </c>
      <c r="T59" s="116">
        <v>1048278.67</v>
      </c>
      <c r="U59" s="119"/>
      <c r="V59" s="116" t="s">
        <v>2570</v>
      </c>
      <c r="W59" s="116">
        <v>261531000000000</v>
      </c>
      <c r="X59" s="114">
        <v>46091</v>
      </c>
      <c r="Y59" s="116">
        <v>2010204</v>
      </c>
      <c r="Z59" s="116" t="s">
        <v>2689</v>
      </c>
      <c r="AA59" s="116">
        <v>-0.02</v>
      </c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22"/>
      <c r="AN59" s="116" t="s">
        <v>2346</v>
      </c>
      <c r="AO59" s="116" t="s">
        <v>2346</v>
      </c>
      <c r="AP59" s="116" t="s">
        <v>2659</v>
      </c>
    </row>
    <row r="60" spans="1:42">
      <c r="A60" s="113" t="s">
        <v>557</v>
      </c>
      <c r="B60" s="114">
        <v>46091</v>
      </c>
      <c r="C60" s="115">
        <v>0.612662037037037</v>
      </c>
      <c r="D60" s="114">
        <v>46091</v>
      </c>
      <c r="E60" s="115">
        <v>0.612824074074074</v>
      </c>
      <c r="F60" s="116" t="s">
        <v>554</v>
      </c>
      <c r="G60" s="114">
        <v>46041</v>
      </c>
      <c r="H60" s="116">
        <v>2566648961</v>
      </c>
      <c r="I60" s="116" t="s">
        <v>558</v>
      </c>
      <c r="J60" s="116" t="s">
        <v>2162</v>
      </c>
      <c r="K60" s="116" t="s">
        <v>2692</v>
      </c>
      <c r="L60" s="116" t="s">
        <v>2693</v>
      </c>
      <c r="M60" s="116" t="s">
        <v>2331</v>
      </c>
      <c r="N60" s="116" t="s">
        <v>2694</v>
      </c>
      <c r="O60" s="119"/>
      <c r="P60" s="116">
        <v>4575397</v>
      </c>
      <c r="Q60" s="116" t="s">
        <v>2652</v>
      </c>
      <c r="R60" s="116" t="s">
        <v>2645</v>
      </c>
      <c r="S60" s="116" t="s">
        <v>2695</v>
      </c>
      <c r="T60" s="116">
        <v>593700.03</v>
      </c>
      <c r="U60" s="116">
        <v>500000</v>
      </c>
      <c r="V60" s="116" t="s">
        <v>2696</v>
      </c>
      <c r="W60" s="116">
        <v>261507000000000</v>
      </c>
      <c r="X60" s="114">
        <v>46091</v>
      </c>
      <c r="Y60" s="116">
        <v>2021602</v>
      </c>
      <c r="Z60" s="116" t="s">
        <v>558</v>
      </c>
      <c r="AA60" s="116">
        <v>0.01</v>
      </c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22"/>
      <c r="AN60" s="116" t="s">
        <v>2697</v>
      </c>
      <c r="AO60" s="116" t="s">
        <v>2698</v>
      </c>
      <c r="AP60" s="116" t="s">
        <v>2593</v>
      </c>
    </row>
    <row r="61" spans="1:42">
      <c r="A61" s="113" t="s">
        <v>2699</v>
      </c>
      <c r="B61" s="114">
        <v>46091</v>
      </c>
      <c r="C61" s="115">
        <v>0.631111111111111</v>
      </c>
      <c r="D61" s="114">
        <v>46091</v>
      </c>
      <c r="E61" s="115">
        <v>0.637314814814815</v>
      </c>
      <c r="F61" s="116" t="s">
        <v>1313</v>
      </c>
      <c r="G61" s="114">
        <v>46039</v>
      </c>
      <c r="H61" s="116">
        <v>2566640247</v>
      </c>
      <c r="I61" s="116" t="s">
        <v>2700</v>
      </c>
      <c r="J61" s="116" t="s">
        <v>2222</v>
      </c>
      <c r="K61" s="116" t="s">
        <v>2357</v>
      </c>
      <c r="L61" s="116" t="s">
        <v>2358</v>
      </c>
      <c r="M61" s="116" t="s">
        <v>2331</v>
      </c>
      <c r="N61" s="116" t="s">
        <v>2701</v>
      </c>
      <c r="O61" s="119"/>
      <c r="P61" s="116">
        <v>4883809</v>
      </c>
      <c r="Q61" s="116" t="s">
        <v>2702</v>
      </c>
      <c r="R61" s="116" t="s">
        <v>2376</v>
      </c>
      <c r="S61" s="116" t="s">
        <v>2703</v>
      </c>
      <c r="T61" s="116">
        <v>704899.91</v>
      </c>
      <c r="U61" s="116">
        <v>700000</v>
      </c>
      <c r="V61" s="116" t="s">
        <v>2364</v>
      </c>
      <c r="W61" s="116">
        <v>261534000000000</v>
      </c>
      <c r="X61" s="114">
        <v>46091</v>
      </c>
      <c r="Y61" s="116">
        <v>2021055</v>
      </c>
      <c r="Z61" s="116" t="s">
        <v>2700</v>
      </c>
      <c r="AA61" s="116">
        <v>-0.01</v>
      </c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22"/>
      <c r="AN61" s="116" t="s">
        <v>2704</v>
      </c>
      <c r="AO61" s="116" t="s">
        <v>2608</v>
      </c>
      <c r="AP61" s="116" t="s">
        <v>2367</v>
      </c>
    </row>
    <row r="62" spans="1:42">
      <c r="A62" s="113" t="s">
        <v>2705</v>
      </c>
      <c r="B62" s="114">
        <v>46091</v>
      </c>
      <c r="C62" s="115">
        <v>0.649479166666667</v>
      </c>
      <c r="D62" s="114">
        <v>46091</v>
      </c>
      <c r="E62" s="115">
        <v>0.651365740740741</v>
      </c>
      <c r="F62" s="116" t="s">
        <v>2706</v>
      </c>
      <c r="G62" s="114">
        <v>46055</v>
      </c>
      <c r="H62" s="116">
        <v>2566937188</v>
      </c>
      <c r="I62" s="116" t="s">
        <v>2707</v>
      </c>
      <c r="J62" s="116" t="s">
        <v>2222</v>
      </c>
      <c r="K62" s="116" t="s">
        <v>2357</v>
      </c>
      <c r="L62" s="116" t="s">
        <v>2358</v>
      </c>
      <c r="M62" s="116" t="s">
        <v>2331</v>
      </c>
      <c r="N62" s="116" t="s">
        <v>2708</v>
      </c>
      <c r="O62" s="119"/>
      <c r="P62" s="116">
        <v>4916554</v>
      </c>
      <c r="Q62" s="116" t="s">
        <v>2709</v>
      </c>
      <c r="R62" s="116" t="s">
        <v>2376</v>
      </c>
      <c r="S62" s="116" t="s">
        <v>2710</v>
      </c>
      <c r="T62" s="116">
        <v>566500.33</v>
      </c>
      <c r="U62" s="116">
        <v>650000</v>
      </c>
      <c r="V62" s="116" t="s">
        <v>2364</v>
      </c>
      <c r="W62" s="116">
        <v>261534000000000</v>
      </c>
      <c r="X62" s="114">
        <v>46091</v>
      </c>
      <c r="Y62" s="116">
        <v>2029475</v>
      </c>
      <c r="Z62" s="116" t="s">
        <v>2707</v>
      </c>
      <c r="AA62" s="116">
        <v>0.01</v>
      </c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22"/>
      <c r="AN62" s="116" t="s">
        <v>2711</v>
      </c>
      <c r="AO62" s="116" t="s">
        <v>2485</v>
      </c>
      <c r="AP62" s="116" t="s">
        <v>2367</v>
      </c>
    </row>
    <row r="63" spans="1:42">
      <c r="A63" s="113" t="s">
        <v>2712</v>
      </c>
      <c r="B63" s="114">
        <v>46091</v>
      </c>
      <c r="C63" s="115">
        <v>0.657025462962963</v>
      </c>
      <c r="D63" s="114">
        <v>46091</v>
      </c>
      <c r="E63" s="115">
        <v>0.657916666666667</v>
      </c>
      <c r="F63" s="116" t="s">
        <v>2713</v>
      </c>
      <c r="G63" s="114">
        <v>46084</v>
      </c>
      <c r="H63" s="116">
        <v>2567416828</v>
      </c>
      <c r="I63" s="116" t="s">
        <v>2714</v>
      </c>
      <c r="J63" s="116" t="s">
        <v>2213</v>
      </c>
      <c r="K63" s="116" t="s">
        <v>2454</v>
      </c>
      <c r="L63" s="116" t="s">
        <v>2455</v>
      </c>
      <c r="M63" s="116" t="s">
        <v>2331</v>
      </c>
      <c r="N63" s="116" t="s">
        <v>2715</v>
      </c>
      <c r="O63" s="119"/>
      <c r="P63" s="116" t="s">
        <v>2716</v>
      </c>
      <c r="Q63" s="116" t="s">
        <v>2717</v>
      </c>
      <c r="R63" s="116" t="s">
        <v>2718</v>
      </c>
      <c r="S63" s="116" t="s">
        <v>2658</v>
      </c>
      <c r="T63" s="116">
        <v>1928998.39</v>
      </c>
      <c r="U63" s="116">
        <v>2100000</v>
      </c>
      <c r="V63" s="116" t="s">
        <v>2460</v>
      </c>
      <c r="W63" s="116">
        <v>261532000000000</v>
      </c>
      <c r="X63" s="114">
        <v>46091</v>
      </c>
      <c r="Y63" s="116">
        <v>2016925</v>
      </c>
      <c r="Z63" s="116" t="s">
        <v>2714</v>
      </c>
      <c r="AA63" s="116">
        <v>0.03</v>
      </c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22"/>
      <c r="AN63" s="116" t="s">
        <v>2346</v>
      </c>
      <c r="AO63" s="116" t="s">
        <v>2346</v>
      </c>
      <c r="AP63" s="116" t="s">
        <v>2659</v>
      </c>
    </row>
    <row r="64" spans="1:42">
      <c r="A64" s="113" t="s">
        <v>2712</v>
      </c>
      <c r="B64" s="114">
        <v>46091</v>
      </c>
      <c r="C64" s="115">
        <v>0.657025462962963</v>
      </c>
      <c r="D64" s="114">
        <v>46091</v>
      </c>
      <c r="E64" s="115">
        <v>0.657916666666667</v>
      </c>
      <c r="F64" s="116" t="s">
        <v>2713</v>
      </c>
      <c r="G64" s="114">
        <v>46084</v>
      </c>
      <c r="H64" s="116">
        <v>2567416828</v>
      </c>
      <c r="I64" s="116" t="s">
        <v>2714</v>
      </c>
      <c r="J64" s="116" t="s">
        <v>2213</v>
      </c>
      <c r="K64" s="116" t="s">
        <v>2454</v>
      </c>
      <c r="L64" s="116" t="s">
        <v>2455</v>
      </c>
      <c r="M64" s="116" t="s">
        <v>2331</v>
      </c>
      <c r="N64" s="116" t="s">
        <v>2715</v>
      </c>
      <c r="O64" s="119"/>
      <c r="P64" s="116" t="s">
        <v>2716</v>
      </c>
      <c r="Q64" s="116" t="s">
        <v>2717</v>
      </c>
      <c r="R64" s="116" t="s">
        <v>2718</v>
      </c>
      <c r="S64" s="116" t="s">
        <v>2658</v>
      </c>
      <c r="T64" s="116">
        <v>1928998.39</v>
      </c>
      <c r="U64" s="116">
        <v>2100000</v>
      </c>
      <c r="V64" s="116" t="s">
        <v>2460</v>
      </c>
      <c r="W64" s="116">
        <v>261532000000000</v>
      </c>
      <c r="X64" s="114">
        <v>46091</v>
      </c>
      <c r="Y64" s="116">
        <v>2016925</v>
      </c>
      <c r="Z64" s="116" t="s">
        <v>2714</v>
      </c>
      <c r="AA64" s="116">
        <v>0.03</v>
      </c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22"/>
      <c r="AN64" s="116" t="s">
        <v>2346</v>
      </c>
      <c r="AO64" s="116" t="s">
        <v>2346</v>
      </c>
      <c r="AP64" s="116" t="s">
        <v>2659</v>
      </c>
    </row>
    <row r="65" spans="1:42">
      <c r="A65" s="113" t="s">
        <v>2719</v>
      </c>
      <c r="B65" s="114">
        <v>46091</v>
      </c>
      <c r="C65" s="115">
        <v>0.663449074074074</v>
      </c>
      <c r="D65" s="114">
        <v>46091</v>
      </c>
      <c r="E65" s="115">
        <v>0.664965277777778</v>
      </c>
      <c r="F65" s="116" t="s">
        <v>2720</v>
      </c>
      <c r="G65" s="114">
        <v>46069</v>
      </c>
      <c r="H65" s="116">
        <v>2567163175</v>
      </c>
      <c r="I65" s="116" t="s">
        <v>2721</v>
      </c>
      <c r="J65" s="116" t="s">
        <v>2222</v>
      </c>
      <c r="K65" s="116" t="s">
        <v>2357</v>
      </c>
      <c r="L65" s="116" t="s">
        <v>2358</v>
      </c>
      <c r="M65" s="116" t="s">
        <v>2331</v>
      </c>
      <c r="N65" s="116" t="s">
        <v>2722</v>
      </c>
      <c r="O65" s="119"/>
      <c r="P65" s="116">
        <v>7799595</v>
      </c>
      <c r="Q65" s="116" t="s">
        <v>2477</v>
      </c>
      <c r="R65" s="116" t="s">
        <v>2723</v>
      </c>
      <c r="S65" s="116" t="s">
        <v>2724</v>
      </c>
      <c r="T65" s="116">
        <v>794499.53</v>
      </c>
      <c r="U65" s="119"/>
      <c r="V65" s="116" t="s">
        <v>2364</v>
      </c>
      <c r="W65" s="116">
        <v>261534000000000</v>
      </c>
      <c r="X65" s="114">
        <v>46091</v>
      </c>
      <c r="Y65" s="116">
        <v>2035024</v>
      </c>
      <c r="Z65" s="116" t="s">
        <v>2721</v>
      </c>
      <c r="AA65" s="116">
        <v>0.01</v>
      </c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22"/>
      <c r="AN65" s="116" t="s">
        <v>2725</v>
      </c>
      <c r="AO65" s="116" t="s">
        <v>2726</v>
      </c>
      <c r="AP65" s="116" t="s">
        <v>2367</v>
      </c>
    </row>
    <row r="66" spans="1:42">
      <c r="A66" s="113" t="s">
        <v>2727</v>
      </c>
      <c r="B66" s="114">
        <v>46091</v>
      </c>
      <c r="C66" s="115">
        <v>0.676435185185185</v>
      </c>
      <c r="D66" s="114">
        <v>46091</v>
      </c>
      <c r="E66" s="115">
        <v>0.67875</v>
      </c>
      <c r="F66" s="116" t="s">
        <v>2728</v>
      </c>
      <c r="G66" s="114">
        <v>46091</v>
      </c>
      <c r="H66" s="116">
        <v>2567519572</v>
      </c>
      <c r="I66" s="116" t="s">
        <v>2729</v>
      </c>
      <c r="J66" s="116" t="s">
        <v>2213</v>
      </c>
      <c r="K66" s="116" t="s">
        <v>2454</v>
      </c>
      <c r="L66" s="116" t="s">
        <v>2455</v>
      </c>
      <c r="M66" s="116" t="s">
        <v>2331</v>
      </c>
      <c r="N66" s="116" t="s">
        <v>2730</v>
      </c>
      <c r="O66" s="119"/>
      <c r="P66" s="116">
        <v>1427395</v>
      </c>
      <c r="Q66" s="116" t="s">
        <v>2731</v>
      </c>
      <c r="R66" s="116" t="s">
        <v>2467</v>
      </c>
      <c r="S66" s="116" t="s">
        <v>2508</v>
      </c>
      <c r="T66" s="116">
        <v>576900.59</v>
      </c>
      <c r="U66" s="116">
        <v>600005</v>
      </c>
      <c r="V66" s="116" t="s">
        <v>2460</v>
      </c>
      <c r="W66" s="116">
        <v>261532000000000</v>
      </c>
      <c r="X66" s="114">
        <v>46091</v>
      </c>
      <c r="Y66" s="116">
        <v>2042934</v>
      </c>
      <c r="Z66" s="116" t="s">
        <v>2729</v>
      </c>
      <c r="AA66" s="116">
        <v>0.01</v>
      </c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22"/>
      <c r="AN66" s="116" t="s">
        <v>2346</v>
      </c>
      <c r="AO66" s="116" t="s">
        <v>2346</v>
      </c>
      <c r="AP66" s="116" t="s">
        <v>2462</v>
      </c>
    </row>
    <row r="67" spans="1:42">
      <c r="A67" s="113" t="s">
        <v>2732</v>
      </c>
      <c r="B67" s="114">
        <v>46091</v>
      </c>
      <c r="C67" s="115">
        <v>0.686053240740741</v>
      </c>
      <c r="D67" s="114">
        <v>46091</v>
      </c>
      <c r="E67" s="115">
        <v>0.689479166666667</v>
      </c>
      <c r="F67" s="116" t="s">
        <v>2733</v>
      </c>
      <c r="G67" s="114">
        <v>46041</v>
      </c>
      <c r="H67" s="116">
        <v>2566677339</v>
      </c>
      <c r="I67" s="116" t="s">
        <v>2734</v>
      </c>
      <c r="J67" s="116" t="s">
        <v>2222</v>
      </c>
      <c r="K67" s="116" t="s">
        <v>2357</v>
      </c>
      <c r="L67" s="116" t="s">
        <v>2358</v>
      </c>
      <c r="M67" s="116" t="s">
        <v>2331</v>
      </c>
      <c r="N67" s="116" t="s">
        <v>2735</v>
      </c>
      <c r="O67" s="119"/>
      <c r="P67" s="116">
        <v>4916584</v>
      </c>
      <c r="Q67" s="116" t="s">
        <v>2490</v>
      </c>
      <c r="R67" s="116" t="s">
        <v>2335</v>
      </c>
      <c r="S67" s="116" t="s">
        <v>2363</v>
      </c>
      <c r="T67" s="116">
        <v>618510.04</v>
      </c>
      <c r="U67" s="119"/>
      <c r="V67" s="116" t="s">
        <v>2364</v>
      </c>
      <c r="W67" s="116">
        <v>261534000000000</v>
      </c>
      <c r="X67" s="114">
        <v>46091</v>
      </c>
      <c r="Y67" s="116">
        <v>2022487</v>
      </c>
      <c r="Z67" s="116" t="s">
        <v>2734</v>
      </c>
      <c r="AA67" s="116">
        <v>0.02</v>
      </c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22"/>
      <c r="AN67" s="116" t="s">
        <v>2736</v>
      </c>
      <c r="AO67" s="116" t="s">
        <v>2471</v>
      </c>
      <c r="AP67" s="116" t="s">
        <v>2472</v>
      </c>
    </row>
    <row r="68" spans="1:42">
      <c r="A68" s="113" t="s">
        <v>2737</v>
      </c>
      <c r="B68" s="114">
        <v>46091</v>
      </c>
      <c r="C68" s="115">
        <v>0.687268518518519</v>
      </c>
      <c r="D68" s="114">
        <v>46091</v>
      </c>
      <c r="E68" s="115">
        <v>0.689479166666667</v>
      </c>
      <c r="F68" s="116" t="s">
        <v>451</v>
      </c>
      <c r="G68" s="114">
        <v>46072</v>
      </c>
      <c r="H68" s="116">
        <v>2567225669</v>
      </c>
      <c r="I68" s="116" t="s">
        <v>2738</v>
      </c>
      <c r="J68" s="116" t="s">
        <v>2199</v>
      </c>
      <c r="K68" s="116" t="s">
        <v>2371</v>
      </c>
      <c r="L68" s="116" t="s">
        <v>2372</v>
      </c>
      <c r="M68" s="116" t="s">
        <v>2331</v>
      </c>
      <c r="N68" s="116" t="s">
        <v>2739</v>
      </c>
      <c r="O68" s="119"/>
      <c r="P68" s="116">
        <v>4916387</v>
      </c>
      <c r="Q68" s="116" t="s">
        <v>2644</v>
      </c>
      <c r="R68" s="116" t="s">
        <v>2645</v>
      </c>
      <c r="S68" s="116" t="s">
        <v>2740</v>
      </c>
      <c r="T68" s="116">
        <v>605499.62</v>
      </c>
      <c r="U68" s="119"/>
      <c r="V68" s="116" t="s">
        <v>2378</v>
      </c>
      <c r="W68" s="116">
        <v>261502000000000</v>
      </c>
      <c r="X68" s="114">
        <v>46091</v>
      </c>
      <c r="Y68" s="116">
        <v>2036154</v>
      </c>
      <c r="Z68" s="116" t="s">
        <v>2738</v>
      </c>
      <c r="AA68" s="116">
        <v>0</v>
      </c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22"/>
      <c r="AN68" s="116" t="s">
        <v>2400</v>
      </c>
      <c r="AO68" s="116" t="s">
        <v>69</v>
      </c>
      <c r="AP68" s="116" t="s">
        <v>2397</v>
      </c>
    </row>
    <row r="69" spans="1:42">
      <c r="A69" s="113" t="s">
        <v>537</v>
      </c>
      <c r="B69" s="114">
        <v>46091</v>
      </c>
      <c r="C69" s="115">
        <v>0.691655092592593</v>
      </c>
      <c r="D69" s="114">
        <v>46091</v>
      </c>
      <c r="E69" s="115">
        <v>0.703125</v>
      </c>
      <c r="F69" s="116" t="s">
        <v>534</v>
      </c>
      <c r="G69" s="114">
        <v>46088</v>
      </c>
      <c r="H69" s="116">
        <v>2567479764</v>
      </c>
      <c r="I69" s="116" t="s">
        <v>2741</v>
      </c>
      <c r="J69" s="116" t="s">
        <v>2175</v>
      </c>
      <c r="K69" s="116" t="s">
        <v>2742</v>
      </c>
      <c r="L69" s="116" t="s">
        <v>2743</v>
      </c>
      <c r="M69" s="116" t="s">
        <v>2331</v>
      </c>
      <c r="N69" s="116" t="s">
        <v>2744</v>
      </c>
      <c r="O69" s="119"/>
      <c r="P69" s="116">
        <v>4563880</v>
      </c>
      <c r="Q69" s="116" t="s">
        <v>2745</v>
      </c>
      <c r="R69" s="116" t="s">
        <v>2344</v>
      </c>
      <c r="S69" s="116" t="s">
        <v>2746</v>
      </c>
      <c r="T69" s="116">
        <v>638499.7</v>
      </c>
      <c r="U69" s="116">
        <v>590000</v>
      </c>
      <c r="V69" s="116" t="s">
        <v>2747</v>
      </c>
      <c r="W69" s="116">
        <v>261533000000000</v>
      </c>
      <c r="X69" s="114">
        <v>46091</v>
      </c>
      <c r="Y69" s="116">
        <v>1738562</v>
      </c>
      <c r="Z69" s="116" t="s">
        <v>2741</v>
      </c>
      <c r="AA69" s="116">
        <v>0</v>
      </c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22"/>
      <c r="AN69" s="116" t="s">
        <v>2748</v>
      </c>
      <c r="AO69" s="116" t="s">
        <v>2346</v>
      </c>
      <c r="AP69" s="116" t="s">
        <v>2522</v>
      </c>
    </row>
    <row r="70" spans="1:42">
      <c r="A70" s="113" t="s">
        <v>2749</v>
      </c>
      <c r="B70" s="114">
        <v>46091</v>
      </c>
      <c r="C70" s="115">
        <v>0.69994212962963</v>
      </c>
      <c r="D70" s="114">
        <v>46091</v>
      </c>
      <c r="E70" s="115">
        <v>0.703125</v>
      </c>
      <c r="F70" s="116" t="s">
        <v>2750</v>
      </c>
      <c r="G70" s="114">
        <v>46090</v>
      </c>
      <c r="H70" s="116">
        <v>2567481812</v>
      </c>
      <c r="I70" s="116" t="s">
        <v>2751</v>
      </c>
      <c r="J70" s="116" t="s">
        <v>2222</v>
      </c>
      <c r="K70" s="116" t="s">
        <v>2357</v>
      </c>
      <c r="L70" s="116" t="s">
        <v>2358</v>
      </c>
      <c r="M70" s="116" t="s">
        <v>2331</v>
      </c>
      <c r="N70" s="116" t="s">
        <v>2752</v>
      </c>
      <c r="O70" s="119"/>
      <c r="P70" s="116">
        <v>4914931</v>
      </c>
      <c r="Q70" s="116" t="s">
        <v>2679</v>
      </c>
      <c r="R70" s="116" t="s">
        <v>2645</v>
      </c>
      <c r="S70" s="116" t="s">
        <v>2753</v>
      </c>
      <c r="T70" s="116">
        <v>471609.74</v>
      </c>
      <c r="U70" s="116">
        <v>350000</v>
      </c>
      <c r="V70" s="116" t="s">
        <v>2364</v>
      </c>
      <c r="W70" s="116">
        <v>261534000000000</v>
      </c>
      <c r="X70" s="114">
        <v>46091</v>
      </c>
      <c r="Y70" s="116">
        <v>2037578</v>
      </c>
      <c r="Z70" s="116" t="s">
        <v>2751</v>
      </c>
      <c r="AA70" s="116">
        <v>0.01</v>
      </c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22"/>
      <c r="AN70" s="116" t="s">
        <v>2754</v>
      </c>
      <c r="AO70" s="116" t="s">
        <v>2471</v>
      </c>
      <c r="AP70" s="116" t="s">
        <v>2472</v>
      </c>
    </row>
    <row r="71" spans="1:42">
      <c r="A71" s="113" t="s">
        <v>2755</v>
      </c>
      <c r="B71" s="114">
        <v>46091</v>
      </c>
      <c r="C71" s="115">
        <v>0.705185185185185</v>
      </c>
      <c r="D71" s="114">
        <v>46091</v>
      </c>
      <c r="E71" s="115">
        <v>0.706736111111111</v>
      </c>
      <c r="F71" s="116" t="s">
        <v>2756</v>
      </c>
      <c r="G71" s="114">
        <v>46085</v>
      </c>
      <c r="H71" s="116">
        <v>2567429547</v>
      </c>
      <c r="I71" s="116" t="s">
        <v>2757</v>
      </c>
      <c r="J71" s="116" t="s">
        <v>2203</v>
      </c>
      <c r="K71" s="116" t="s">
        <v>2526</v>
      </c>
      <c r="L71" s="116" t="s">
        <v>2527</v>
      </c>
      <c r="M71" s="116" t="s">
        <v>2331</v>
      </c>
      <c r="N71" s="116" t="s">
        <v>2758</v>
      </c>
      <c r="O71" s="119"/>
      <c r="P71" s="116">
        <v>4877281</v>
      </c>
      <c r="Q71" s="116" t="s">
        <v>2759</v>
      </c>
      <c r="R71" s="116" t="s">
        <v>2335</v>
      </c>
      <c r="S71" s="116" t="s">
        <v>2531</v>
      </c>
      <c r="T71" s="116">
        <v>578399.86</v>
      </c>
      <c r="U71" s="116">
        <v>500000</v>
      </c>
      <c r="V71" s="116" t="s">
        <v>2532</v>
      </c>
      <c r="W71" s="116">
        <v>261536000000000</v>
      </c>
      <c r="X71" s="114">
        <v>46091</v>
      </c>
      <c r="Y71" s="116">
        <v>2040518</v>
      </c>
      <c r="Z71" s="116" t="s">
        <v>2757</v>
      </c>
      <c r="AA71" s="116">
        <v>0.02</v>
      </c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22"/>
      <c r="AN71" s="116" t="s">
        <v>2674</v>
      </c>
      <c r="AO71" s="116" t="s">
        <v>2421</v>
      </c>
      <c r="AP71" s="116" t="s">
        <v>2413</v>
      </c>
    </row>
    <row r="72" spans="1:42">
      <c r="A72" s="113" t="s">
        <v>563</v>
      </c>
      <c r="B72" s="114">
        <v>46091</v>
      </c>
      <c r="C72" s="115">
        <v>0.706782407407407</v>
      </c>
      <c r="D72" s="114">
        <v>46091</v>
      </c>
      <c r="E72" s="115">
        <v>0.710034722222222</v>
      </c>
      <c r="F72" s="116" t="s">
        <v>560</v>
      </c>
      <c r="G72" s="114">
        <v>46052</v>
      </c>
      <c r="H72" s="116">
        <v>2566876238</v>
      </c>
      <c r="I72" s="116" t="s">
        <v>564</v>
      </c>
      <c r="J72" s="116" t="s">
        <v>2168</v>
      </c>
      <c r="K72" s="116" t="s">
        <v>2760</v>
      </c>
      <c r="L72" s="116" t="s">
        <v>2761</v>
      </c>
      <c r="M72" s="116" t="s">
        <v>2331</v>
      </c>
      <c r="N72" s="116" t="s">
        <v>2762</v>
      </c>
      <c r="O72" s="119"/>
      <c r="P72" s="116">
        <v>9259943</v>
      </c>
      <c r="Q72" s="116" t="s">
        <v>2763</v>
      </c>
      <c r="R72" s="116" t="s">
        <v>2764</v>
      </c>
      <c r="S72" s="116" t="s">
        <v>2765</v>
      </c>
      <c r="T72" s="116">
        <v>612000.27</v>
      </c>
      <c r="U72" s="119"/>
      <c r="V72" s="116" t="s">
        <v>2766</v>
      </c>
      <c r="W72" s="116">
        <v>261518000000000</v>
      </c>
      <c r="X72" s="114">
        <v>46091</v>
      </c>
      <c r="Y72" s="116">
        <v>2027197</v>
      </c>
      <c r="Z72" s="116" t="s">
        <v>564</v>
      </c>
      <c r="AA72" s="116">
        <v>0.01</v>
      </c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22"/>
      <c r="AN72" s="116" t="s">
        <v>2767</v>
      </c>
      <c r="AO72" s="116" t="s">
        <v>2768</v>
      </c>
      <c r="AP72" s="116" t="s">
        <v>2769</v>
      </c>
    </row>
    <row r="73" spans="1:42">
      <c r="A73" s="113" t="s">
        <v>545</v>
      </c>
      <c r="B73" s="114">
        <v>46091</v>
      </c>
      <c r="C73" s="115">
        <v>0.708877314814815</v>
      </c>
      <c r="D73" s="114">
        <v>46091</v>
      </c>
      <c r="E73" s="115">
        <v>0.710034722222222</v>
      </c>
      <c r="F73" s="116" t="s">
        <v>541</v>
      </c>
      <c r="G73" s="114">
        <v>46091</v>
      </c>
      <c r="H73" s="116">
        <v>2567527116</v>
      </c>
      <c r="I73" s="116" t="s">
        <v>546</v>
      </c>
      <c r="J73" s="116" t="s">
        <v>2141</v>
      </c>
      <c r="K73" s="116" t="s">
        <v>2329</v>
      </c>
      <c r="L73" s="116" t="s">
        <v>2330</v>
      </c>
      <c r="M73" s="116" t="s">
        <v>2331</v>
      </c>
      <c r="N73" s="116" t="s">
        <v>2770</v>
      </c>
      <c r="O73" s="119"/>
      <c r="P73" s="116" t="s">
        <v>544</v>
      </c>
      <c r="Q73" s="116" t="s">
        <v>2343</v>
      </c>
      <c r="R73" s="116" t="s">
        <v>2344</v>
      </c>
      <c r="S73" s="116" t="s">
        <v>2771</v>
      </c>
      <c r="T73" s="116">
        <v>568900.19</v>
      </c>
      <c r="U73" s="119"/>
      <c r="V73" s="116" t="s">
        <v>2337</v>
      </c>
      <c r="W73" s="116">
        <v>261501000000000</v>
      </c>
      <c r="X73" s="114">
        <v>46091</v>
      </c>
      <c r="Y73" s="116">
        <v>2034368</v>
      </c>
      <c r="Z73" s="116" t="s">
        <v>546</v>
      </c>
      <c r="AA73" s="116">
        <v>-0.02</v>
      </c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22"/>
      <c r="AN73" s="116" t="s">
        <v>2772</v>
      </c>
      <c r="AO73" s="116" t="s">
        <v>2773</v>
      </c>
      <c r="AP73" s="116" t="s">
        <v>2593</v>
      </c>
    </row>
    <row r="74" spans="1:42">
      <c r="A74" s="113" t="s">
        <v>2774</v>
      </c>
      <c r="B74" s="114">
        <v>46091</v>
      </c>
      <c r="C74" s="115">
        <v>0.716053240740741</v>
      </c>
      <c r="D74" s="114">
        <v>46091</v>
      </c>
      <c r="E74" s="115">
        <v>0.716967592592593</v>
      </c>
      <c r="F74" s="116" t="s">
        <v>2775</v>
      </c>
      <c r="G74" s="114">
        <v>46052</v>
      </c>
      <c r="H74" s="116">
        <v>2566871627</v>
      </c>
      <c r="I74" s="116" t="s">
        <v>2776</v>
      </c>
      <c r="J74" s="116" t="s">
        <v>2222</v>
      </c>
      <c r="K74" s="116" t="s">
        <v>2357</v>
      </c>
      <c r="L74" s="116" t="s">
        <v>2358</v>
      </c>
      <c r="M74" s="116" t="s">
        <v>2331</v>
      </c>
      <c r="N74" s="116" t="s">
        <v>2777</v>
      </c>
      <c r="O74" s="119"/>
      <c r="P74" s="116">
        <v>4888984</v>
      </c>
      <c r="Q74" s="116" t="s">
        <v>2405</v>
      </c>
      <c r="R74" s="116" t="s">
        <v>2435</v>
      </c>
      <c r="S74" s="116" t="s">
        <v>2778</v>
      </c>
      <c r="T74" s="116">
        <v>728399.7</v>
      </c>
      <c r="U74" s="116">
        <v>700000</v>
      </c>
      <c r="V74" s="116" t="s">
        <v>2364</v>
      </c>
      <c r="W74" s="116">
        <v>261534000000000</v>
      </c>
      <c r="X74" s="114">
        <v>46091</v>
      </c>
      <c r="Y74" s="116">
        <v>2027417</v>
      </c>
      <c r="Z74" s="116" t="s">
        <v>2776</v>
      </c>
      <c r="AA74" s="116">
        <v>0</v>
      </c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22"/>
      <c r="AN74" s="116" t="s">
        <v>2470</v>
      </c>
      <c r="AO74" s="116" t="s">
        <v>2471</v>
      </c>
      <c r="AP74" s="116" t="s">
        <v>2472</v>
      </c>
    </row>
    <row r="75" spans="1:42">
      <c r="A75" s="113" t="s">
        <v>2779</v>
      </c>
      <c r="B75" s="114">
        <v>46091</v>
      </c>
      <c r="C75" s="115">
        <v>0.723668981481482</v>
      </c>
      <c r="D75" s="114">
        <v>46091</v>
      </c>
      <c r="E75" s="115">
        <v>0.72400462962963</v>
      </c>
      <c r="F75" s="116" t="s">
        <v>2780</v>
      </c>
      <c r="G75" s="114">
        <v>46091</v>
      </c>
      <c r="H75" s="116">
        <v>2567523193</v>
      </c>
      <c r="I75" s="116" t="s">
        <v>2781</v>
      </c>
      <c r="J75" s="116" t="s">
        <v>2226</v>
      </c>
      <c r="K75" s="116" t="s">
        <v>2566</v>
      </c>
      <c r="L75" s="116" t="s">
        <v>2567</v>
      </c>
      <c r="M75" s="116" t="s">
        <v>2331</v>
      </c>
      <c r="N75" s="116" t="s">
        <v>2782</v>
      </c>
      <c r="O75" s="119"/>
      <c r="P75" s="116">
        <v>4883476</v>
      </c>
      <c r="Q75" s="116" t="s">
        <v>2783</v>
      </c>
      <c r="R75" s="116" t="s">
        <v>2435</v>
      </c>
      <c r="S75" s="116" t="s">
        <v>2579</v>
      </c>
      <c r="T75" s="116">
        <v>664899.76</v>
      </c>
      <c r="U75" s="116">
        <v>674000</v>
      </c>
      <c r="V75" s="116" t="s">
        <v>2570</v>
      </c>
      <c r="W75" s="116">
        <v>261531000000000</v>
      </c>
      <c r="X75" s="114">
        <v>46091</v>
      </c>
      <c r="Y75" s="116">
        <v>2043253</v>
      </c>
      <c r="Z75" s="116" t="s">
        <v>2781</v>
      </c>
      <c r="AA75" s="116">
        <v>0</v>
      </c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22"/>
      <c r="AN75" s="116" t="s">
        <v>2346</v>
      </c>
      <c r="AO75" s="116" t="s">
        <v>2346</v>
      </c>
      <c r="AP75" s="116" t="s">
        <v>2571</v>
      </c>
    </row>
    <row r="76" spans="1:42">
      <c r="A76" s="113" t="s">
        <v>550</v>
      </c>
      <c r="B76" s="114">
        <v>46091</v>
      </c>
      <c r="C76" s="115">
        <v>0.742731481481481</v>
      </c>
      <c r="D76" s="114">
        <v>46091</v>
      </c>
      <c r="E76" s="115">
        <v>0.745694444444444</v>
      </c>
      <c r="F76" s="116" t="s">
        <v>547</v>
      </c>
      <c r="G76" s="114">
        <v>46081</v>
      </c>
      <c r="H76" s="116">
        <v>2567368472</v>
      </c>
      <c r="I76" s="116" t="s">
        <v>2784</v>
      </c>
      <c r="J76" s="116" t="s">
        <v>2141</v>
      </c>
      <c r="K76" s="116" t="s">
        <v>2329</v>
      </c>
      <c r="L76" s="116" t="s">
        <v>2330</v>
      </c>
      <c r="M76" s="116" t="s">
        <v>2331</v>
      </c>
      <c r="N76" s="116" t="s">
        <v>2785</v>
      </c>
      <c r="O76" s="119"/>
      <c r="P76" s="116">
        <v>1428539</v>
      </c>
      <c r="Q76" s="116" t="s">
        <v>2343</v>
      </c>
      <c r="R76" s="116" t="s">
        <v>2344</v>
      </c>
      <c r="S76" s="116" t="s">
        <v>2345</v>
      </c>
      <c r="T76" s="116">
        <v>569900.17</v>
      </c>
      <c r="U76" s="116">
        <v>537330</v>
      </c>
      <c r="V76" s="116" t="s">
        <v>2337</v>
      </c>
      <c r="W76" s="116">
        <v>261501000000000</v>
      </c>
      <c r="X76" s="114">
        <v>46091</v>
      </c>
      <c r="Y76" s="116">
        <v>2039258</v>
      </c>
      <c r="Z76" s="116" t="s">
        <v>2784</v>
      </c>
      <c r="AA76" s="116">
        <v>-0.04</v>
      </c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22"/>
      <c r="AN76" s="116" t="s">
        <v>2346</v>
      </c>
      <c r="AO76" s="116" t="s">
        <v>2346</v>
      </c>
      <c r="AP76" s="116" t="s">
        <v>2347</v>
      </c>
    </row>
    <row r="77" spans="1:42">
      <c r="A77" s="109" t="s">
        <v>569</v>
      </c>
      <c r="B77" s="110">
        <v>46092</v>
      </c>
      <c r="C77" s="111">
        <v>0.395868055555556</v>
      </c>
      <c r="D77" s="110">
        <v>46092</v>
      </c>
      <c r="E77" s="111">
        <v>0.39744212962963</v>
      </c>
      <c r="F77" s="112" t="s">
        <v>566</v>
      </c>
      <c r="G77" s="110">
        <v>46091</v>
      </c>
      <c r="H77" s="112">
        <v>2567529834</v>
      </c>
      <c r="I77" s="112" t="s">
        <v>2786</v>
      </c>
      <c r="J77" s="112" t="s">
        <v>2141</v>
      </c>
      <c r="K77" s="112" t="s">
        <v>2329</v>
      </c>
      <c r="L77" s="112" t="s">
        <v>2330</v>
      </c>
      <c r="M77" s="112" t="s">
        <v>2331</v>
      </c>
      <c r="N77" s="112" t="s">
        <v>2787</v>
      </c>
      <c r="O77" s="118"/>
      <c r="P77" s="112" t="s">
        <v>568</v>
      </c>
      <c r="Q77" s="112" t="s">
        <v>2788</v>
      </c>
      <c r="R77" s="112" t="s">
        <v>2789</v>
      </c>
      <c r="S77" s="112" t="s">
        <v>2771</v>
      </c>
      <c r="T77" s="112">
        <v>475900.11</v>
      </c>
      <c r="U77" s="112">
        <v>490000</v>
      </c>
      <c r="V77" s="112" t="s">
        <v>2337</v>
      </c>
      <c r="W77" s="112">
        <v>261501000000000</v>
      </c>
      <c r="X77" s="110">
        <v>46092</v>
      </c>
      <c r="Y77" s="112">
        <v>2017999</v>
      </c>
      <c r="Z77" s="112" t="s">
        <v>2786</v>
      </c>
      <c r="AA77" s="112">
        <v>-0.04</v>
      </c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21"/>
      <c r="AN77" s="112" t="s">
        <v>2697</v>
      </c>
      <c r="AO77" s="112" t="s">
        <v>2698</v>
      </c>
      <c r="AP77" s="112" t="s">
        <v>2593</v>
      </c>
    </row>
    <row r="78" spans="1:42">
      <c r="A78" s="113" t="s">
        <v>576</v>
      </c>
      <c r="B78" s="114">
        <v>46092</v>
      </c>
      <c r="C78" s="115">
        <v>0.458402777777778</v>
      </c>
      <c r="D78" s="114">
        <v>46092</v>
      </c>
      <c r="E78" s="115">
        <v>0.460439814814815</v>
      </c>
      <c r="F78" s="116" t="s">
        <v>573</v>
      </c>
      <c r="G78" s="114">
        <v>46062</v>
      </c>
      <c r="H78" s="116">
        <v>2567045600</v>
      </c>
      <c r="I78" s="116" t="s">
        <v>577</v>
      </c>
      <c r="J78" s="116" t="s">
        <v>2141</v>
      </c>
      <c r="K78" s="116" t="s">
        <v>2329</v>
      </c>
      <c r="L78" s="116" t="s">
        <v>2330</v>
      </c>
      <c r="M78" s="116" t="s">
        <v>2331</v>
      </c>
      <c r="N78" s="116" t="s">
        <v>2790</v>
      </c>
      <c r="O78" s="119"/>
      <c r="P78" s="116" t="s">
        <v>575</v>
      </c>
      <c r="Q78" s="116" t="s">
        <v>2559</v>
      </c>
      <c r="R78" s="116" t="s">
        <v>2335</v>
      </c>
      <c r="S78" s="116" t="s">
        <v>2791</v>
      </c>
      <c r="T78" s="116">
        <v>702799.43</v>
      </c>
      <c r="U78" s="116">
        <v>500000</v>
      </c>
      <c r="V78" s="116" t="s">
        <v>2337</v>
      </c>
      <c r="W78" s="116">
        <v>261501000000000</v>
      </c>
      <c r="X78" s="114">
        <v>46092</v>
      </c>
      <c r="Y78" s="116">
        <v>2032570</v>
      </c>
      <c r="Z78" s="116" t="s">
        <v>577</v>
      </c>
      <c r="AA78" s="116">
        <v>0.01</v>
      </c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22"/>
      <c r="AN78" s="116" t="s">
        <v>2792</v>
      </c>
      <c r="AO78" s="116" t="s">
        <v>69</v>
      </c>
      <c r="AP78" s="116" t="s">
        <v>2397</v>
      </c>
    </row>
    <row r="79" spans="1:42">
      <c r="A79" s="113" t="s">
        <v>2793</v>
      </c>
      <c r="B79" s="114">
        <v>46092</v>
      </c>
      <c r="C79" s="115">
        <v>0.49474537037037</v>
      </c>
      <c r="D79" s="114">
        <v>46092</v>
      </c>
      <c r="E79" s="115">
        <v>0.498483796296296</v>
      </c>
      <c r="F79" s="116" t="s">
        <v>825</v>
      </c>
      <c r="G79" s="114">
        <v>46083</v>
      </c>
      <c r="H79" s="116">
        <v>2567538439</v>
      </c>
      <c r="I79" s="116" t="s">
        <v>2794</v>
      </c>
      <c r="J79" s="116" t="s">
        <v>2189</v>
      </c>
      <c r="K79" s="116" t="s">
        <v>2463</v>
      </c>
      <c r="L79" s="116" t="s">
        <v>2464</v>
      </c>
      <c r="M79" s="116" t="s">
        <v>2331</v>
      </c>
      <c r="N79" s="116" t="s">
        <v>2795</v>
      </c>
      <c r="O79" s="119"/>
      <c r="P79" s="116" t="s">
        <v>2796</v>
      </c>
      <c r="Q79" s="116" t="s">
        <v>2797</v>
      </c>
      <c r="R79" s="116" t="s">
        <v>2335</v>
      </c>
      <c r="S79" s="116" t="s">
        <v>2798</v>
      </c>
      <c r="T79" s="116">
        <v>999900.55</v>
      </c>
      <c r="U79" s="116">
        <v>995000</v>
      </c>
      <c r="V79" s="116" t="s">
        <v>2469</v>
      </c>
      <c r="W79" s="116">
        <v>261517000000000</v>
      </c>
      <c r="X79" s="114">
        <v>46092</v>
      </c>
      <c r="Y79" s="116">
        <v>2040477</v>
      </c>
      <c r="Z79" s="116" t="s">
        <v>2794</v>
      </c>
      <c r="AA79" s="116">
        <v>0.04</v>
      </c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22"/>
      <c r="AN79" s="116" t="s">
        <v>2799</v>
      </c>
      <c r="AO79" s="116" t="s">
        <v>2471</v>
      </c>
      <c r="AP79" s="116" t="s">
        <v>2472</v>
      </c>
    </row>
    <row r="80" spans="1:42">
      <c r="A80" s="113" t="s">
        <v>2800</v>
      </c>
      <c r="B80" s="114">
        <v>46092</v>
      </c>
      <c r="C80" s="115">
        <v>0.514479166666667</v>
      </c>
      <c r="D80" s="114">
        <v>46092</v>
      </c>
      <c r="E80" s="115">
        <v>0.516076388888889</v>
      </c>
      <c r="F80" s="116" t="s">
        <v>2801</v>
      </c>
      <c r="G80" s="114">
        <v>46034</v>
      </c>
      <c r="H80" s="116">
        <v>2566496606</v>
      </c>
      <c r="I80" s="116" t="s">
        <v>2802</v>
      </c>
      <c r="J80" s="116" t="s">
        <v>2203</v>
      </c>
      <c r="K80" s="116" t="s">
        <v>2526</v>
      </c>
      <c r="L80" s="116" t="s">
        <v>2527</v>
      </c>
      <c r="M80" s="116" t="s">
        <v>2331</v>
      </c>
      <c r="N80" s="116" t="s">
        <v>2803</v>
      </c>
      <c r="O80" s="119"/>
      <c r="P80" s="116">
        <v>4916490</v>
      </c>
      <c r="Q80" s="116" t="s">
        <v>2709</v>
      </c>
      <c r="R80" s="116" t="s">
        <v>2376</v>
      </c>
      <c r="S80" s="116" t="s">
        <v>2804</v>
      </c>
      <c r="T80" s="116">
        <v>564500.29</v>
      </c>
      <c r="U80" s="116">
        <v>500000</v>
      </c>
      <c r="V80" s="116" t="s">
        <v>2532</v>
      </c>
      <c r="W80" s="116">
        <v>261536000000000</v>
      </c>
      <c r="X80" s="114">
        <v>46092</v>
      </c>
      <c r="Y80" s="116">
        <v>2010686</v>
      </c>
      <c r="Z80" s="116" t="s">
        <v>2802</v>
      </c>
      <c r="AA80" s="116">
        <v>-0.02</v>
      </c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22"/>
      <c r="AN80" s="116" t="s">
        <v>2805</v>
      </c>
      <c r="AO80" s="116" t="s">
        <v>2668</v>
      </c>
      <c r="AP80" s="116" t="s">
        <v>2533</v>
      </c>
    </row>
    <row r="81" spans="1:42">
      <c r="A81" s="113" t="s">
        <v>2806</v>
      </c>
      <c r="B81" s="114">
        <v>46092</v>
      </c>
      <c r="C81" s="115">
        <v>0.636111111111111</v>
      </c>
      <c r="D81" s="114">
        <v>46092</v>
      </c>
      <c r="E81" s="115">
        <v>0.637141203703704</v>
      </c>
      <c r="F81" s="116" t="s">
        <v>2807</v>
      </c>
      <c r="G81" s="114">
        <v>46092</v>
      </c>
      <c r="H81" s="116">
        <v>2567541237</v>
      </c>
      <c r="I81" s="116" t="s">
        <v>2808</v>
      </c>
      <c r="J81" s="116" t="s">
        <v>2222</v>
      </c>
      <c r="K81" s="116" t="s">
        <v>2357</v>
      </c>
      <c r="L81" s="116" t="s">
        <v>2358</v>
      </c>
      <c r="M81" s="116" t="s">
        <v>2331</v>
      </c>
      <c r="N81" s="116" t="s">
        <v>2809</v>
      </c>
      <c r="O81" s="119"/>
      <c r="P81" s="116">
        <v>4889402</v>
      </c>
      <c r="Q81" s="116" t="s">
        <v>2405</v>
      </c>
      <c r="R81" s="116" t="s">
        <v>2435</v>
      </c>
      <c r="S81" s="116" t="s">
        <v>2810</v>
      </c>
      <c r="T81" s="116">
        <v>725459.57</v>
      </c>
      <c r="U81" s="116">
        <v>700000</v>
      </c>
      <c r="V81" s="116" t="s">
        <v>2364</v>
      </c>
      <c r="W81" s="116">
        <v>261534000000000</v>
      </c>
      <c r="X81" s="114">
        <v>46092</v>
      </c>
      <c r="Y81" s="116">
        <v>1509269</v>
      </c>
      <c r="Z81" s="116" t="s">
        <v>2808</v>
      </c>
      <c r="AA81" s="116">
        <v>0</v>
      </c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22"/>
      <c r="AN81" s="116" t="s">
        <v>2736</v>
      </c>
      <c r="AO81" s="116" t="s">
        <v>2471</v>
      </c>
      <c r="AP81" s="116" t="s">
        <v>2472</v>
      </c>
    </row>
    <row r="82" spans="1:42">
      <c r="A82" s="113" t="s">
        <v>2811</v>
      </c>
      <c r="B82" s="114">
        <v>46092</v>
      </c>
      <c r="C82" s="115">
        <v>0.640300925925926</v>
      </c>
      <c r="D82" s="114">
        <v>46092</v>
      </c>
      <c r="E82" s="115">
        <v>0.641319444444444</v>
      </c>
      <c r="F82" s="116" t="s">
        <v>2812</v>
      </c>
      <c r="G82" s="114">
        <v>46043</v>
      </c>
      <c r="H82" s="116">
        <v>2566719583</v>
      </c>
      <c r="I82" s="116" t="s">
        <v>2813</v>
      </c>
      <c r="J82" s="116" t="s">
        <v>2222</v>
      </c>
      <c r="K82" s="116" t="s">
        <v>2357</v>
      </c>
      <c r="L82" s="116" t="s">
        <v>2358</v>
      </c>
      <c r="M82" s="116" t="s">
        <v>2331</v>
      </c>
      <c r="N82" s="116" t="s">
        <v>2814</v>
      </c>
      <c r="O82" s="119"/>
      <c r="P82" s="116">
        <v>4855699</v>
      </c>
      <c r="Q82" s="116" t="s">
        <v>2529</v>
      </c>
      <c r="R82" s="116" t="s">
        <v>2530</v>
      </c>
      <c r="S82" s="116" t="s">
        <v>2710</v>
      </c>
      <c r="T82" s="116">
        <v>786899.73</v>
      </c>
      <c r="U82" s="116">
        <v>800000</v>
      </c>
      <c r="V82" s="116" t="s">
        <v>2364</v>
      </c>
      <c r="W82" s="116">
        <v>261534000000000</v>
      </c>
      <c r="X82" s="114">
        <v>46092</v>
      </c>
      <c r="Y82" s="116">
        <v>2023433</v>
      </c>
      <c r="Z82" s="116" t="s">
        <v>2813</v>
      </c>
      <c r="AA82" s="116">
        <v>0.03</v>
      </c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22"/>
      <c r="AN82" s="116" t="s">
        <v>2815</v>
      </c>
      <c r="AO82" s="116" t="s">
        <v>2485</v>
      </c>
      <c r="AP82" s="116" t="s">
        <v>2367</v>
      </c>
    </row>
    <row r="83" spans="1:42">
      <c r="A83" s="113" t="s">
        <v>2816</v>
      </c>
      <c r="B83" s="114">
        <v>46092</v>
      </c>
      <c r="C83" s="115">
        <v>0.665752314814815</v>
      </c>
      <c r="D83" s="114">
        <v>46092</v>
      </c>
      <c r="E83" s="115">
        <v>0.672743055555556</v>
      </c>
      <c r="F83" s="116" t="s">
        <v>947</v>
      </c>
      <c r="G83" s="114">
        <v>46090</v>
      </c>
      <c r="H83" s="116">
        <v>2567546544</v>
      </c>
      <c r="I83" s="116" t="s">
        <v>952</v>
      </c>
      <c r="J83" s="116" t="s">
        <v>2141</v>
      </c>
      <c r="K83" s="116" t="s">
        <v>2329</v>
      </c>
      <c r="L83" s="116" t="s">
        <v>2330</v>
      </c>
      <c r="M83" s="116" t="s">
        <v>2331</v>
      </c>
      <c r="N83" s="116" t="s">
        <v>2817</v>
      </c>
      <c r="O83" s="119"/>
      <c r="P83" s="116" t="s">
        <v>950</v>
      </c>
      <c r="Q83" s="116" t="s">
        <v>2343</v>
      </c>
      <c r="R83" s="116" t="s">
        <v>2344</v>
      </c>
      <c r="S83" s="116" t="s">
        <v>2519</v>
      </c>
      <c r="T83" s="116">
        <v>572900.17</v>
      </c>
      <c r="U83" s="116">
        <v>480250</v>
      </c>
      <c r="V83" s="116" t="s">
        <v>2337</v>
      </c>
      <c r="W83" s="116">
        <v>261501000000000</v>
      </c>
      <c r="X83" s="114">
        <v>46092</v>
      </c>
      <c r="Y83" s="116">
        <v>2034046</v>
      </c>
      <c r="Z83" s="116" t="s">
        <v>952</v>
      </c>
      <c r="AA83" s="116">
        <v>-0.03</v>
      </c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22"/>
      <c r="AN83" s="116" t="s">
        <v>2818</v>
      </c>
      <c r="AO83" s="116" t="s">
        <v>2819</v>
      </c>
      <c r="AP83" s="116" t="s">
        <v>2820</v>
      </c>
    </row>
    <row r="84" spans="1:42">
      <c r="A84" s="113" t="s">
        <v>2821</v>
      </c>
      <c r="B84" s="114">
        <v>46092</v>
      </c>
      <c r="C84" s="115">
        <v>0.675671296296296</v>
      </c>
      <c r="D84" s="114">
        <v>46092</v>
      </c>
      <c r="E84" s="115">
        <v>0.675706018518519</v>
      </c>
      <c r="F84" s="116" t="s">
        <v>2822</v>
      </c>
      <c r="G84" s="114">
        <v>46092</v>
      </c>
      <c r="H84" s="116">
        <v>2567540447</v>
      </c>
      <c r="I84" s="116" t="s">
        <v>2823</v>
      </c>
      <c r="J84" s="116" t="s">
        <v>2213</v>
      </c>
      <c r="K84" s="116" t="s">
        <v>2454</v>
      </c>
      <c r="L84" s="116" t="s">
        <v>2455</v>
      </c>
      <c r="M84" s="116" t="s">
        <v>2331</v>
      </c>
      <c r="N84" s="116" t="s">
        <v>2824</v>
      </c>
      <c r="O84" s="119"/>
      <c r="P84" s="116">
        <v>4594864</v>
      </c>
      <c r="Q84" s="116" t="s">
        <v>2825</v>
      </c>
      <c r="R84" s="116" t="s">
        <v>2344</v>
      </c>
      <c r="S84" s="116" t="s">
        <v>2826</v>
      </c>
      <c r="T84" s="116">
        <v>494799.88</v>
      </c>
      <c r="U84" s="116">
        <v>520900</v>
      </c>
      <c r="V84" s="116" t="s">
        <v>2460</v>
      </c>
      <c r="W84" s="116">
        <v>261532000000000</v>
      </c>
      <c r="X84" s="114">
        <v>46092</v>
      </c>
      <c r="Y84" s="116">
        <v>2042907</v>
      </c>
      <c r="Z84" s="116" t="s">
        <v>2823</v>
      </c>
      <c r="AA84" s="116">
        <v>-0.04</v>
      </c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22"/>
      <c r="AN84" s="116" t="s">
        <v>2346</v>
      </c>
      <c r="AO84" s="116" t="s">
        <v>2346</v>
      </c>
      <c r="AP84" s="116" t="s">
        <v>2462</v>
      </c>
    </row>
    <row r="85" spans="1:42">
      <c r="A85" s="113" t="s">
        <v>2827</v>
      </c>
      <c r="B85" s="114">
        <v>46092</v>
      </c>
      <c r="C85" s="115">
        <v>0.701863425925926</v>
      </c>
      <c r="D85" s="114">
        <v>46092</v>
      </c>
      <c r="E85" s="115">
        <v>0.703425925925926</v>
      </c>
      <c r="F85" s="116" t="s">
        <v>2828</v>
      </c>
      <c r="G85" s="114">
        <v>46071</v>
      </c>
      <c r="H85" s="116">
        <v>2567204906</v>
      </c>
      <c r="I85" s="116" t="s">
        <v>2829</v>
      </c>
      <c r="J85" s="116" t="s">
        <v>2222</v>
      </c>
      <c r="K85" s="116" t="s">
        <v>2357</v>
      </c>
      <c r="L85" s="116" t="s">
        <v>2358</v>
      </c>
      <c r="M85" s="116" t="s">
        <v>2331</v>
      </c>
      <c r="N85" s="116" t="s">
        <v>2830</v>
      </c>
      <c r="O85" s="119"/>
      <c r="P85" s="116">
        <v>4916417</v>
      </c>
      <c r="Q85" s="116" t="s">
        <v>2709</v>
      </c>
      <c r="R85" s="116" t="s">
        <v>2335</v>
      </c>
      <c r="S85" s="116" t="s">
        <v>2831</v>
      </c>
      <c r="T85" s="116">
        <v>564500.35</v>
      </c>
      <c r="U85" s="119"/>
      <c r="V85" s="116" t="s">
        <v>2364</v>
      </c>
      <c r="W85" s="116">
        <v>261534000000000</v>
      </c>
      <c r="X85" s="114">
        <v>46092</v>
      </c>
      <c r="Y85" s="116">
        <v>2035807</v>
      </c>
      <c r="Z85" s="116" t="s">
        <v>2829</v>
      </c>
      <c r="AA85" s="116">
        <v>0.02</v>
      </c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22"/>
      <c r="AN85" s="116" t="s">
        <v>2832</v>
      </c>
      <c r="AO85" s="116" t="s">
        <v>2833</v>
      </c>
      <c r="AP85" s="116" t="s">
        <v>2367</v>
      </c>
    </row>
    <row r="86" spans="1:42">
      <c r="A86" s="113" t="s">
        <v>2834</v>
      </c>
      <c r="B86" s="114">
        <v>46092</v>
      </c>
      <c r="C86" s="115">
        <v>0.718564814814815</v>
      </c>
      <c r="D86" s="114">
        <v>46092</v>
      </c>
      <c r="E86" s="115">
        <v>0.720636574074074</v>
      </c>
      <c r="F86" s="116" t="s">
        <v>2835</v>
      </c>
      <c r="G86" s="114">
        <v>46043</v>
      </c>
      <c r="H86" s="116">
        <v>2566712046</v>
      </c>
      <c r="I86" s="116" t="s">
        <v>2836</v>
      </c>
      <c r="J86" s="116" t="s">
        <v>2199</v>
      </c>
      <c r="K86" s="116" t="s">
        <v>2371</v>
      </c>
      <c r="L86" s="116" t="s">
        <v>2372</v>
      </c>
      <c r="M86" s="116" t="s">
        <v>2331</v>
      </c>
      <c r="N86" s="116" t="s">
        <v>2837</v>
      </c>
      <c r="O86" s="119"/>
      <c r="P86" s="116">
        <v>7926712</v>
      </c>
      <c r="Q86" s="116" t="s">
        <v>2684</v>
      </c>
      <c r="R86" s="116" t="s">
        <v>2335</v>
      </c>
      <c r="S86" s="116" t="s">
        <v>2449</v>
      </c>
      <c r="T86" s="116">
        <v>1264823.41</v>
      </c>
      <c r="U86" s="116">
        <v>500000</v>
      </c>
      <c r="V86" s="116" t="s">
        <v>2378</v>
      </c>
      <c r="W86" s="116">
        <v>261502000000000</v>
      </c>
      <c r="X86" s="114">
        <v>46092</v>
      </c>
      <c r="Y86" s="116">
        <v>2023045</v>
      </c>
      <c r="Z86" s="116" t="s">
        <v>2836</v>
      </c>
      <c r="AA86" s="116">
        <v>-0.02</v>
      </c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22"/>
      <c r="AN86" s="116" t="s">
        <v>2838</v>
      </c>
      <c r="AO86" s="116" t="s">
        <v>2542</v>
      </c>
      <c r="AP86" s="116" t="s">
        <v>2543</v>
      </c>
    </row>
    <row r="87" spans="1:42">
      <c r="A87" s="113" t="s">
        <v>2839</v>
      </c>
      <c r="B87" s="114">
        <v>46092</v>
      </c>
      <c r="C87" s="115">
        <v>0.727523148148148</v>
      </c>
      <c r="D87" s="114">
        <v>46092</v>
      </c>
      <c r="E87" s="115">
        <v>0.728101851851852</v>
      </c>
      <c r="F87" s="116" t="s">
        <v>2840</v>
      </c>
      <c r="G87" s="114">
        <v>46073</v>
      </c>
      <c r="H87" s="116">
        <v>2567234413</v>
      </c>
      <c r="I87" s="116" t="s">
        <v>2841</v>
      </c>
      <c r="J87" s="116" t="s">
        <v>2199</v>
      </c>
      <c r="K87" s="116" t="s">
        <v>2371</v>
      </c>
      <c r="L87" s="116" t="s">
        <v>2372</v>
      </c>
      <c r="M87" s="116" t="s">
        <v>2331</v>
      </c>
      <c r="N87" s="116" t="s">
        <v>2842</v>
      </c>
      <c r="O87" s="119"/>
      <c r="P87" s="116">
        <v>4886176</v>
      </c>
      <c r="Q87" s="116" t="s">
        <v>2529</v>
      </c>
      <c r="R87" s="116" t="s">
        <v>2585</v>
      </c>
      <c r="S87" s="116" t="s">
        <v>2843</v>
      </c>
      <c r="T87" s="116">
        <v>779899.68</v>
      </c>
      <c r="U87" s="116">
        <v>500000</v>
      </c>
      <c r="V87" s="116" t="s">
        <v>2378</v>
      </c>
      <c r="W87" s="116">
        <v>261502000000000</v>
      </c>
      <c r="X87" s="114">
        <v>46092</v>
      </c>
      <c r="Y87" s="116">
        <v>2036523</v>
      </c>
      <c r="Z87" s="116" t="s">
        <v>2841</v>
      </c>
      <c r="AA87" s="116">
        <v>-0.01</v>
      </c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22"/>
      <c r="AN87" s="116" t="s">
        <v>2844</v>
      </c>
      <c r="AO87" s="116" t="s">
        <v>2845</v>
      </c>
      <c r="AP87" s="116" t="s">
        <v>2340</v>
      </c>
    </row>
    <row r="88" spans="1:42">
      <c r="A88" s="113" t="s">
        <v>2846</v>
      </c>
      <c r="B88" s="114">
        <v>46092</v>
      </c>
      <c r="C88" s="115">
        <v>0.729675925925926</v>
      </c>
      <c r="D88" s="114">
        <v>46092</v>
      </c>
      <c r="E88" s="115">
        <v>0.731446759259259</v>
      </c>
      <c r="F88" s="116" t="s">
        <v>2847</v>
      </c>
      <c r="G88" s="114">
        <v>46053</v>
      </c>
      <c r="H88" s="116">
        <v>2566893390</v>
      </c>
      <c r="I88" s="116" t="s">
        <v>2848</v>
      </c>
      <c r="J88" s="116" t="s">
        <v>2199</v>
      </c>
      <c r="K88" s="116" t="s">
        <v>2371</v>
      </c>
      <c r="L88" s="116" t="s">
        <v>2372</v>
      </c>
      <c r="M88" s="116" t="s">
        <v>2331</v>
      </c>
      <c r="N88" s="116" t="s">
        <v>2849</v>
      </c>
      <c r="O88" s="119"/>
      <c r="P88" s="116">
        <v>7789635</v>
      </c>
      <c r="Q88" s="116" t="s">
        <v>2477</v>
      </c>
      <c r="R88" s="116" t="s">
        <v>2585</v>
      </c>
      <c r="S88" s="116" t="s">
        <v>2850</v>
      </c>
      <c r="T88" s="116">
        <v>789499.5</v>
      </c>
      <c r="U88" s="119"/>
      <c r="V88" s="116" t="s">
        <v>2378</v>
      </c>
      <c r="W88" s="116">
        <v>261502000000000</v>
      </c>
      <c r="X88" s="114">
        <v>46092</v>
      </c>
      <c r="Y88" s="116">
        <v>2027446</v>
      </c>
      <c r="Z88" s="116" t="s">
        <v>2848</v>
      </c>
      <c r="AA88" s="116">
        <v>-0.01</v>
      </c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22"/>
      <c r="AN88" s="116" t="s">
        <v>2851</v>
      </c>
      <c r="AO88" s="116" t="s">
        <v>2346</v>
      </c>
      <c r="AP88" s="116" t="s">
        <v>2340</v>
      </c>
    </row>
    <row r="89" spans="1:42">
      <c r="A89" s="113" t="s">
        <v>2852</v>
      </c>
      <c r="B89" s="114">
        <v>46092</v>
      </c>
      <c r="C89" s="115">
        <v>0.735462962962963</v>
      </c>
      <c r="D89" s="114">
        <v>46092</v>
      </c>
      <c r="E89" s="115">
        <v>0.738043981481482</v>
      </c>
      <c r="F89" s="116" t="s">
        <v>2853</v>
      </c>
      <c r="G89" s="114">
        <v>46081</v>
      </c>
      <c r="H89" s="116">
        <v>2567373388</v>
      </c>
      <c r="I89" s="116" t="s">
        <v>2854</v>
      </c>
      <c r="J89" s="116" t="s">
        <v>2199</v>
      </c>
      <c r="K89" s="116" t="s">
        <v>2371</v>
      </c>
      <c r="L89" s="116" t="s">
        <v>2372</v>
      </c>
      <c r="M89" s="116" t="s">
        <v>2331</v>
      </c>
      <c r="N89" s="116" t="s">
        <v>2855</v>
      </c>
      <c r="O89" s="119"/>
      <c r="P89" s="116">
        <v>4916201</v>
      </c>
      <c r="Q89" s="116" t="s">
        <v>2679</v>
      </c>
      <c r="R89" s="116" t="s">
        <v>2435</v>
      </c>
      <c r="S89" s="116" t="s">
        <v>2856</v>
      </c>
      <c r="T89" s="116">
        <v>444099.63</v>
      </c>
      <c r="U89" s="116">
        <v>500000</v>
      </c>
      <c r="V89" s="116" t="s">
        <v>2378</v>
      </c>
      <c r="W89" s="116">
        <v>261502000000000</v>
      </c>
      <c r="X89" s="114">
        <v>46092</v>
      </c>
      <c r="Y89" s="116">
        <v>2039355</v>
      </c>
      <c r="Z89" s="116" t="s">
        <v>2854</v>
      </c>
      <c r="AA89" s="116">
        <v>0.02</v>
      </c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22"/>
      <c r="AN89" s="116" t="s">
        <v>2857</v>
      </c>
      <c r="AO89" s="116" t="s">
        <v>2380</v>
      </c>
      <c r="AP89" s="116" t="s">
        <v>2340</v>
      </c>
    </row>
    <row r="90" spans="1:42">
      <c r="A90" s="113" t="s">
        <v>582</v>
      </c>
      <c r="B90" s="114">
        <v>46092</v>
      </c>
      <c r="C90" s="115">
        <v>0.742893518518518</v>
      </c>
      <c r="D90" s="114">
        <v>46092</v>
      </c>
      <c r="E90" s="115">
        <v>0.745185185185185</v>
      </c>
      <c r="F90" s="116" t="s">
        <v>578</v>
      </c>
      <c r="G90" s="114">
        <v>46074</v>
      </c>
      <c r="H90" s="116">
        <v>2567549960</v>
      </c>
      <c r="I90" s="116" t="s">
        <v>583</v>
      </c>
      <c r="J90" s="116" t="s">
        <v>2141</v>
      </c>
      <c r="K90" s="116" t="s">
        <v>2329</v>
      </c>
      <c r="L90" s="116" t="s">
        <v>2330</v>
      </c>
      <c r="M90" s="116" t="s">
        <v>2331</v>
      </c>
      <c r="N90" s="116" t="s">
        <v>2858</v>
      </c>
      <c r="O90" s="119"/>
      <c r="P90" s="116" t="s">
        <v>581</v>
      </c>
      <c r="Q90" s="116" t="s">
        <v>2548</v>
      </c>
      <c r="R90" s="116" t="s">
        <v>2344</v>
      </c>
      <c r="S90" s="116" t="s">
        <v>2627</v>
      </c>
      <c r="T90" s="116">
        <v>480900.4</v>
      </c>
      <c r="U90" s="116">
        <v>498536</v>
      </c>
      <c r="V90" s="116" t="s">
        <v>2337</v>
      </c>
      <c r="W90" s="116">
        <v>261501000000000</v>
      </c>
      <c r="X90" s="114">
        <v>46092</v>
      </c>
      <c r="Y90" s="116">
        <v>2036925</v>
      </c>
      <c r="Z90" s="116" t="s">
        <v>583</v>
      </c>
      <c r="AA90" s="116">
        <v>-0.03</v>
      </c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22"/>
      <c r="AN90" s="116" t="s">
        <v>2628</v>
      </c>
      <c r="AO90" s="116" t="s">
        <v>2428</v>
      </c>
      <c r="AP90" s="116" t="s">
        <v>2429</v>
      </c>
    </row>
    <row r="91" spans="1:42">
      <c r="A91" s="113" t="s">
        <v>2859</v>
      </c>
      <c r="B91" s="114">
        <v>46092</v>
      </c>
      <c r="C91" s="115">
        <v>0.743506944444444</v>
      </c>
      <c r="D91" s="114">
        <v>46092</v>
      </c>
      <c r="E91" s="115">
        <v>0.745185185185185</v>
      </c>
      <c r="F91" s="116" t="s">
        <v>379</v>
      </c>
      <c r="G91" s="114">
        <v>46071</v>
      </c>
      <c r="H91" s="116">
        <v>2567206899</v>
      </c>
      <c r="I91" s="116" t="s">
        <v>2860</v>
      </c>
      <c r="J91" s="116" t="s">
        <v>2199</v>
      </c>
      <c r="K91" s="116" t="s">
        <v>2371</v>
      </c>
      <c r="L91" s="116" t="s">
        <v>2372</v>
      </c>
      <c r="M91" s="116" t="s">
        <v>2331</v>
      </c>
      <c r="N91" s="116" t="s">
        <v>2861</v>
      </c>
      <c r="O91" s="119"/>
      <c r="P91" s="116">
        <v>4916440</v>
      </c>
      <c r="Q91" s="116" t="s">
        <v>2490</v>
      </c>
      <c r="R91" s="116" t="s">
        <v>2376</v>
      </c>
      <c r="S91" s="116" t="s">
        <v>2850</v>
      </c>
      <c r="T91" s="116">
        <v>614000.11</v>
      </c>
      <c r="U91" s="116">
        <v>500000</v>
      </c>
      <c r="V91" s="116" t="s">
        <v>2378</v>
      </c>
      <c r="W91" s="116">
        <v>261502000000000</v>
      </c>
      <c r="X91" s="114">
        <v>46092</v>
      </c>
      <c r="Y91" s="116">
        <v>2035858</v>
      </c>
      <c r="Z91" s="116" t="s">
        <v>2860</v>
      </c>
      <c r="AA91" s="116">
        <v>-0.02</v>
      </c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22"/>
      <c r="AN91" s="116" t="s">
        <v>2851</v>
      </c>
      <c r="AO91" s="116" t="s">
        <v>2346</v>
      </c>
      <c r="AP91" s="116" t="s">
        <v>2340</v>
      </c>
    </row>
    <row r="92" spans="1:42">
      <c r="A92" s="113" t="s">
        <v>2862</v>
      </c>
      <c r="B92" s="114">
        <v>46092</v>
      </c>
      <c r="C92" s="115">
        <v>0.745821759259259</v>
      </c>
      <c r="D92" s="114">
        <v>46092</v>
      </c>
      <c r="E92" s="115">
        <v>0.748958333333333</v>
      </c>
      <c r="F92" s="116" t="s">
        <v>2863</v>
      </c>
      <c r="G92" s="114">
        <v>46049</v>
      </c>
      <c r="H92" s="116">
        <v>2566804199</v>
      </c>
      <c r="I92" s="116" t="s">
        <v>2864</v>
      </c>
      <c r="J92" s="116" t="s">
        <v>2199</v>
      </c>
      <c r="K92" s="116" t="s">
        <v>2371</v>
      </c>
      <c r="L92" s="116" t="s">
        <v>2372</v>
      </c>
      <c r="M92" s="116" t="s">
        <v>2331</v>
      </c>
      <c r="N92" s="116" t="s">
        <v>2865</v>
      </c>
      <c r="O92" s="119"/>
      <c r="P92" s="116">
        <v>4886820</v>
      </c>
      <c r="Q92" s="116" t="s">
        <v>2584</v>
      </c>
      <c r="R92" s="116" t="s">
        <v>2585</v>
      </c>
      <c r="S92" s="116" t="s">
        <v>2866</v>
      </c>
      <c r="T92" s="116">
        <v>880399.62</v>
      </c>
      <c r="U92" s="116">
        <v>500000</v>
      </c>
      <c r="V92" s="116" t="s">
        <v>2378</v>
      </c>
      <c r="W92" s="116">
        <v>261502000000000</v>
      </c>
      <c r="X92" s="114">
        <v>46092</v>
      </c>
      <c r="Y92" s="116">
        <v>2025795</v>
      </c>
      <c r="Z92" s="116" t="s">
        <v>2864</v>
      </c>
      <c r="AA92" s="116">
        <v>0.02</v>
      </c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22"/>
      <c r="AN92" s="116" t="s">
        <v>2867</v>
      </c>
      <c r="AO92" s="116" t="s">
        <v>2346</v>
      </c>
      <c r="AP92" s="116" t="s">
        <v>2340</v>
      </c>
    </row>
    <row r="93" spans="1:42">
      <c r="A93" s="113" t="s">
        <v>2862</v>
      </c>
      <c r="B93" s="114">
        <v>46092</v>
      </c>
      <c r="C93" s="115">
        <v>0.745821759259259</v>
      </c>
      <c r="D93" s="114">
        <v>46092</v>
      </c>
      <c r="E93" s="115">
        <v>0.748958333333333</v>
      </c>
      <c r="F93" s="116" t="s">
        <v>2863</v>
      </c>
      <c r="G93" s="114">
        <v>46049</v>
      </c>
      <c r="H93" s="116">
        <v>2566804199</v>
      </c>
      <c r="I93" s="116" t="s">
        <v>2864</v>
      </c>
      <c r="J93" s="116" t="s">
        <v>2199</v>
      </c>
      <c r="K93" s="116" t="s">
        <v>2371</v>
      </c>
      <c r="L93" s="116" t="s">
        <v>2372</v>
      </c>
      <c r="M93" s="116" t="s">
        <v>2331</v>
      </c>
      <c r="N93" s="116" t="s">
        <v>2865</v>
      </c>
      <c r="O93" s="119"/>
      <c r="P93" s="116">
        <v>4886820</v>
      </c>
      <c r="Q93" s="116" t="s">
        <v>2584</v>
      </c>
      <c r="R93" s="116" t="s">
        <v>2585</v>
      </c>
      <c r="S93" s="116" t="s">
        <v>2866</v>
      </c>
      <c r="T93" s="116">
        <v>880399.62</v>
      </c>
      <c r="U93" s="116">
        <v>500000</v>
      </c>
      <c r="V93" s="116" t="s">
        <v>2378</v>
      </c>
      <c r="W93" s="116">
        <v>261502000000000</v>
      </c>
      <c r="X93" s="114">
        <v>46092</v>
      </c>
      <c r="Y93" s="116">
        <v>2025795</v>
      </c>
      <c r="Z93" s="116" t="s">
        <v>2864</v>
      </c>
      <c r="AA93" s="116">
        <v>0.02</v>
      </c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22"/>
      <c r="AN93" s="116" t="s">
        <v>2867</v>
      </c>
      <c r="AO93" s="116" t="s">
        <v>2346</v>
      </c>
      <c r="AP93" s="116" t="s">
        <v>2340</v>
      </c>
    </row>
    <row r="94" spans="1:42">
      <c r="A94" s="109" t="s">
        <v>594</v>
      </c>
      <c r="B94" s="110">
        <v>46093</v>
      </c>
      <c r="C94" s="111">
        <v>0.381365740740741</v>
      </c>
      <c r="D94" s="110">
        <v>46093</v>
      </c>
      <c r="E94" s="111">
        <v>0.382708333333333</v>
      </c>
      <c r="F94" s="112" t="s">
        <v>591</v>
      </c>
      <c r="G94" s="110">
        <v>46092</v>
      </c>
      <c r="H94" s="112">
        <v>2567549813</v>
      </c>
      <c r="I94" s="112" t="s">
        <v>2868</v>
      </c>
      <c r="J94" s="112" t="s">
        <v>2141</v>
      </c>
      <c r="K94" s="112" t="s">
        <v>2329</v>
      </c>
      <c r="L94" s="112" t="s">
        <v>2330</v>
      </c>
      <c r="M94" s="112" t="s">
        <v>2331</v>
      </c>
      <c r="N94" s="112" t="s">
        <v>2869</v>
      </c>
      <c r="O94" s="118"/>
      <c r="P94" s="112" t="s">
        <v>593</v>
      </c>
      <c r="Q94" s="112" t="s">
        <v>2559</v>
      </c>
      <c r="R94" s="112" t="s">
        <v>2335</v>
      </c>
      <c r="S94" s="112" t="s">
        <v>2353</v>
      </c>
      <c r="T94" s="112">
        <v>706799.42</v>
      </c>
      <c r="U94" s="112">
        <v>500000</v>
      </c>
      <c r="V94" s="112" t="s">
        <v>2337</v>
      </c>
      <c r="W94" s="112">
        <v>261501000000000</v>
      </c>
      <c r="X94" s="110">
        <v>46093</v>
      </c>
      <c r="Y94" s="112">
        <v>2021560</v>
      </c>
      <c r="Z94" s="112" t="s">
        <v>2868</v>
      </c>
      <c r="AA94" s="112">
        <v>-0.01</v>
      </c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21"/>
      <c r="AN94" s="112" t="s">
        <v>2411</v>
      </c>
      <c r="AO94" s="112" t="s">
        <v>2412</v>
      </c>
      <c r="AP94" s="112" t="s">
        <v>2413</v>
      </c>
    </row>
    <row r="95" spans="1:42">
      <c r="A95" s="113" t="s">
        <v>600</v>
      </c>
      <c r="B95" s="114">
        <v>46093</v>
      </c>
      <c r="C95" s="115">
        <v>0.433240740740741</v>
      </c>
      <c r="D95" s="114">
        <v>46093</v>
      </c>
      <c r="E95" s="115">
        <v>0.435810185185185</v>
      </c>
      <c r="F95" s="116" t="s">
        <v>597</v>
      </c>
      <c r="G95" s="114">
        <v>46030</v>
      </c>
      <c r="H95" s="116">
        <v>2566498468</v>
      </c>
      <c r="I95" s="116" t="s">
        <v>2870</v>
      </c>
      <c r="J95" s="116" t="s">
        <v>2141</v>
      </c>
      <c r="K95" s="116" t="s">
        <v>2329</v>
      </c>
      <c r="L95" s="116" t="s">
        <v>2330</v>
      </c>
      <c r="M95" s="116" t="s">
        <v>2331</v>
      </c>
      <c r="N95" s="116" t="s">
        <v>2871</v>
      </c>
      <c r="O95" s="119"/>
      <c r="P95" s="116" t="s">
        <v>599</v>
      </c>
      <c r="Q95" s="116" t="s">
        <v>2559</v>
      </c>
      <c r="R95" s="116" t="s">
        <v>2335</v>
      </c>
      <c r="S95" s="116" t="s">
        <v>2771</v>
      </c>
      <c r="T95" s="116">
        <v>701799.45</v>
      </c>
      <c r="U95" s="116">
        <v>550000</v>
      </c>
      <c r="V95" s="116" t="s">
        <v>2337</v>
      </c>
      <c r="W95" s="116">
        <v>261501000000000</v>
      </c>
      <c r="X95" s="114">
        <v>46093</v>
      </c>
      <c r="Y95" s="116">
        <v>2017220</v>
      </c>
      <c r="Z95" s="116" t="s">
        <v>2870</v>
      </c>
      <c r="AA95" s="116">
        <v>0.03</v>
      </c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22"/>
      <c r="AN95" s="116" t="s">
        <v>2872</v>
      </c>
      <c r="AO95" s="116" t="s">
        <v>2351</v>
      </c>
      <c r="AP95" s="116" t="s">
        <v>2347</v>
      </c>
    </row>
    <row r="96" spans="1:42">
      <c r="A96" s="113" t="s">
        <v>605</v>
      </c>
      <c r="B96" s="114">
        <v>46093</v>
      </c>
      <c r="C96" s="115">
        <v>0.450787037037037</v>
      </c>
      <c r="D96" s="114">
        <v>46093</v>
      </c>
      <c r="E96" s="115">
        <v>0.453611111111111</v>
      </c>
      <c r="F96" s="116" t="s">
        <v>602</v>
      </c>
      <c r="G96" s="114">
        <v>46092</v>
      </c>
      <c r="H96" s="116">
        <v>2567538185</v>
      </c>
      <c r="I96" s="116" t="s">
        <v>2873</v>
      </c>
      <c r="J96" s="116" t="s">
        <v>2141</v>
      </c>
      <c r="K96" s="116" t="s">
        <v>2329</v>
      </c>
      <c r="L96" s="116" t="s">
        <v>2330</v>
      </c>
      <c r="M96" s="116" t="s">
        <v>2331</v>
      </c>
      <c r="N96" s="116" t="s">
        <v>2874</v>
      </c>
      <c r="O96" s="119"/>
      <c r="P96" s="116" t="s">
        <v>604</v>
      </c>
      <c r="Q96" s="116" t="s">
        <v>2417</v>
      </c>
      <c r="R96" s="116" t="s">
        <v>2335</v>
      </c>
      <c r="S96" s="116" t="s">
        <v>2383</v>
      </c>
      <c r="T96" s="116">
        <v>1042218.82</v>
      </c>
      <c r="U96" s="119"/>
      <c r="V96" s="116" t="s">
        <v>2337</v>
      </c>
      <c r="W96" s="116">
        <v>261501000000000</v>
      </c>
      <c r="X96" s="114">
        <v>46093</v>
      </c>
      <c r="Y96" s="116">
        <v>2000266</v>
      </c>
      <c r="Z96" s="116" t="s">
        <v>2873</v>
      </c>
      <c r="AA96" s="116">
        <v>-0.01</v>
      </c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22"/>
      <c r="AN96" s="116" t="s">
        <v>2875</v>
      </c>
      <c r="AO96" s="116" t="s">
        <v>2392</v>
      </c>
      <c r="AP96" s="116" t="s">
        <v>2347</v>
      </c>
    </row>
    <row r="97" spans="1:42">
      <c r="A97" s="113" t="s">
        <v>609</v>
      </c>
      <c r="B97" s="114">
        <v>46093</v>
      </c>
      <c r="C97" s="115">
        <v>0.465185185185185</v>
      </c>
      <c r="D97" s="114">
        <v>46093</v>
      </c>
      <c r="E97" s="115">
        <v>0.467071759259259</v>
      </c>
      <c r="F97" s="116" t="s">
        <v>607</v>
      </c>
      <c r="G97" s="114">
        <v>46064</v>
      </c>
      <c r="H97" s="116">
        <v>2567077782</v>
      </c>
      <c r="I97" s="116" t="s">
        <v>610</v>
      </c>
      <c r="J97" s="116" t="s">
        <v>2141</v>
      </c>
      <c r="K97" s="116" t="s">
        <v>2329</v>
      </c>
      <c r="L97" s="116" t="s">
        <v>2330</v>
      </c>
      <c r="M97" s="116" t="s">
        <v>2331</v>
      </c>
      <c r="N97" s="116" t="s">
        <v>2876</v>
      </c>
      <c r="O97" s="119"/>
      <c r="P97" s="116">
        <v>1424818</v>
      </c>
      <c r="Q97" s="116" t="s">
        <v>2537</v>
      </c>
      <c r="R97" s="116" t="s">
        <v>2538</v>
      </c>
      <c r="S97" s="116" t="s">
        <v>2877</v>
      </c>
      <c r="T97" s="116">
        <v>429899.65</v>
      </c>
      <c r="U97" s="116">
        <v>479000</v>
      </c>
      <c r="V97" s="116" t="s">
        <v>2337</v>
      </c>
      <c r="W97" s="116">
        <v>261501000000000</v>
      </c>
      <c r="X97" s="114">
        <v>46093</v>
      </c>
      <c r="Y97" s="116">
        <v>2033323</v>
      </c>
      <c r="Z97" s="116" t="s">
        <v>610</v>
      </c>
      <c r="AA97" s="116">
        <v>-0.02</v>
      </c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22"/>
      <c r="AN97" s="116" t="s">
        <v>2878</v>
      </c>
      <c r="AO97" s="116" t="s">
        <v>2879</v>
      </c>
      <c r="AP97" s="116" t="s">
        <v>2880</v>
      </c>
    </row>
    <row r="98" spans="1:42">
      <c r="A98" s="113" t="s">
        <v>2881</v>
      </c>
      <c r="B98" s="114">
        <v>46093</v>
      </c>
      <c r="C98" s="115">
        <v>0.508148148148148</v>
      </c>
      <c r="D98" s="114">
        <v>46093</v>
      </c>
      <c r="E98" s="115">
        <v>0.508634259259259</v>
      </c>
      <c r="F98" s="116" t="s">
        <v>2713</v>
      </c>
      <c r="G98" s="114">
        <v>46084</v>
      </c>
      <c r="H98" s="116">
        <v>2567416828</v>
      </c>
      <c r="I98" s="116" t="s">
        <v>2714</v>
      </c>
      <c r="J98" s="116" t="s">
        <v>2213</v>
      </c>
      <c r="K98" s="116" t="s">
        <v>2454</v>
      </c>
      <c r="L98" s="116" t="s">
        <v>2455</v>
      </c>
      <c r="M98" s="116" t="s">
        <v>2331</v>
      </c>
      <c r="N98" s="116" t="s">
        <v>2715</v>
      </c>
      <c r="O98" s="119"/>
      <c r="P98" s="116" t="s">
        <v>2716</v>
      </c>
      <c r="Q98" s="116" t="s">
        <v>2717</v>
      </c>
      <c r="R98" s="116" t="s">
        <v>2718</v>
      </c>
      <c r="S98" s="116" t="s">
        <v>2658</v>
      </c>
      <c r="T98" s="116">
        <v>1923948.33</v>
      </c>
      <c r="U98" s="116">
        <v>1960000</v>
      </c>
      <c r="V98" s="116" t="s">
        <v>2460</v>
      </c>
      <c r="W98" s="116">
        <v>261532000000000</v>
      </c>
      <c r="X98" s="114">
        <v>46093</v>
      </c>
      <c r="Y98" s="116">
        <v>2016925</v>
      </c>
      <c r="Z98" s="116" t="s">
        <v>2714</v>
      </c>
      <c r="AA98" s="116">
        <v>-0.02</v>
      </c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22"/>
      <c r="AN98" s="116" t="s">
        <v>2346</v>
      </c>
      <c r="AO98" s="116" t="s">
        <v>2346</v>
      </c>
      <c r="AP98" s="116" t="s">
        <v>2659</v>
      </c>
    </row>
    <row r="99" spans="1:42">
      <c r="A99" s="113" t="s">
        <v>2882</v>
      </c>
      <c r="B99" s="114">
        <v>46093</v>
      </c>
      <c r="C99" s="115">
        <v>0.543576388888889</v>
      </c>
      <c r="D99" s="114">
        <v>46093</v>
      </c>
      <c r="E99" s="115">
        <v>0.543842592592593</v>
      </c>
      <c r="F99" s="116" t="s">
        <v>2883</v>
      </c>
      <c r="G99" s="114">
        <v>46086</v>
      </c>
      <c r="H99" s="116">
        <v>2567447022</v>
      </c>
      <c r="I99" s="116" t="s">
        <v>2884</v>
      </c>
      <c r="J99" s="116" t="s">
        <v>2199</v>
      </c>
      <c r="K99" s="116" t="s">
        <v>2371</v>
      </c>
      <c r="L99" s="116" t="s">
        <v>2372</v>
      </c>
      <c r="M99" s="116" t="s">
        <v>2331</v>
      </c>
      <c r="N99" s="116" t="s">
        <v>2885</v>
      </c>
      <c r="O99" s="119"/>
      <c r="P99" s="116">
        <v>4915960</v>
      </c>
      <c r="Q99" s="116" t="s">
        <v>2679</v>
      </c>
      <c r="R99" s="116" t="s">
        <v>2335</v>
      </c>
      <c r="S99" s="116" t="s">
        <v>2886</v>
      </c>
      <c r="T99" s="116">
        <v>464999.67</v>
      </c>
      <c r="U99" s="116">
        <v>500000</v>
      </c>
      <c r="V99" s="116" t="s">
        <v>2378</v>
      </c>
      <c r="W99" s="116">
        <v>261502000000000</v>
      </c>
      <c r="X99" s="114">
        <v>46093</v>
      </c>
      <c r="Y99" s="116">
        <v>2041391</v>
      </c>
      <c r="Z99" s="116" t="s">
        <v>2884</v>
      </c>
      <c r="AA99" s="116">
        <v>-0.02</v>
      </c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22"/>
      <c r="AN99" s="116" t="s">
        <v>2887</v>
      </c>
      <c r="AO99" s="116" t="s">
        <v>2888</v>
      </c>
      <c r="AP99" s="116" t="s">
        <v>2340</v>
      </c>
    </row>
    <row r="100" spans="1:42">
      <c r="A100" s="113" t="s">
        <v>637</v>
      </c>
      <c r="B100" s="114">
        <v>46093</v>
      </c>
      <c r="C100" s="115">
        <v>0.547361111111111</v>
      </c>
      <c r="D100" s="114">
        <v>46093</v>
      </c>
      <c r="E100" s="115">
        <v>0.547673611111111</v>
      </c>
      <c r="F100" s="116" t="s">
        <v>634</v>
      </c>
      <c r="G100" s="114">
        <v>46035</v>
      </c>
      <c r="H100" s="116">
        <v>2567561397</v>
      </c>
      <c r="I100" s="116" t="s">
        <v>2889</v>
      </c>
      <c r="J100" s="116" t="s">
        <v>2162</v>
      </c>
      <c r="K100" s="116" t="s">
        <v>2692</v>
      </c>
      <c r="L100" s="116" t="s">
        <v>2693</v>
      </c>
      <c r="M100" s="116" t="s">
        <v>2331</v>
      </c>
      <c r="N100" s="116" t="s">
        <v>2890</v>
      </c>
      <c r="O100" s="119"/>
      <c r="P100" s="116">
        <v>4593164</v>
      </c>
      <c r="Q100" s="116" t="s">
        <v>2891</v>
      </c>
      <c r="R100" s="116" t="s">
        <v>2344</v>
      </c>
      <c r="S100" s="116" t="s">
        <v>2892</v>
      </c>
      <c r="T100" s="116">
        <v>615100.1</v>
      </c>
      <c r="U100" s="116">
        <v>600000</v>
      </c>
      <c r="V100" s="116" t="s">
        <v>2696</v>
      </c>
      <c r="W100" s="116">
        <v>261507000000000</v>
      </c>
      <c r="X100" s="114">
        <v>46093</v>
      </c>
      <c r="Y100" s="116">
        <v>2019588</v>
      </c>
      <c r="Z100" s="116" t="s">
        <v>2889</v>
      </c>
      <c r="AA100" s="116">
        <v>0</v>
      </c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22"/>
      <c r="AN100" s="116" t="s">
        <v>2772</v>
      </c>
      <c r="AO100" s="116" t="s">
        <v>2773</v>
      </c>
      <c r="AP100" s="116" t="s">
        <v>2593</v>
      </c>
    </row>
    <row r="101" spans="1:42">
      <c r="A101" s="113" t="s">
        <v>2893</v>
      </c>
      <c r="B101" s="114">
        <v>46093</v>
      </c>
      <c r="C101" s="115">
        <v>0.554594907407407</v>
      </c>
      <c r="D101" s="114">
        <v>46093</v>
      </c>
      <c r="E101" s="115">
        <v>0.557164351851852</v>
      </c>
      <c r="F101" s="116" t="s">
        <v>2812</v>
      </c>
      <c r="G101" s="114">
        <v>46043</v>
      </c>
      <c r="H101" s="116">
        <v>2566719583</v>
      </c>
      <c r="I101" s="116" t="s">
        <v>2813</v>
      </c>
      <c r="J101" s="116" t="s">
        <v>2222</v>
      </c>
      <c r="K101" s="116" t="s">
        <v>2357</v>
      </c>
      <c r="L101" s="116" t="s">
        <v>2358</v>
      </c>
      <c r="M101" s="116" t="s">
        <v>2331</v>
      </c>
      <c r="N101" s="116" t="s">
        <v>2814</v>
      </c>
      <c r="O101" s="119"/>
      <c r="P101" s="116">
        <v>4855699</v>
      </c>
      <c r="Q101" s="116" t="s">
        <v>2529</v>
      </c>
      <c r="R101" s="116" t="s">
        <v>2530</v>
      </c>
      <c r="S101" s="116" t="s">
        <v>2710</v>
      </c>
      <c r="T101" s="116">
        <v>781899.7</v>
      </c>
      <c r="U101" s="116">
        <v>800000</v>
      </c>
      <c r="V101" s="116" t="s">
        <v>2364</v>
      </c>
      <c r="W101" s="116">
        <v>261534000000000</v>
      </c>
      <c r="X101" s="114">
        <v>46093</v>
      </c>
      <c r="Y101" s="116">
        <v>2023433</v>
      </c>
      <c r="Z101" s="116" t="s">
        <v>2813</v>
      </c>
      <c r="AA101" s="116">
        <v>0.01</v>
      </c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22"/>
      <c r="AN101" s="116" t="s">
        <v>2815</v>
      </c>
      <c r="AO101" s="116" t="s">
        <v>2485</v>
      </c>
      <c r="AP101" s="116" t="s">
        <v>2367</v>
      </c>
    </row>
    <row r="102" spans="1:42">
      <c r="A102" s="113" t="s">
        <v>2894</v>
      </c>
      <c r="B102" s="114">
        <v>46093</v>
      </c>
      <c r="C102" s="115">
        <v>0.641793981481481</v>
      </c>
      <c r="D102" s="114">
        <v>46093</v>
      </c>
      <c r="E102" s="115">
        <v>0.644131944444444</v>
      </c>
      <c r="F102" s="116" t="s">
        <v>2895</v>
      </c>
      <c r="G102" s="114">
        <v>46079</v>
      </c>
      <c r="H102" s="116">
        <v>2567339006</v>
      </c>
      <c r="I102" s="116" t="s">
        <v>2896</v>
      </c>
      <c r="J102" s="116" t="s">
        <v>2222</v>
      </c>
      <c r="K102" s="116" t="s">
        <v>2357</v>
      </c>
      <c r="L102" s="116" t="s">
        <v>2358</v>
      </c>
      <c r="M102" s="116" t="s">
        <v>2331</v>
      </c>
      <c r="N102" s="116" t="s">
        <v>2897</v>
      </c>
      <c r="O102" s="119"/>
      <c r="P102" s="116">
        <v>7055228</v>
      </c>
      <c r="Q102" s="116" t="s">
        <v>2578</v>
      </c>
      <c r="R102" s="116" t="s">
        <v>2335</v>
      </c>
      <c r="S102" s="116" t="s">
        <v>2898</v>
      </c>
      <c r="T102" s="116">
        <v>953899.6</v>
      </c>
      <c r="U102" s="116">
        <v>800000</v>
      </c>
      <c r="V102" s="116" t="s">
        <v>2364</v>
      </c>
      <c r="W102" s="116">
        <v>261534000000000</v>
      </c>
      <c r="X102" s="114">
        <v>46093</v>
      </c>
      <c r="Y102" s="116">
        <v>2038796</v>
      </c>
      <c r="Z102" s="116" t="s">
        <v>2896</v>
      </c>
      <c r="AA102" s="116">
        <v>0.02</v>
      </c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22"/>
      <c r="AN102" s="116" t="s">
        <v>2899</v>
      </c>
      <c r="AO102" s="116" t="s">
        <v>2366</v>
      </c>
      <c r="AP102" s="116" t="s">
        <v>2367</v>
      </c>
    </row>
    <row r="103" spans="1:42">
      <c r="A103" s="113" t="s">
        <v>617</v>
      </c>
      <c r="B103" s="114">
        <v>46093</v>
      </c>
      <c r="C103" s="115">
        <v>0.641944444444444</v>
      </c>
      <c r="D103" s="114">
        <v>46093</v>
      </c>
      <c r="E103" s="115">
        <v>0.644131944444444</v>
      </c>
      <c r="F103" s="116" t="s">
        <v>613</v>
      </c>
      <c r="G103" s="114">
        <v>46070</v>
      </c>
      <c r="H103" s="116">
        <v>2567564981</v>
      </c>
      <c r="I103" s="116" t="s">
        <v>2900</v>
      </c>
      <c r="J103" s="116" t="s">
        <v>2141</v>
      </c>
      <c r="K103" s="116" t="s">
        <v>2329</v>
      </c>
      <c r="L103" s="116" t="s">
        <v>2330</v>
      </c>
      <c r="M103" s="116" t="s">
        <v>2331</v>
      </c>
      <c r="N103" s="116" t="s">
        <v>2901</v>
      </c>
      <c r="O103" s="119"/>
      <c r="P103" s="116" t="s">
        <v>616</v>
      </c>
      <c r="Q103" s="116" t="s">
        <v>2334</v>
      </c>
      <c r="R103" s="116" t="s">
        <v>2335</v>
      </c>
      <c r="S103" s="116" t="s">
        <v>2399</v>
      </c>
      <c r="T103" s="116">
        <v>1076054</v>
      </c>
      <c r="U103" s="119"/>
      <c r="V103" s="116" t="s">
        <v>2337</v>
      </c>
      <c r="W103" s="116">
        <v>261501000000000</v>
      </c>
      <c r="X103" s="114">
        <v>46093</v>
      </c>
      <c r="Y103" s="116">
        <v>2035209</v>
      </c>
      <c r="Z103" s="116" t="s">
        <v>2900</v>
      </c>
      <c r="AA103" s="116">
        <v>-0.02</v>
      </c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22"/>
      <c r="AN103" s="116" t="s">
        <v>2400</v>
      </c>
      <c r="AO103" s="116" t="s">
        <v>69</v>
      </c>
      <c r="AP103" s="116" t="s">
        <v>2397</v>
      </c>
    </row>
    <row r="104" spans="1:42">
      <c r="A104" s="113" t="s">
        <v>2902</v>
      </c>
      <c r="B104" s="114">
        <v>46093</v>
      </c>
      <c r="C104" s="115">
        <v>0.643553240740741</v>
      </c>
      <c r="D104" s="114">
        <v>46093</v>
      </c>
      <c r="E104" s="115">
        <v>0.644131944444444</v>
      </c>
      <c r="F104" s="116" t="s">
        <v>1295</v>
      </c>
      <c r="G104" s="114">
        <v>46042</v>
      </c>
      <c r="H104" s="116">
        <v>2566684545</v>
      </c>
      <c r="I104" s="116" t="s">
        <v>2903</v>
      </c>
      <c r="J104" s="116" t="s">
        <v>2207</v>
      </c>
      <c r="K104" s="116" t="s">
        <v>2662</v>
      </c>
      <c r="L104" s="116" t="s">
        <v>2663</v>
      </c>
      <c r="M104" s="116" t="s">
        <v>2331</v>
      </c>
      <c r="N104" s="116" t="s">
        <v>2904</v>
      </c>
      <c r="O104" s="119"/>
      <c r="P104" s="116">
        <v>7798874</v>
      </c>
      <c r="Q104" s="116" t="s">
        <v>2905</v>
      </c>
      <c r="R104" s="116" t="s">
        <v>2585</v>
      </c>
      <c r="S104" s="116" t="s">
        <v>2906</v>
      </c>
      <c r="T104" s="116">
        <v>848899.89</v>
      </c>
      <c r="U104" s="116">
        <v>500000</v>
      </c>
      <c r="V104" s="116" t="s">
        <v>2666</v>
      </c>
      <c r="W104" s="116">
        <v>261537000000000</v>
      </c>
      <c r="X104" s="114">
        <v>46093</v>
      </c>
      <c r="Y104" s="116">
        <v>2021095</v>
      </c>
      <c r="Z104" s="116" t="s">
        <v>2903</v>
      </c>
      <c r="AA104" s="116">
        <v>0.02</v>
      </c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22"/>
      <c r="AN104" s="116" t="s">
        <v>2697</v>
      </c>
      <c r="AO104" s="116" t="s">
        <v>2698</v>
      </c>
      <c r="AP104" s="116" t="s">
        <v>2669</v>
      </c>
    </row>
    <row r="105" spans="1:42">
      <c r="A105" s="113" t="s">
        <v>624</v>
      </c>
      <c r="B105" s="114">
        <v>46093</v>
      </c>
      <c r="C105" s="115">
        <v>0.6628125</v>
      </c>
      <c r="D105" s="114">
        <v>46093</v>
      </c>
      <c r="E105" s="115">
        <v>0.664953703703704</v>
      </c>
      <c r="F105" s="116" t="s">
        <v>621</v>
      </c>
      <c r="G105" s="114">
        <v>46091</v>
      </c>
      <c r="H105" s="116">
        <v>2567515064</v>
      </c>
      <c r="I105" s="116" t="s">
        <v>625</v>
      </c>
      <c r="J105" s="116" t="s">
        <v>2141</v>
      </c>
      <c r="K105" s="116" t="s">
        <v>2329</v>
      </c>
      <c r="L105" s="116" t="s">
        <v>2330</v>
      </c>
      <c r="M105" s="116" t="s">
        <v>2331</v>
      </c>
      <c r="N105" s="116" t="s">
        <v>2907</v>
      </c>
      <c r="O105" s="119"/>
      <c r="P105" s="116">
        <v>4593757</v>
      </c>
      <c r="Q105" s="116" t="s">
        <v>2652</v>
      </c>
      <c r="R105" s="116" t="s">
        <v>2645</v>
      </c>
      <c r="S105" s="116" t="s">
        <v>2908</v>
      </c>
      <c r="T105" s="116">
        <v>608700.01</v>
      </c>
      <c r="U105" s="116">
        <v>730125</v>
      </c>
      <c r="V105" s="116" t="s">
        <v>2337</v>
      </c>
      <c r="W105" s="116">
        <v>261501000000000</v>
      </c>
      <c r="X105" s="114">
        <v>46093</v>
      </c>
      <c r="Y105" s="116">
        <v>2040537</v>
      </c>
      <c r="Z105" s="116" t="s">
        <v>625</v>
      </c>
      <c r="AA105" s="116">
        <v>-0.01</v>
      </c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22"/>
      <c r="AN105" s="116" t="s">
        <v>2909</v>
      </c>
      <c r="AO105" s="116" t="s">
        <v>2346</v>
      </c>
      <c r="AP105" s="123"/>
    </row>
    <row r="106" spans="1:42">
      <c r="A106" s="113" t="s">
        <v>2910</v>
      </c>
      <c r="B106" s="114">
        <v>46093</v>
      </c>
      <c r="C106" s="115">
        <v>0.663541666666667</v>
      </c>
      <c r="D106" s="114">
        <v>46093</v>
      </c>
      <c r="E106" s="115">
        <v>0.664953703703704</v>
      </c>
      <c r="F106" s="116" t="s">
        <v>2911</v>
      </c>
      <c r="G106" s="114">
        <v>46056</v>
      </c>
      <c r="H106" s="116">
        <v>2566943878</v>
      </c>
      <c r="I106" s="116" t="s">
        <v>2912</v>
      </c>
      <c r="J106" s="116" t="s">
        <v>2203</v>
      </c>
      <c r="K106" s="116" t="s">
        <v>2526</v>
      </c>
      <c r="L106" s="116" t="s">
        <v>2527</v>
      </c>
      <c r="M106" s="116" t="s">
        <v>2331</v>
      </c>
      <c r="N106" s="116" t="s">
        <v>2913</v>
      </c>
      <c r="O106" s="119"/>
      <c r="P106" s="116">
        <v>4884084</v>
      </c>
      <c r="Q106" s="116" t="s">
        <v>2405</v>
      </c>
      <c r="R106" s="116" t="s">
        <v>2435</v>
      </c>
      <c r="S106" s="116" t="s">
        <v>2531</v>
      </c>
      <c r="T106" s="116">
        <v>751899.54</v>
      </c>
      <c r="U106" s="116">
        <v>500000</v>
      </c>
      <c r="V106" s="116" t="s">
        <v>2532</v>
      </c>
      <c r="W106" s="116">
        <v>261536000000000</v>
      </c>
      <c r="X106" s="114">
        <v>46093</v>
      </c>
      <c r="Y106" s="116">
        <v>2028544</v>
      </c>
      <c r="Z106" s="116" t="s">
        <v>2912</v>
      </c>
      <c r="AA106" s="116">
        <v>-0.01</v>
      </c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22"/>
      <c r="AN106" s="116" t="s">
        <v>2909</v>
      </c>
      <c r="AO106" s="116" t="s">
        <v>2346</v>
      </c>
      <c r="AP106" s="116" t="s">
        <v>2686</v>
      </c>
    </row>
    <row r="107" spans="1:42">
      <c r="A107" s="113" t="s">
        <v>629</v>
      </c>
      <c r="B107" s="114">
        <v>46093</v>
      </c>
      <c r="C107" s="115">
        <v>0.665300925925926</v>
      </c>
      <c r="D107" s="114">
        <v>46093</v>
      </c>
      <c r="E107" s="115">
        <v>0.668645833333333</v>
      </c>
      <c r="F107" s="116" t="s">
        <v>626</v>
      </c>
      <c r="G107" s="114">
        <v>46087</v>
      </c>
      <c r="H107" s="116">
        <v>2567565813</v>
      </c>
      <c r="I107" s="116" t="s">
        <v>2914</v>
      </c>
      <c r="J107" s="116" t="s">
        <v>2141</v>
      </c>
      <c r="K107" s="116" t="s">
        <v>2329</v>
      </c>
      <c r="L107" s="116" t="s">
        <v>2330</v>
      </c>
      <c r="M107" s="116" t="s">
        <v>2331</v>
      </c>
      <c r="N107" s="116" t="s">
        <v>2915</v>
      </c>
      <c r="O107" s="119"/>
      <c r="P107" s="116" t="s">
        <v>628</v>
      </c>
      <c r="Q107" s="116" t="s">
        <v>2797</v>
      </c>
      <c r="R107" s="116" t="s">
        <v>2458</v>
      </c>
      <c r="S107" s="116" t="s">
        <v>2771</v>
      </c>
      <c r="T107" s="116">
        <v>1027069.5</v>
      </c>
      <c r="U107" s="116">
        <v>1100000</v>
      </c>
      <c r="V107" s="116" t="s">
        <v>2337</v>
      </c>
      <c r="W107" s="116">
        <v>261501000000000</v>
      </c>
      <c r="X107" s="114">
        <v>46093</v>
      </c>
      <c r="Y107" s="116">
        <v>2041731</v>
      </c>
      <c r="Z107" s="116" t="s">
        <v>2914</v>
      </c>
      <c r="AA107" s="116">
        <v>-0.02</v>
      </c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22"/>
      <c r="AN107" s="116" t="s">
        <v>2872</v>
      </c>
      <c r="AO107" s="116" t="s">
        <v>2351</v>
      </c>
      <c r="AP107" s="116" t="s">
        <v>2347</v>
      </c>
    </row>
    <row r="108" spans="1:42">
      <c r="A108" s="113" t="s">
        <v>2916</v>
      </c>
      <c r="B108" s="114">
        <v>46093</v>
      </c>
      <c r="C108" s="115">
        <v>0.667060185185185</v>
      </c>
      <c r="D108" s="114">
        <v>46093</v>
      </c>
      <c r="E108" s="115">
        <v>0.668645833333333</v>
      </c>
      <c r="F108" s="116" t="s">
        <v>2917</v>
      </c>
      <c r="G108" s="114">
        <v>46044</v>
      </c>
      <c r="H108" s="116">
        <v>2566732227</v>
      </c>
      <c r="I108" s="116" t="s">
        <v>2918</v>
      </c>
      <c r="J108" s="116" t="s">
        <v>2222</v>
      </c>
      <c r="K108" s="116" t="s">
        <v>2357</v>
      </c>
      <c r="L108" s="116" t="s">
        <v>2358</v>
      </c>
      <c r="M108" s="116" t="s">
        <v>2331</v>
      </c>
      <c r="N108" s="116" t="s">
        <v>2919</v>
      </c>
      <c r="O108" s="119"/>
      <c r="P108" s="116">
        <v>4916595</v>
      </c>
      <c r="Q108" s="116" t="s">
        <v>2644</v>
      </c>
      <c r="R108" s="116" t="s">
        <v>2376</v>
      </c>
      <c r="S108" s="116" t="s">
        <v>2831</v>
      </c>
      <c r="T108" s="116">
        <v>602999.75</v>
      </c>
      <c r="U108" s="116">
        <v>600000</v>
      </c>
      <c r="V108" s="116" t="s">
        <v>2364</v>
      </c>
      <c r="W108" s="116">
        <v>261534000000000</v>
      </c>
      <c r="X108" s="114">
        <v>46093</v>
      </c>
      <c r="Y108" s="116">
        <v>2023594</v>
      </c>
      <c r="Z108" s="116" t="s">
        <v>2918</v>
      </c>
      <c r="AA108" s="116">
        <v>0.02</v>
      </c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22"/>
      <c r="AN108" s="116" t="s">
        <v>2920</v>
      </c>
      <c r="AO108" s="116" t="s">
        <v>2833</v>
      </c>
      <c r="AP108" s="116" t="s">
        <v>2367</v>
      </c>
    </row>
    <row r="109" spans="1:42">
      <c r="A109" s="113" t="s">
        <v>2921</v>
      </c>
      <c r="B109" s="114">
        <v>46093</v>
      </c>
      <c r="C109" s="115">
        <v>0.672106481481481</v>
      </c>
      <c r="D109" s="114">
        <v>46093</v>
      </c>
      <c r="E109" s="115">
        <v>0.672291666666667</v>
      </c>
      <c r="F109" s="116" t="s">
        <v>2922</v>
      </c>
      <c r="G109" s="114">
        <v>46083</v>
      </c>
      <c r="H109" s="116">
        <v>2567562143</v>
      </c>
      <c r="I109" s="116" t="s">
        <v>2923</v>
      </c>
      <c r="J109" s="116" t="s">
        <v>2199</v>
      </c>
      <c r="K109" s="116" t="s">
        <v>2371</v>
      </c>
      <c r="L109" s="116" t="s">
        <v>2372</v>
      </c>
      <c r="M109" s="116" t="s">
        <v>2331</v>
      </c>
      <c r="N109" s="116" t="s">
        <v>2924</v>
      </c>
      <c r="O109" s="119"/>
      <c r="P109" s="116">
        <v>7054503</v>
      </c>
      <c r="Q109" s="116" t="s">
        <v>2925</v>
      </c>
      <c r="R109" s="116" t="s">
        <v>2376</v>
      </c>
      <c r="S109" s="116" t="s">
        <v>2926</v>
      </c>
      <c r="T109" s="116">
        <v>1177559.18</v>
      </c>
      <c r="U109" s="119"/>
      <c r="V109" s="116" t="s">
        <v>2378</v>
      </c>
      <c r="W109" s="116">
        <v>261502000000000</v>
      </c>
      <c r="X109" s="114">
        <v>46093</v>
      </c>
      <c r="Y109" s="116">
        <v>2040071</v>
      </c>
      <c r="Z109" s="116" t="s">
        <v>2923</v>
      </c>
      <c r="AA109" s="116">
        <v>-0.02</v>
      </c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22"/>
      <c r="AN109" s="116" t="s">
        <v>2927</v>
      </c>
      <c r="AO109" s="116" t="s">
        <v>2346</v>
      </c>
      <c r="AP109" s="116" t="s">
        <v>2340</v>
      </c>
    </row>
    <row r="110" spans="1:42">
      <c r="A110" s="113" t="s">
        <v>2928</v>
      </c>
      <c r="B110" s="114">
        <v>46093</v>
      </c>
      <c r="C110" s="115">
        <v>0.684780092592593</v>
      </c>
      <c r="D110" s="114">
        <v>46093</v>
      </c>
      <c r="E110" s="115">
        <v>0.685694444444444</v>
      </c>
      <c r="F110" s="116" t="s">
        <v>412</v>
      </c>
      <c r="G110" s="114">
        <v>46053</v>
      </c>
      <c r="H110" s="116">
        <v>2566902946</v>
      </c>
      <c r="I110" s="116" t="s">
        <v>2929</v>
      </c>
      <c r="J110" s="116" t="s">
        <v>2199</v>
      </c>
      <c r="K110" s="116" t="s">
        <v>2371</v>
      </c>
      <c r="L110" s="116" t="s">
        <v>2372</v>
      </c>
      <c r="M110" s="116" t="s">
        <v>2331</v>
      </c>
      <c r="N110" s="116" t="s">
        <v>2930</v>
      </c>
      <c r="O110" s="119"/>
      <c r="P110" s="116">
        <v>4915433</v>
      </c>
      <c r="Q110" s="116" t="s">
        <v>2931</v>
      </c>
      <c r="R110" s="116" t="s">
        <v>2376</v>
      </c>
      <c r="S110" s="116" t="s">
        <v>2932</v>
      </c>
      <c r="T110" s="116">
        <v>645500.47</v>
      </c>
      <c r="U110" s="116">
        <v>500000</v>
      </c>
      <c r="V110" s="116" t="s">
        <v>2378</v>
      </c>
      <c r="W110" s="116">
        <v>261502000000000</v>
      </c>
      <c r="X110" s="114">
        <v>46093</v>
      </c>
      <c r="Y110" s="116">
        <v>2027762</v>
      </c>
      <c r="Z110" s="116" t="s">
        <v>2929</v>
      </c>
      <c r="AA110" s="116">
        <v>0.03</v>
      </c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22"/>
      <c r="AN110" s="116" t="s">
        <v>2933</v>
      </c>
      <c r="AO110" s="116" t="s">
        <v>2934</v>
      </c>
      <c r="AP110" s="116" t="s">
        <v>2340</v>
      </c>
    </row>
    <row r="111" spans="1:42">
      <c r="A111" s="113" t="s">
        <v>2935</v>
      </c>
      <c r="B111" s="114">
        <v>46093</v>
      </c>
      <c r="C111" s="115">
        <v>0.685810185185185</v>
      </c>
      <c r="D111" s="114">
        <v>46093</v>
      </c>
      <c r="E111" s="115">
        <v>0.689236111111111</v>
      </c>
      <c r="F111" s="116" t="s">
        <v>2936</v>
      </c>
      <c r="G111" s="114">
        <v>46074</v>
      </c>
      <c r="H111" s="116">
        <v>2567263429</v>
      </c>
      <c r="I111" s="116" t="s">
        <v>2937</v>
      </c>
      <c r="J111" s="116" t="s">
        <v>2203</v>
      </c>
      <c r="K111" s="116" t="s">
        <v>2526</v>
      </c>
      <c r="L111" s="116" t="s">
        <v>2527</v>
      </c>
      <c r="M111" s="116" t="s">
        <v>2331</v>
      </c>
      <c r="N111" s="116" t="s">
        <v>2938</v>
      </c>
      <c r="O111" s="119"/>
      <c r="P111" s="116">
        <v>4873564</v>
      </c>
      <c r="Q111" s="116" t="s">
        <v>2939</v>
      </c>
      <c r="R111" s="116" t="s">
        <v>2723</v>
      </c>
      <c r="S111" s="116" t="s">
        <v>2940</v>
      </c>
      <c r="T111" s="116">
        <v>841900.5</v>
      </c>
      <c r="U111" s="116">
        <v>500000</v>
      </c>
      <c r="V111" s="116" t="s">
        <v>2532</v>
      </c>
      <c r="W111" s="116">
        <v>261536000000000</v>
      </c>
      <c r="X111" s="114">
        <v>46093</v>
      </c>
      <c r="Y111" s="116">
        <v>1951281</v>
      </c>
      <c r="Z111" s="116" t="s">
        <v>2937</v>
      </c>
      <c r="AA111" s="116">
        <v>-0.01</v>
      </c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22"/>
      <c r="AN111" s="116" t="s">
        <v>2909</v>
      </c>
      <c r="AO111" s="116" t="s">
        <v>2346</v>
      </c>
      <c r="AP111" s="116" t="s">
        <v>2686</v>
      </c>
    </row>
    <row r="112" spans="1:42">
      <c r="A112" s="113" t="s">
        <v>2941</v>
      </c>
      <c r="B112" s="114">
        <v>46093</v>
      </c>
      <c r="C112" s="115">
        <v>0.688229166666667</v>
      </c>
      <c r="D112" s="114">
        <v>46093</v>
      </c>
      <c r="E112" s="115">
        <v>0.689236111111111</v>
      </c>
      <c r="F112" s="116" t="s">
        <v>2942</v>
      </c>
      <c r="G112" s="114">
        <v>46050</v>
      </c>
      <c r="H112" s="116">
        <v>2566823737</v>
      </c>
      <c r="I112" s="116" t="s">
        <v>2943</v>
      </c>
      <c r="J112" s="116" t="s">
        <v>2199</v>
      </c>
      <c r="K112" s="116" t="s">
        <v>2371</v>
      </c>
      <c r="L112" s="116" t="s">
        <v>2372</v>
      </c>
      <c r="M112" s="116" t="s">
        <v>2331</v>
      </c>
      <c r="N112" s="116" t="s">
        <v>2944</v>
      </c>
      <c r="O112" s="119"/>
      <c r="P112" s="116">
        <v>4874578</v>
      </c>
      <c r="Q112" s="116" t="s">
        <v>2759</v>
      </c>
      <c r="R112" s="116" t="s">
        <v>2530</v>
      </c>
      <c r="S112" s="116" t="s">
        <v>2491</v>
      </c>
      <c r="T112" s="116">
        <v>573999.86</v>
      </c>
      <c r="U112" s="116">
        <v>500000</v>
      </c>
      <c r="V112" s="116" t="s">
        <v>2378</v>
      </c>
      <c r="W112" s="116">
        <v>261502000000000</v>
      </c>
      <c r="X112" s="114">
        <v>46093</v>
      </c>
      <c r="Y112" s="116">
        <v>2026175</v>
      </c>
      <c r="Z112" s="116" t="s">
        <v>2943</v>
      </c>
      <c r="AA112" s="116">
        <v>0.01</v>
      </c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22"/>
      <c r="AN112" s="116" t="s">
        <v>2492</v>
      </c>
      <c r="AO112" s="116" t="s">
        <v>2493</v>
      </c>
      <c r="AP112" s="116" t="s">
        <v>2340</v>
      </c>
    </row>
    <row r="113" spans="1:42">
      <c r="A113" s="113" t="s">
        <v>587</v>
      </c>
      <c r="B113" s="114">
        <v>46093</v>
      </c>
      <c r="C113" s="115">
        <v>0.711990740740741</v>
      </c>
      <c r="D113" s="114">
        <v>46093</v>
      </c>
      <c r="E113" s="115">
        <v>0.713576388888889</v>
      </c>
      <c r="F113" s="116" t="s">
        <v>584</v>
      </c>
      <c r="G113" s="114">
        <v>46088</v>
      </c>
      <c r="H113" s="116">
        <v>2567479082</v>
      </c>
      <c r="I113" s="116" t="s">
        <v>588</v>
      </c>
      <c r="J113" s="116" t="s">
        <v>2145</v>
      </c>
      <c r="K113" s="116" t="s">
        <v>2945</v>
      </c>
      <c r="L113" s="116" t="s">
        <v>2946</v>
      </c>
      <c r="M113" s="116" t="s">
        <v>2331</v>
      </c>
      <c r="N113" s="116" t="s">
        <v>2947</v>
      </c>
      <c r="O113" s="119"/>
      <c r="P113" s="116">
        <v>9259408</v>
      </c>
      <c r="Q113" s="116" t="s">
        <v>2763</v>
      </c>
      <c r="R113" s="116" t="s">
        <v>2376</v>
      </c>
      <c r="S113" s="116" t="s">
        <v>2948</v>
      </c>
      <c r="T113" s="116">
        <v>612900.44</v>
      </c>
      <c r="U113" s="116">
        <v>668000</v>
      </c>
      <c r="V113" s="116" t="s">
        <v>2949</v>
      </c>
      <c r="W113" s="116">
        <v>261513000000000</v>
      </c>
      <c r="X113" s="114">
        <v>46093</v>
      </c>
      <c r="Y113" s="116">
        <v>2042125</v>
      </c>
      <c r="Z113" s="116" t="s">
        <v>588</v>
      </c>
      <c r="AA113" s="116">
        <v>0.02</v>
      </c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22"/>
      <c r="AN113" s="116" t="s">
        <v>2909</v>
      </c>
      <c r="AO113" s="116" t="s">
        <v>2346</v>
      </c>
      <c r="AP113" s="116" t="s">
        <v>2686</v>
      </c>
    </row>
    <row r="114" spans="1:42">
      <c r="A114" s="113" t="s">
        <v>2950</v>
      </c>
      <c r="B114" s="114">
        <v>46093</v>
      </c>
      <c r="C114" s="115">
        <v>0.738333333333333</v>
      </c>
      <c r="D114" s="114">
        <v>46093</v>
      </c>
      <c r="E114" s="115">
        <v>0.741412037037037</v>
      </c>
      <c r="F114" s="116" t="s">
        <v>2951</v>
      </c>
      <c r="G114" s="114">
        <v>46032</v>
      </c>
      <c r="H114" s="116">
        <v>2566537479</v>
      </c>
      <c r="I114" s="116" t="s">
        <v>2952</v>
      </c>
      <c r="J114" s="116" t="s">
        <v>2199</v>
      </c>
      <c r="K114" s="116" t="s">
        <v>2371</v>
      </c>
      <c r="L114" s="116" t="s">
        <v>2372</v>
      </c>
      <c r="M114" s="116" t="s">
        <v>2331</v>
      </c>
      <c r="N114" s="116" t="s">
        <v>2953</v>
      </c>
      <c r="O114" s="119"/>
      <c r="P114" s="116">
        <v>7799825</v>
      </c>
      <c r="Q114" s="116" t="s">
        <v>2954</v>
      </c>
      <c r="R114" s="116" t="s">
        <v>2530</v>
      </c>
      <c r="S114" s="116" t="s">
        <v>2955</v>
      </c>
      <c r="T114" s="116">
        <v>836499.64</v>
      </c>
      <c r="U114" s="119"/>
      <c r="V114" s="116" t="s">
        <v>2378</v>
      </c>
      <c r="W114" s="116">
        <v>261502000000000</v>
      </c>
      <c r="X114" s="114">
        <v>46093</v>
      </c>
      <c r="Y114" s="116">
        <v>2018119</v>
      </c>
      <c r="Z114" s="116" t="s">
        <v>2952</v>
      </c>
      <c r="AA114" s="116">
        <v>-0.01</v>
      </c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22"/>
      <c r="AN114" s="116" t="s">
        <v>2956</v>
      </c>
      <c r="AO114" s="116" t="s">
        <v>2957</v>
      </c>
      <c r="AP114" s="116" t="s">
        <v>2340</v>
      </c>
    </row>
    <row r="115" spans="1:42">
      <c r="A115" s="109" t="s">
        <v>2958</v>
      </c>
      <c r="B115" s="110">
        <v>46094</v>
      </c>
      <c r="C115" s="111">
        <v>0.440798611111111</v>
      </c>
      <c r="D115" s="110">
        <v>46094</v>
      </c>
      <c r="E115" s="111">
        <v>0.441956018518519</v>
      </c>
      <c r="F115" s="112" t="s">
        <v>894</v>
      </c>
      <c r="G115" s="110">
        <v>46093</v>
      </c>
      <c r="H115" s="112">
        <v>2567547876</v>
      </c>
      <c r="I115" s="112" t="s">
        <v>898</v>
      </c>
      <c r="J115" s="112" t="s">
        <v>2141</v>
      </c>
      <c r="K115" s="112" t="s">
        <v>2329</v>
      </c>
      <c r="L115" s="112" t="s">
        <v>2330</v>
      </c>
      <c r="M115" s="112" t="s">
        <v>2331</v>
      </c>
      <c r="N115" s="112" t="s">
        <v>2959</v>
      </c>
      <c r="O115" s="118"/>
      <c r="P115" s="112" t="s">
        <v>896</v>
      </c>
      <c r="Q115" s="112" t="s">
        <v>2559</v>
      </c>
      <c r="R115" s="112" t="s">
        <v>2335</v>
      </c>
      <c r="S115" s="112" t="s">
        <v>2353</v>
      </c>
      <c r="T115" s="112">
        <v>701799.45</v>
      </c>
      <c r="U115" s="112">
        <v>630000</v>
      </c>
      <c r="V115" s="112" t="s">
        <v>2337</v>
      </c>
      <c r="W115" s="112">
        <v>261501000000000</v>
      </c>
      <c r="X115" s="110">
        <v>46094</v>
      </c>
      <c r="Y115" s="112">
        <v>2027231</v>
      </c>
      <c r="Z115" s="112" t="s">
        <v>898</v>
      </c>
      <c r="AA115" s="112">
        <v>0.03</v>
      </c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21"/>
      <c r="AN115" s="112" t="s">
        <v>2960</v>
      </c>
      <c r="AO115" s="112" t="s">
        <v>2346</v>
      </c>
      <c r="AP115" s="112" t="s">
        <v>2593</v>
      </c>
    </row>
    <row r="116" spans="1:42">
      <c r="A116" s="113" t="s">
        <v>664</v>
      </c>
      <c r="B116" s="114">
        <v>46094</v>
      </c>
      <c r="C116" s="115">
        <v>0.450011574074074</v>
      </c>
      <c r="D116" s="114">
        <v>46094</v>
      </c>
      <c r="E116" s="115">
        <v>0.452430555555556</v>
      </c>
      <c r="F116" s="116" t="s">
        <v>661</v>
      </c>
      <c r="G116" s="114">
        <v>46090</v>
      </c>
      <c r="H116" s="116">
        <v>2567505758</v>
      </c>
      <c r="I116" s="116" t="s">
        <v>2961</v>
      </c>
      <c r="J116" s="116" t="s">
        <v>2141</v>
      </c>
      <c r="K116" s="116" t="s">
        <v>2329</v>
      </c>
      <c r="L116" s="116" t="s">
        <v>2330</v>
      </c>
      <c r="M116" s="116" t="s">
        <v>2331</v>
      </c>
      <c r="N116" s="116" t="s">
        <v>2962</v>
      </c>
      <c r="O116" s="119"/>
      <c r="P116" s="116" t="s">
        <v>663</v>
      </c>
      <c r="Q116" s="116" t="s">
        <v>2963</v>
      </c>
      <c r="R116" s="116" t="s">
        <v>2723</v>
      </c>
      <c r="S116" s="116" t="s">
        <v>2964</v>
      </c>
      <c r="T116" s="116">
        <v>812799.92</v>
      </c>
      <c r="U116" s="119"/>
      <c r="V116" s="116" t="s">
        <v>2337</v>
      </c>
      <c r="W116" s="116">
        <v>261501000000000</v>
      </c>
      <c r="X116" s="114">
        <v>46094</v>
      </c>
      <c r="Y116" s="116">
        <v>2042752</v>
      </c>
      <c r="Z116" s="116" t="s">
        <v>2961</v>
      </c>
      <c r="AA116" s="116">
        <v>-0.01</v>
      </c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22"/>
      <c r="AN116" s="116" t="s">
        <v>2427</v>
      </c>
      <c r="AO116" s="116" t="s">
        <v>2428</v>
      </c>
      <c r="AP116" s="116" t="s">
        <v>2429</v>
      </c>
    </row>
    <row r="117" spans="1:42">
      <c r="A117" s="113" t="s">
        <v>672</v>
      </c>
      <c r="B117" s="114">
        <v>46094</v>
      </c>
      <c r="C117" s="115">
        <v>0.451446759259259</v>
      </c>
      <c r="D117" s="114">
        <v>46094</v>
      </c>
      <c r="E117" s="115">
        <v>0.452430555555556</v>
      </c>
      <c r="F117" s="116" t="s">
        <v>668</v>
      </c>
      <c r="G117" s="114">
        <v>46092</v>
      </c>
      <c r="H117" s="116">
        <v>2567544011</v>
      </c>
      <c r="I117" s="116" t="s">
        <v>673</v>
      </c>
      <c r="J117" s="116" t="s">
        <v>2141</v>
      </c>
      <c r="K117" s="116" t="s">
        <v>2329</v>
      </c>
      <c r="L117" s="116" t="s">
        <v>2330</v>
      </c>
      <c r="M117" s="116" t="s">
        <v>2331</v>
      </c>
      <c r="N117" s="116" t="s">
        <v>2965</v>
      </c>
      <c r="O117" s="119"/>
      <c r="P117" s="116" t="s">
        <v>671</v>
      </c>
      <c r="Q117" s="116" t="s">
        <v>2548</v>
      </c>
      <c r="R117" s="116" t="s">
        <v>2458</v>
      </c>
      <c r="S117" s="116" t="s">
        <v>2353</v>
      </c>
      <c r="T117" s="116">
        <v>480900.4</v>
      </c>
      <c r="U117" s="116">
        <v>300000</v>
      </c>
      <c r="V117" s="116" t="s">
        <v>2337</v>
      </c>
      <c r="W117" s="116">
        <v>261501000000000</v>
      </c>
      <c r="X117" s="114">
        <v>46094</v>
      </c>
      <c r="Y117" s="116">
        <v>2017070</v>
      </c>
      <c r="Z117" s="116" t="s">
        <v>673</v>
      </c>
      <c r="AA117" s="116">
        <v>-0.03</v>
      </c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22"/>
      <c r="AN117" s="116" t="s">
        <v>2591</v>
      </c>
      <c r="AO117" s="116" t="s">
        <v>2592</v>
      </c>
      <c r="AP117" s="116" t="s">
        <v>2593</v>
      </c>
    </row>
    <row r="118" spans="1:42">
      <c r="A118" s="113" t="s">
        <v>677</v>
      </c>
      <c r="B118" s="114">
        <v>46094</v>
      </c>
      <c r="C118" s="115">
        <v>0.458414351851852</v>
      </c>
      <c r="D118" s="114">
        <v>46094</v>
      </c>
      <c r="E118" s="115">
        <v>0.459270833333333</v>
      </c>
      <c r="F118" s="116" t="s">
        <v>674</v>
      </c>
      <c r="G118" s="114">
        <v>46092</v>
      </c>
      <c r="H118" s="116">
        <v>2567540924</v>
      </c>
      <c r="I118" s="116" t="s">
        <v>2966</v>
      </c>
      <c r="J118" s="116" t="s">
        <v>2141</v>
      </c>
      <c r="K118" s="116" t="s">
        <v>2329</v>
      </c>
      <c r="L118" s="116" t="s">
        <v>2330</v>
      </c>
      <c r="M118" s="116" t="s">
        <v>2331</v>
      </c>
      <c r="N118" s="116" t="s">
        <v>2967</v>
      </c>
      <c r="O118" s="119"/>
      <c r="P118" s="116" t="s">
        <v>676</v>
      </c>
      <c r="Q118" s="116" t="s">
        <v>2559</v>
      </c>
      <c r="R118" s="116" t="s">
        <v>2335</v>
      </c>
      <c r="S118" s="116" t="s">
        <v>2771</v>
      </c>
      <c r="T118" s="116">
        <v>701799.45</v>
      </c>
      <c r="U118" s="119"/>
      <c r="V118" s="116" t="s">
        <v>2337</v>
      </c>
      <c r="W118" s="116">
        <v>261501000000000</v>
      </c>
      <c r="X118" s="114">
        <v>46094</v>
      </c>
      <c r="Y118" s="116">
        <v>2029455</v>
      </c>
      <c r="Z118" s="116" t="s">
        <v>2966</v>
      </c>
      <c r="AA118" s="116">
        <v>0.03</v>
      </c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22"/>
      <c r="AN118" s="116" t="s">
        <v>2772</v>
      </c>
      <c r="AO118" s="116" t="s">
        <v>2773</v>
      </c>
      <c r="AP118" s="116" t="s">
        <v>2593</v>
      </c>
    </row>
    <row r="119" spans="1:42">
      <c r="A119" s="113" t="s">
        <v>681</v>
      </c>
      <c r="B119" s="114">
        <v>46094</v>
      </c>
      <c r="C119" s="115">
        <v>0.47087962962963</v>
      </c>
      <c r="D119" s="114">
        <v>46094</v>
      </c>
      <c r="E119" s="115">
        <v>0.473171296296296</v>
      </c>
      <c r="F119" s="116" t="s">
        <v>679</v>
      </c>
      <c r="G119" s="114">
        <v>46093</v>
      </c>
      <c r="H119" s="116">
        <v>2567570167</v>
      </c>
      <c r="I119" s="116" t="s">
        <v>2968</v>
      </c>
      <c r="J119" s="116" t="s">
        <v>2141</v>
      </c>
      <c r="K119" s="116" t="s">
        <v>2329</v>
      </c>
      <c r="L119" s="116" t="s">
        <v>2330</v>
      </c>
      <c r="M119" s="116" t="s">
        <v>2331</v>
      </c>
      <c r="N119" s="116" t="s">
        <v>2969</v>
      </c>
      <c r="O119" s="119"/>
      <c r="P119" s="116">
        <v>1434030</v>
      </c>
      <c r="Q119" s="116" t="s">
        <v>2970</v>
      </c>
      <c r="R119" s="116" t="s">
        <v>2335</v>
      </c>
      <c r="S119" s="116" t="s">
        <v>2971</v>
      </c>
      <c r="T119" s="116">
        <v>661899.91</v>
      </c>
      <c r="U119" s="116">
        <v>450000</v>
      </c>
      <c r="V119" s="116" t="s">
        <v>2337</v>
      </c>
      <c r="W119" s="116">
        <v>261501000000000</v>
      </c>
      <c r="X119" s="114">
        <v>46094</v>
      </c>
      <c r="Y119" s="116">
        <v>2033971</v>
      </c>
      <c r="Z119" s="116" t="s">
        <v>2968</v>
      </c>
      <c r="AA119" s="116">
        <v>0.03</v>
      </c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22"/>
      <c r="AN119" s="116" t="s">
        <v>2748</v>
      </c>
      <c r="AO119" s="116" t="s">
        <v>2346</v>
      </c>
      <c r="AP119" s="123"/>
    </row>
    <row r="120" spans="1:42">
      <c r="A120" s="113" t="s">
        <v>687</v>
      </c>
      <c r="B120" s="114">
        <v>46094</v>
      </c>
      <c r="C120" s="115">
        <v>0.477858796296296</v>
      </c>
      <c r="D120" s="114">
        <v>46094</v>
      </c>
      <c r="E120" s="115">
        <v>0.480208333333333</v>
      </c>
      <c r="F120" s="116" t="s">
        <v>685</v>
      </c>
      <c r="G120" s="114">
        <v>46091</v>
      </c>
      <c r="H120" s="116">
        <v>2567518660</v>
      </c>
      <c r="I120" s="116" t="s">
        <v>688</v>
      </c>
      <c r="J120" s="116" t="s">
        <v>2141</v>
      </c>
      <c r="K120" s="116" t="s">
        <v>2329</v>
      </c>
      <c r="L120" s="116" t="s">
        <v>2330</v>
      </c>
      <c r="M120" s="116" t="s">
        <v>2331</v>
      </c>
      <c r="N120" s="116" t="s">
        <v>2972</v>
      </c>
      <c r="O120" s="119"/>
      <c r="P120" s="116">
        <v>1432481</v>
      </c>
      <c r="Q120" s="116" t="s">
        <v>2973</v>
      </c>
      <c r="R120" s="116" t="s">
        <v>2538</v>
      </c>
      <c r="S120" s="116" t="s">
        <v>2908</v>
      </c>
      <c r="T120" s="116">
        <v>638900.51</v>
      </c>
      <c r="U120" s="119"/>
      <c r="V120" s="116" t="s">
        <v>2337</v>
      </c>
      <c r="W120" s="116">
        <v>261501000000000</v>
      </c>
      <c r="X120" s="114">
        <v>46094</v>
      </c>
      <c r="Y120" s="116">
        <v>2035036</v>
      </c>
      <c r="Z120" s="116" t="s">
        <v>688</v>
      </c>
      <c r="AA120" s="116">
        <v>0.02</v>
      </c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22"/>
      <c r="AN120" s="116" t="s">
        <v>2909</v>
      </c>
      <c r="AO120" s="116" t="s">
        <v>2346</v>
      </c>
      <c r="AP120" s="123"/>
    </row>
    <row r="121" spans="1:42">
      <c r="A121" s="113" t="s">
        <v>2974</v>
      </c>
      <c r="B121" s="114">
        <v>46094</v>
      </c>
      <c r="C121" s="115">
        <v>0.499756944444444</v>
      </c>
      <c r="D121" s="114">
        <v>46094</v>
      </c>
      <c r="E121" s="115">
        <v>0.5009375</v>
      </c>
      <c r="F121" s="116" t="s">
        <v>2713</v>
      </c>
      <c r="G121" s="114">
        <v>46084</v>
      </c>
      <c r="H121" s="116">
        <v>2567416828</v>
      </c>
      <c r="I121" s="116" t="s">
        <v>2714</v>
      </c>
      <c r="J121" s="116" t="s">
        <v>2213</v>
      </c>
      <c r="K121" s="116" t="s">
        <v>2454</v>
      </c>
      <c r="L121" s="116" t="s">
        <v>2455</v>
      </c>
      <c r="M121" s="116" t="s">
        <v>2331</v>
      </c>
      <c r="N121" s="116" t="s">
        <v>2715</v>
      </c>
      <c r="O121" s="119"/>
      <c r="P121" s="116" t="s">
        <v>2716</v>
      </c>
      <c r="Q121" s="116" t="s">
        <v>2717</v>
      </c>
      <c r="R121" s="116" t="s">
        <v>2718</v>
      </c>
      <c r="S121" s="116" t="s">
        <v>2658</v>
      </c>
      <c r="T121" s="116">
        <v>1912838.34</v>
      </c>
      <c r="U121" s="116">
        <v>1998900</v>
      </c>
      <c r="V121" s="116" t="s">
        <v>2460</v>
      </c>
      <c r="W121" s="116">
        <v>261532000000000</v>
      </c>
      <c r="X121" s="114">
        <v>46094</v>
      </c>
      <c r="Y121" s="116">
        <v>2016925</v>
      </c>
      <c r="Z121" s="116" t="s">
        <v>2714</v>
      </c>
      <c r="AA121" s="116">
        <v>0</v>
      </c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22"/>
      <c r="AN121" s="116" t="s">
        <v>2346</v>
      </c>
      <c r="AO121" s="116" t="s">
        <v>2346</v>
      </c>
      <c r="AP121" s="116" t="s">
        <v>2659</v>
      </c>
    </row>
    <row r="122" spans="1:42">
      <c r="A122" s="113" t="s">
        <v>2975</v>
      </c>
      <c r="B122" s="114">
        <v>46094</v>
      </c>
      <c r="C122" s="115">
        <v>0.541921296296296</v>
      </c>
      <c r="D122" s="114">
        <v>46094</v>
      </c>
      <c r="E122" s="115">
        <v>0.545300925925926</v>
      </c>
      <c r="F122" s="116" t="s">
        <v>1084</v>
      </c>
      <c r="G122" s="114">
        <v>46090</v>
      </c>
      <c r="H122" s="116">
        <v>2567495984</v>
      </c>
      <c r="I122" s="116" t="s">
        <v>2976</v>
      </c>
      <c r="J122" s="116" t="s">
        <v>2199</v>
      </c>
      <c r="K122" s="116" t="s">
        <v>2371</v>
      </c>
      <c r="L122" s="116" t="s">
        <v>2372</v>
      </c>
      <c r="M122" s="116" t="s">
        <v>2331</v>
      </c>
      <c r="N122" s="116" t="s">
        <v>2977</v>
      </c>
      <c r="O122" s="119"/>
      <c r="P122" s="116">
        <v>7701159</v>
      </c>
      <c r="Q122" s="116" t="s">
        <v>2978</v>
      </c>
      <c r="R122" s="116" t="s">
        <v>2435</v>
      </c>
      <c r="S122" s="116" t="s">
        <v>2979</v>
      </c>
      <c r="T122" s="116">
        <v>1578225.82</v>
      </c>
      <c r="U122" s="116">
        <v>500000</v>
      </c>
      <c r="V122" s="116" t="s">
        <v>2378</v>
      </c>
      <c r="W122" s="116">
        <v>261502000000000</v>
      </c>
      <c r="X122" s="114">
        <v>46094</v>
      </c>
      <c r="Y122" s="116">
        <v>2042490</v>
      </c>
      <c r="Z122" s="116" t="s">
        <v>2976</v>
      </c>
      <c r="AA122" s="116">
        <v>-0.03</v>
      </c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22"/>
      <c r="AN122" s="116" t="s">
        <v>2792</v>
      </c>
      <c r="AO122" s="116" t="s">
        <v>69</v>
      </c>
      <c r="AP122" s="116" t="s">
        <v>2397</v>
      </c>
    </row>
    <row r="123" spans="1:42">
      <c r="A123" s="113" t="s">
        <v>693</v>
      </c>
      <c r="B123" s="114">
        <v>46094</v>
      </c>
      <c r="C123" s="115">
        <v>0.544849537037037</v>
      </c>
      <c r="D123" s="114">
        <v>46094</v>
      </c>
      <c r="E123" s="115">
        <v>0.545300925925926</v>
      </c>
      <c r="F123" s="116" t="s">
        <v>690</v>
      </c>
      <c r="G123" s="114">
        <v>46076</v>
      </c>
      <c r="H123" s="116">
        <v>2567274675</v>
      </c>
      <c r="I123" s="116" t="s">
        <v>694</v>
      </c>
      <c r="J123" s="116" t="s">
        <v>2141</v>
      </c>
      <c r="K123" s="116" t="s">
        <v>2329</v>
      </c>
      <c r="L123" s="116" t="s">
        <v>2330</v>
      </c>
      <c r="M123" s="116" t="s">
        <v>2331</v>
      </c>
      <c r="N123" s="116" t="s">
        <v>2980</v>
      </c>
      <c r="O123" s="119"/>
      <c r="P123" s="116">
        <v>1428245</v>
      </c>
      <c r="Q123" s="116" t="s">
        <v>2343</v>
      </c>
      <c r="R123" s="116" t="s">
        <v>2344</v>
      </c>
      <c r="S123" s="116" t="s">
        <v>2791</v>
      </c>
      <c r="T123" s="116">
        <v>569900.17</v>
      </c>
      <c r="U123" s="116">
        <v>639186</v>
      </c>
      <c r="V123" s="116" t="s">
        <v>2337</v>
      </c>
      <c r="W123" s="116">
        <v>261501000000000</v>
      </c>
      <c r="X123" s="114">
        <v>46094</v>
      </c>
      <c r="Y123" s="116">
        <v>2037442</v>
      </c>
      <c r="Z123" s="116" t="s">
        <v>694</v>
      </c>
      <c r="AA123" s="116">
        <v>-0.04</v>
      </c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22"/>
      <c r="AN123" s="116" t="s">
        <v>2792</v>
      </c>
      <c r="AO123" s="116" t="s">
        <v>69</v>
      </c>
      <c r="AP123" s="116" t="s">
        <v>2397</v>
      </c>
    </row>
    <row r="124" spans="1:42">
      <c r="A124" s="113" t="s">
        <v>698</v>
      </c>
      <c r="B124" s="114">
        <v>46094</v>
      </c>
      <c r="C124" s="115">
        <v>0.618958333333333</v>
      </c>
      <c r="D124" s="114">
        <v>46094</v>
      </c>
      <c r="E124" s="115">
        <v>0.621736111111111</v>
      </c>
      <c r="F124" s="116" t="s">
        <v>695</v>
      </c>
      <c r="G124" s="114">
        <v>46060</v>
      </c>
      <c r="H124" s="116">
        <v>2567029223</v>
      </c>
      <c r="I124" s="116" t="s">
        <v>2981</v>
      </c>
      <c r="J124" s="116" t="s">
        <v>2141</v>
      </c>
      <c r="K124" s="116" t="s">
        <v>2329</v>
      </c>
      <c r="L124" s="116" t="s">
        <v>2330</v>
      </c>
      <c r="M124" s="116" t="s">
        <v>2331</v>
      </c>
      <c r="N124" s="116" t="s">
        <v>2982</v>
      </c>
      <c r="O124" s="119"/>
      <c r="P124" s="116">
        <v>1430949</v>
      </c>
      <c r="Q124" s="116" t="s">
        <v>2343</v>
      </c>
      <c r="R124" s="116" t="s">
        <v>2344</v>
      </c>
      <c r="S124" s="116" t="s">
        <v>2353</v>
      </c>
      <c r="T124" s="116">
        <v>569900.17</v>
      </c>
      <c r="U124" s="119"/>
      <c r="V124" s="116" t="s">
        <v>2337</v>
      </c>
      <c r="W124" s="116">
        <v>261501000000000</v>
      </c>
      <c r="X124" s="114">
        <v>46094</v>
      </c>
      <c r="Y124" s="116">
        <v>2032118</v>
      </c>
      <c r="Z124" s="116" t="s">
        <v>2981</v>
      </c>
      <c r="AA124" s="116">
        <v>-0.04</v>
      </c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22"/>
      <c r="AN124" s="116" t="s">
        <v>2391</v>
      </c>
      <c r="AO124" s="116" t="s">
        <v>2392</v>
      </c>
      <c r="AP124" s="116" t="s">
        <v>2347</v>
      </c>
    </row>
    <row r="125" spans="1:42">
      <c r="A125" s="113" t="s">
        <v>704</v>
      </c>
      <c r="B125" s="114">
        <v>46094</v>
      </c>
      <c r="C125" s="115">
        <v>0.629444444444444</v>
      </c>
      <c r="D125" s="114">
        <v>46094</v>
      </c>
      <c r="E125" s="115">
        <v>0.632546296296296</v>
      </c>
      <c r="F125" s="116" t="s">
        <v>700</v>
      </c>
      <c r="G125" s="114">
        <v>46091</v>
      </c>
      <c r="H125" s="116">
        <v>2567530237</v>
      </c>
      <c r="I125" s="119"/>
      <c r="J125" s="116" t="s">
        <v>2141</v>
      </c>
      <c r="K125" s="116" t="s">
        <v>2329</v>
      </c>
      <c r="L125" s="116" t="s">
        <v>2330</v>
      </c>
      <c r="M125" s="116" t="s">
        <v>2331</v>
      </c>
      <c r="N125" s="116" t="s">
        <v>2983</v>
      </c>
      <c r="O125" s="119"/>
      <c r="P125" s="116" t="s">
        <v>703</v>
      </c>
      <c r="Q125" s="116" t="s">
        <v>2548</v>
      </c>
      <c r="R125" s="116" t="s">
        <v>2984</v>
      </c>
      <c r="S125" s="116" t="s">
        <v>2971</v>
      </c>
      <c r="T125" s="116">
        <v>461400.41</v>
      </c>
      <c r="U125" s="116">
        <v>370000</v>
      </c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22"/>
      <c r="AN125" s="116" t="s">
        <v>2346</v>
      </c>
      <c r="AO125" s="116" t="s">
        <v>2346</v>
      </c>
      <c r="AP125" s="123"/>
    </row>
    <row r="126" spans="1:42">
      <c r="A126" s="113" t="s">
        <v>2985</v>
      </c>
      <c r="B126" s="114">
        <v>46094</v>
      </c>
      <c r="C126" s="115">
        <v>0.65625</v>
      </c>
      <c r="D126" s="114">
        <v>46094</v>
      </c>
      <c r="E126" s="115">
        <v>0.656539351851852</v>
      </c>
      <c r="F126" s="116" t="s">
        <v>2986</v>
      </c>
      <c r="G126" s="114">
        <v>46090</v>
      </c>
      <c r="H126" s="116">
        <v>2567496339</v>
      </c>
      <c r="I126" s="116" t="s">
        <v>2987</v>
      </c>
      <c r="J126" s="116" t="s">
        <v>2226</v>
      </c>
      <c r="K126" s="116" t="s">
        <v>2566</v>
      </c>
      <c r="L126" s="116" t="s">
        <v>2567</v>
      </c>
      <c r="M126" s="116" t="s">
        <v>2331</v>
      </c>
      <c r="N126" s="116" t="s">
        <v>2988</v>
      </c>
      <c r="O126" s="119"/>
      <c r="P126" s="116">
        <v>4890033</v>
      </c>
      <c r="Q126" s="116" t="s">
        <v>2405</v>
      </c>
      <c r="R126" s="116" t="s">
        <v>2376</v>
      </c>
      <c r="S126" s="116" t="s">
        <v>2989</v>
      </c>
      <c r="T126" s="116">
        <v>751899.54</v>
      </c>
      <c r="U126" s="116">
        <v>780000</v>
      </c>
      <c r="V126" s="116" t="s">
        <v>2570</v>
      </c>
      <c r="W126" s="116">
        <v>261531000000000</v>
      </c>
      <c r="X126" s="114">
        <v>46094</v>
      </c>
      <c r="Y126" s="116">
        <v>2042511</v>
      </c>
      <c r="Z126" s="116" t="s">
        <v>2987</v>
      </c>
      <c r="AA126" s="116">
        <v>-0.01</v>
      </c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22"/>
      <c r="AN126" s="116" t="s">
        <v>2346</v>
      </c>
      <c r="AO126" s="116" t="s">
        <v>2346</v>
      </c>
      <c r="AP126" s="116" t="s">
        <v>2571</v>
      </c>
    </row>
    <row r="127" spans="1:42">
      <c r="A127" s="113" t="s">
        <v>711</v>
      </c>
      <c r="B127" s="114">
        <v>46094</v>
      </c>
      <c r="C127" s="115">
        <v>0.659907407407407</v>
      </c>
      <c r="D127" s="114">
        <v>46094</v>
      </c>
      <c r="E127" s="115">
        <v>0.663356481481482</v>
      </c>
      <c r="F127" s="116" t="s">
        <v>707</v>
      </c>
      <c r="G127" s="114">
        <v>46078</v>
      </c>
      <c r="H127" s="116">
        <v>2567319592</v>
      </c>
      <c r="I127" s="116" t="s">
        <v>712</v>
      </c>
      <c r="J127" s="116" t="s">
        <v>2141</v>
      </c>
      <c r="K127" s="116" t="s">
        <v>2329</v>
      </c>
      <c r="L127" s="116" t="s">
        <v>2330</v>
      </c>
      <c r="M127" s="116" t="s">
        <v>2331</v>
      </c>
      <c r="N127" s="116" t="s">
        <v>2990</v>
      </c>
      <c r="O127" s="119"/>
      <c r="P127" s="116" t="s">
        <v>710</v>
      </c>
      <c r="Q127" s="116" t="s">
        <v>2991</v>
      </c>
      <c r="R127" s="116" t="s">
        <v>2723</v>
      </c>
      <c r="S127" s="116" t="s">
        <v>2399</v>
      </c>
      <c r="T127" s="116">
        <v>1075952.38</v>
      </c>
      <c r="U127" s="119"/>
      <c r="V127" s="116" t="s">
        <v>2337</v>
      </c>
      <c r="W127" s="116">
        <v>261501000000000</v>
      </c>
      <c r="X127" s="114">
        <v>46094</v>
      </c>
      <c r="Y127" s="116">
        <v>2038333</v>
      </c>
      <c r="Z127" s="116" t="s">
        <v>712</v>
      </c>
      <c r="AA127" s="116">
        <v>-0.04</v>
      </c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22"/>
      <c r="AN127" s="116" t="s">
        <v>2400</v>
      </c>
      <c r="AO127" s="116" t="s">
        <v>69</v>
      </c>
      <c r="AP127" s="116" t="s">
        <v>2397</v>
      </c>
    </row>
    <row r="128" spans="1:42">
      <c r="A128" s="113" t="s">
        <v>2992</v>
      </c>
      <c r="B128" s="114">
        <v>46094</v>
      </c>
      <c r="C128" s="115">
        <v>0.663009259259259</v>
      </c>
      <c r="D128" s="114">
        <v>46094</v>
      </c>
      <c r="E128" s="115">
        <v>0.663356481481482</v>
      </c>
      <c r="F128" s="116" t="s">
        <v>2993</v>
      </c>
      <c r="G128" s="114">
        <v>46088</v>
      </c>
      <c r="H128" s="116">
        <v>2567481568</v>
      </c>
      <c r="I128" s="116" t="s">
        <v>2994</v>
      </c>
      <c r="J128" s="116" t="s">
        <v>2226</v>
      </c>
      <c r="K128" s="116" t="s">
        <v>2566</v>
      </c>
      <c r="L128" s="116" t="s">
        <v>2567</v>
      </c>
      <c r="M128" s="116" t="s">
        <v>2331</v>
      </c>
      <c r="N128" s="116" t="s">
        <v>2995</v>
      </c>
      <c r="O128" s="119"/>
      <c r="P128" s="116">
        <v>4889079</v>
      </c>
      <c r="Q128" s="116" t="s">
        <v>2584</v>
      </c>
      <c r="R128" s="116" t="s">
        <v>2335</v>
      </c>
      <c r="S128" s="116" t="s">
        <v>2996</v>
      </c>
      <c r="T128" s="116">
        <v>883399.61</v>
      </c>
      <c r="U128" s="116">
        <v>699000</v>
      </c>
      <c r="V128" s="116" t="s">
        <v>2570</v>
      </c>
      <c r="W128" s="116">
        <v>261531000000000</v>
      </c>
      <c r="X128" s="114">
        <v>46094</v>
      </c>
      <c r="Y128" s="116">
        <v>2035730</v>
      </c>
      <c r="Z128" s="116" t="s">
        <v>2994</v>
      </c>
      <c r="AA128" s="116">
        <v>0.02</v>
      </c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22"/>
      <c r="AN128" s="116" t="s">
        <v>2346</v>
      </c>
      <c r="AO128" s="116" t="s">
        <v>2346</v>
      </c>
      <c r="AP128" s="116" t="s">
        <v>2571</v>
      </c>
    </row>
    <row r="129" spans="1:42">
      <c r="A129" s="113" t="s">
        <v>2997</v>
      </c>
      <c r="B129" s="114">
        <v>46094</v>
      </c>
      <c r="C129" s="115">
        <v>0.66869212962963</v>
      </c>
      <c r="D129" s="114">
        <v>46094</v>
      </c>
      <c r="E129" s="115">
        <v>0.670335648148148</v>
      </c>
      <c r="F129" s="116" t="s">
        <v>2998</v>
      </c>
      <c r="G129" s="114">
        <v>46050</v>
      </c>
      <c r="H129" s="116">
        <v>2566768968</v>
      </c>
      <c r="I129" s="116" t="s">
        <v>2999</v>
      </c>
      <c r="J129" s="116" t="s">
        <v>2222</v>
      </c>
      <c r="K129" s="116" t="s">
        <v>2357</v>
      </c>
      <c r="L129" s="116" t="s">
        <v>2358</v>
      </c>
      <c r="M129" s="116" t="s">
        <v>2331</v>
      </c>
      <c r="N129" s="116" t="s">
        <v>3000</v>
      </c>
      <c r="O129" s="119"/>
      <c r="P129" s="116">
        <v>4916502</v>
      </c>
      <c r="Q129" s="116" t="s">
        <v>2709</v>
      </c>
      <c r="R129" s="116" t="s">
        <v>2376</v>
      </c>
      <c r="S129" s="116" t="s">
        <v>2646</v>
      </c>
      <c r="T129" s="116">
        <v>532400.43</v>
      </c>
      <c r="U129" s="116">
        <v>550000</v>
      </c>
      <c r="V129" s="116" t="s">
        <v>2364</v>
      </c>
      <c r="W129" s="116">
        <v>261534000000000</v>
      </c>
      <c r="X129" s="114">
        <v>46094</v>
      </c>
      <c r="Y129" s="116">
        <v>1984286</v>
      </c>
      <c r="Z129" s="116" t="s">
        <v>2999</v>
      </c>
      <c r="AA129" s="116">
        <v>0</v>
      </c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22"/>
      <c r="AN129" s="116" t="s">
        <v>2647</v>
      </c>
      <c r="AO129" s="116" t="s">
        <v>2636</v>
      </c>
      <c r="AP129" s="116" t="s">
        <v>2367</v>
      </c>
    </row>
    <row r="130" spans="1:42">
      <c r="A130" s="113" t="s">
        <v>3001</v>
      </c>
      <c r="B130" s="114">
        <v>46094</v>
      </c>
      <c r="C130" s="115">
        <v>0.676157407407407</v>
      </c>
      <c r="D130" s="114">
        <v>46094</v>
      </c>
      <c r="E130" s="115">
        <v>0.677361111111111</v>
      </c>
      <c r="F130" s="116" t="s">
        <v>3002</v>
      </c>
      <c r="G130" s="114">
        <v>46092</v>
      </c>
      <c r="H130" s="116">
        <v>2567545969</v>
      </c>
      <c r="I130" s="116" t="s">
        <v>3003</v>
      </c>
      <c r="J130" s="116" t="s">
        <v>2222</v>
      </c>
      <c r="K130" s="116" t="s">
        <v>2357</v>
      </c>
      <c r="L130" s="116" t="s">
        <v>2358</v>
      </c>
      <c r="M130" s="116" t="s">
        <v>2331</v>
      </c>
      <c r="N130" s="116" t="s">
        <v>3004</v>
      </c>
      <c r="O130" s="119"/>
      <c r="P130" s="116">
        <v>4916542</v>
      </c>
      <c r="Q130" s="116" t="s">
        <v>2679</v>
      </c>
      <c r="R130" s="116" t="s">
        <v>2645</v>
      </c>
      <c r="S130" s="116" t="s">
        <v>3005</v>
      </c>
      <c r="T130" s="116">
        <v>473099.65</v>
      </c>
      <c r="U130" s="116">
        <v>500000</v>
      </c>
      <c r="V130" s="116" t="s">
        <v>2364</v>
      </c>
      <c r="W130" s="116">
        <v>261534000000000</v>
      </c>
      <c r="X130" s="114">
        <v>46094</v>
      </c>
      <c r="Y130" s="116">
        <v>2043772</v>
      </c>
      <c r="Z130" s="116" t="s">
        <v>3003</v>
      </c>
      <c r="AA130" s="116">
        <v>0.03</v>
      </c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22"/>
      <c r="AN130" s="116" t="s">
        <v>3006</v>
      </c>
      <c r="AO130" s="116" t="s">
        <v>2485</v>
      </c>
      <c r="AP130" s="116" t="s">
        <v>2367</v>
      </c>
    </row>
    <row r="131" spans="1:42">
      <c r="A131" s="113" t="s">
        <v>3007</v>
      </c>
      <c r="B131" s="114">
        <v>46094</v>
      </c>
      <c r="C131" s="115">
        <v>0.687881944444444</v>
      </c>
      <c r="D131" s="114">
        <v>46094</v>
      </c>
      <c r="E131" s="115">
        <v>0.69125</v>
      </c>
      <c r="F131" s="116" t="s">
        <v>641</v>
      </c>
      <c r="G131" s="114">
        <v>46091</v>
      </c>
      <c r="H131" s="116">
        <v>2567533245</v>
      </c>
      <c r="I131" s="116" t="s">
        <v>645</v>
      </c>
      <c r="J131" s="116" t="s">
        <v>2189</v>
      </c>
      <c r="K131" s="116" t="s">
        <v>2463</v>
      </c>
      <c r="L131" s="116" t="s">
        <v>2464</v>
      </c>
      <c r="M131" s="116" t="s">
        <v>2331</v>
      </c>
      <c r="N131" s="116" t="s">
        <v>3008</v>
      </c>
      <c r="O131" s="119"/>
      <c r="P131" s="116" t="s">
        <v>643</v>
      </c>
      <c r="Q131" s="116" t="s">
        <v>3009</v>
      </c>
      <c r="R131" s="116" t="s">
        <v>2376</v>
      </c>
      <c r="S131" s="116" t="s">
        <v>3010</v>
      </c>
      <c r="T131" s="116">
        <v>1680538.29</v>
      </c>
      <c r="U131" s="116">
        <v>1699700</v>
      </c>
      <c r="V131" s="116" t="s">
        <v>2469</v>
      </c>
      <c r="W131" s="116">
        <v>261517000000000</v>
      </c>
      <c r="X131" s="114">
        <v>46094</v>
      </c>
      <c r="Y131" s="116">
        <v>2043244</v>
      </c>
      <c r="Z131" s="116" t="s">
        <v>645</v>
      </c>
      <c r="AA131" s="116">
        <v>-0.06</v>
      </c>
      <c r="AB131" s="119"/>
      <c r="AC131" s="119"/>
      <c r="AD131" s="119"/>
      <c r="AE131" s="119"/>
      <c r="AF131" s="119"/>
      <c r="AG131" s="119"/>
      <c r="AH131" s="119"/>
      <c r="AI131" s="116" t="s">
        <v>3011</v>
      </c>
      <c r="AJ131" s="114">
        <v>46094</v>
      </c>
      <c r="AK131" s="116" t="s">
        <v>1679</v>
      </c>
      <c r="AL131" s="116">
        <v>261517000000000</v>
      </c>
      <c r="AM131" s="116">
        <v>261517000000000</v>
      </c>
      <c r="AN131" s="116" t="s">
        <v>3012</v>
      </c>
      <c r="AO131" s="116" t="s">
        <v>2471</v>
      </c>
      <c r="AP131" s="116" t="s">
        <v>2472</v>
      </c>
    </row>
    <row r="132" spans="1:42">
      <c r="A132" s="113" t="s">
        <v>644</v>
      </c>
      <c r="B132" s="114">
        <v>46094</v>
      </c>
      <c r="C132" s="115">
        <v>0.704652777777778</v>
      </c>
      <c r="D132" s="114">
        <v>46094</v>
      </c>
      <c r="E132" s="115">
        <v>0.705</v>
      </c>
      <c r="F132" s="116" t="s">
        <v>641</v>
      </c>
      <c r="G132" s="114">
        <v>46091</v>
      </c>
      <c r="H132" s="116">
        <v>2567533245</v>
      </c>
      <c r="I132" s="116" t="s">
        <v>645</v>
      </c>
      <c r="J132" s="116" t="s">
        <v>2189</v>
      </c>
      <c r="K132" s="116" t="s">
        <v>2463</v>
      </c>
      <c r="L132" s="116" t="s">
        <v>2464</v>
      </c>
      <c r="M132" s="116" t="s">
        <v>2331</v>
      </c>
      <c r="N132" s="116" t="s">
        <v>3008</v>
      </c>
      <c r="O132" s="119"/>
      <c r="P132" s="116" t="s">
        <v>643</v>
      </c>
      <c r="Q132" s="116" t="s">
        <v>3009</v>
      </c>
      <c r="R132" s="116" t="s">
        <v>2376</v>
      </c>
      <c r="S132" s="116" t="s">
        <v>3010</v>
      </c>
      <c r="T132" s="116">
        <v>1694824.04</v>
      </c>
      <c r="U132" s="116">
        <v>1699700</v>
      </c>
      <c r="V132" s="116" t="s">
        <v>2469</v>
      </c>
      <c r="W132" s="116">
        <v>261517000000000</v>
      </c>
      <c r="X132" s="114">
        <v>46094</v>
      </c>
      <c r="Y132" s="116">
        <v>2043244</v>
      </c>
      <c r="Z132" s="116" t="s">
        <v>645</v>
      </c>
      <c r="AA132" s="116">
        <v>14285.69</v>
      </c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22"/>
      <c r="AN132" s="116" t="s">
        <v>3012</v>
      </c>
      <c r="AO132" s="116" t="s">
        <v>2471</v>
      </c>
      <c r="AP132" s="116" t="s">
        <v>2472</v>
      </c>
    </row>
    <row r="133" spans="1:42">
      <c r="A133" s="113" t="s">
        <v>717</v>
      </c>
      <c r="B133" s="114">
        <v>46094</v>
      </c>
      <c r="C133" s="115">
        <v>0.707071759259259</v>
      </c>
      <c r="D133" s="114">
        <v>46094</v>
      </c>
      <c r="E133" s="115">
        <v>0.708553240740741</v>
      </c>
      <c r="F133" s="116" t="s">
        <v>714</v>
      </c>
      <c r="G133" s="114">
        <v>46084</v>
      </c>
      <c r="H133" s="116">
        <v>2567580598</v>
      </c>
      <c r="I133" s="116" t="s">
        <v>718</v>
      </c>
      <c r="J133" s="116" t="s">
        <v>2141</v>
      </c>
      <c r="K133" s="116" t="s">
        <v>2329</v>
      </c>
      <c r="L133" s="116" t="s">
        <v>2330</v>
      </c>
      <c r="M133" s="116" t="s">
        <v>2331</v>
      </c>
      <c r="N133" s="116" t="s">
        <v>3013</v>
      </c>
      <c r="O133" s="119"/>
      <c r="P133" s="116">
        <v>1431529</v>
      </c>
      <c r="Q133" s="116" t="s">
        <v>2343</v>
      </c>
      <c r="R133" s="116" t="s">
        <v>2344</v>
      </c>
      <c r="S133" s="116" t="s">
        <v>2399</v>
      </c>
      <c r="T133" s="116">
        <v>555900.16</v>
      </c>
      <c r="U133" s="116">
        <v>550000</v>
      </c>
      <c r="V133" s="116" t="s">
        <v>2337</v>
      </c>
      <c r="W133" s="116">
        <v>261501000000000</v>
      </c>
      <c r="X133" s="114">
        <v>46094</v>
      </c>
      <c r="Y133" s="116">
        <v>2044255</v>
      </c>
      <c r="Z133" s="116" t="s">
        <v>718</v>
      </c>
      <c r="AA133" s="116">
        <v>-0.05</v>
      </c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22"/>
      <c r="AN133" s="116" t="s">
        <v>2400</v>
      </c>
      <c r="AO133" s="116" t="s">
        <v>69</v>
      </c>
      <c r="AP133" s="116" t="s">
        <v>2397</v>
      </c>
    </row>
    <row r="134" spans="1:42">
      <c r="A134" s="113" t="s">
        <v>3014</v>
      </c>
      <c r="B134" s="114">
        <v>46094</v>
      </c>
      <c r="C134" s="115">
        <v>0.714398148148148</v>
      </c>
      <c r="D134" s="114">
        <v>46094</v>
      </c>
      <c r="E134" s="115">
        <v>0.745740740740741</v>
      </c>
      <c r="F134" s="116" t="s">
        <v>3015</v>
      </c>
      <c r="G134" s="114">
        <v>45985</v>
      </c>
      <c r="H134" s="116">
        <v>2565629529</v>
      </c>
      <c r="I134" s="119"/>
      <c r="J134" s="116" t="s">
        <v>2199</v>
      </c>
      <c r="K134" s="116" t="s">
        <v>2371</v>
      </c>
      <c r="L134" s="116" t="s">
        <v>2372</v>
      </c>
      <c r="M134" s="116" t="s">
        <v>2331</v>
      </c>
      <c r="N134" s="116" t="s">
        <v>3016</v>
      </c>
      <c r="O134" s="119"/>
      <c r="P134" s="116">
        <v>4893323</v>
      </c>
      <c r="Q134" s="116" t="s">
        <v>2702</v>
      </c>
      <c r="R134" s="116" t="s">
        <v>2376</v>
      </c>
      <c r="S134" s="116" t="s">
        <v>2866</v>
      </c>
      <c r="T134" s="116">
        <v>706899.93</v>
      </c>
      <c r="U134" s="116">
        <v>500000</v>
      </c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22"/>
      <c r="AN134" s="116" t="s">
        <v>2346</v>
      </c>
      <c r="AO134" s="116" t="s">
        <v>2346</v>
      </c>
      <c r="AP134" s="123"/>
    </row>
    <row r="135" spans="1:42">
      <c r="A135" s="113" t="s">
        <v>659</v>
      </c>
      <c r="B135" s="114">
        <v>46094</v>
      </c>
      <c r="C135" s="115">
        <v>0.718715277777778</v>
      </c>
      <c r="D135" s="114">
        <v>46094</v>
      </c>
      <c r="E135" s="115">
        <v>0.745740740740741</v>
      </c>
      <c r="F135" s="116" t="s">
        <v>655</v>
      </c>
      <c r="G135" s="114">
        <v>46084</v>
      </c>
      <c r="H135" s="116">
        <v>2567423729</v>
      </c>
      <c r="I135" s="119"/>
      <c r="J135" s="116" t="s">
        <v>2194</v>
      </c>
      <c r="K135" s="116" t="s">
        <v>3017</v>
      </c>
      <c r="L135" s="116" t="s">
        <v>3018</v>
      </c>
      <c r="M135" s="116" t="s">
        <v>2331</v>
      </c>
      <c r="N135" s="116" t="s">
        <v>3019</v>
      </c>
      <c r="O135" s="119"/>
      <c r="P135" s="116" t="s">
        <v>658</v>
      </c>
      <c r="Q135" s="116" t="s">
        <v>2343</v>
      </c>
      <c r="R135" s="116" t="s">
        <v>2344</v>
      </c>
      <c r="S135" s="116" t="s">
        <v>3020</v>
      </c>
      <c r="T135" s="116">
        <v>570900.18</v>
      </c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22"/>
      <c r="AN135" s="116" t="s">
        <v>2346</v>
      </c>
      <c r="AO135" s="116" t="s">
        <v>2346</v>
      </c>
      <c r="AP135" s="123"/>
    </row>
    <row r="136" spans="1:42">
      <c r="A136" s="113" t="s">
        <v>3021</v>
      </c>
      <c r="B136" s="114">
        <v>46094</v>
      </c>
      <c r="C136" s="115">
        <v>0.719907407407407</v>
      </c>
      <c r="D136" s="114">
        <v>46094</v>
      </c>
      <c r="E136" s="115">
        <v>0.745740740740741</v>
      </c>
      <c r="F136" s="116" t="s">
        <v>3022</v>
      </c>
      <c r="G136" s="114">
        <v>46094</v>
      </c>
      <c r="H136" s="116">
        <v>2567581530</v>
      </c>
      <c r="I136" s="119"/>
      <c r="J136" s="116" t="s">
        <v>2199</v>
      </c>
      <c r="K136" s="116" t="s">
        <v>2371</v>
      </c>
      <c r="L136" s="116" t="s">
        <v>2372</v>
      </c>
      <c r="M136" s="116" t="s">
        <v>2331</v>
      </c>
      <c r="N136" s="116" t="s">
        <v>3023</v>
      </c>
      <c r="O136" s="119"/>
      <c r="P136" s="116">
        <v>4915639</v>
      </c>
      <c r="Q136" s="116" t="s">
        <v>3024</v>
      </c>
      <c r="R136" s="116" t="s">
        <v>2376</v>
      </c>
      <c r="S136" s="116" t="s">
        <v>2926</v>
      </c>
      <c r="T136" s="116">
        <v>647933.86</v>
      </c>
      <c r="U136" s="116">
        <v>500000</v>
      </c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22"/>
      <c r="AN136" s="116" t="s">
        <v>2346</v>
      </c>
      <c r="AO136" s="116" t="s">
        <v>2346</v>
      </c>
      <c r="AP136" s="123"/>
    </row>
    <row r="137" spans="1:42">
      <c r="A137" s="113" t="s">
        <v>3025</v>
      </c>
      <c r="B137" s="114">
        <v>46094</v>
      </c>
      <c r="C137" s="115">
        <v>0.726747685185185</v>
      </c>
      <c r="D137" s="114">
        <v>46094</v>
      </c>
      <c r="E137" s="115">
        <v>0.745740740740741</v>
      </c>
      <c r="F137" s="116" t="s">
        <v>3026</v>
      </c>
      <c r="G137" s="114">
        <v>46094</v>
      </c>
      <c r="H137" s="116">
        <v>2567572734</v>
      </c>
      <c r="I137" s="119"/>
      <c r="J137" s="116" t="s">
        <v>2199</v>
      </c>
      <c r="K137" s="116" t="s">
        <v>2371</v>
      </c>
      <c r="L137" s="116" t="s">
        <v>2372</v>
      </c>
      <c r="M137" s="116" t="s">
        <v>2331</v>
      </c>
      <c r="N137" s="116" t="s">
        <v>3027</v>
      </c>
      <c r="O137" s="119"/>
      <c r="P137" s="116">
        <v>7799803</v>
      </c>
      <c r="Q137" s="116" t="s">
        <v>3028</v>
      </c>
      <c r="R137" s="116" t="s">
        <v>2335</v>
      </c>
      <c r="S137" s="116" t="s">
        <v>2979</v>
      </c>
      <c r="T137" s="116">
        <v>800000.03</v>
      </c>
      <c r="U137" s="116">
        <v>500000</v>
      </c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22"/>
      <c r="AN137" s="116" t="s">
        <v>2346</v>
      </c>
      <c r="AO137" s="116" t="s">
        <v>2346</v>
      </c>
      <c r="AP137" s="123"/>
    </row>
    <row r="138" spans="1:42">
      <c r="A138" s="113" t="s">
        <v>3029</v>
      </c>
      <c r="B138" s="114">
        <v>46094</v>
      </c>
      <c r="C138" s="115">
        <v>0.72693287037037</v>
      </c>
      <c r="D138" s="114">
        <v>46094</v>
      </c>
      <c r="E138" s="115">
        <v>0.745740740740741</v>
      </c>
      <c r="F138" s="116" t="s">
        <v>3030</v>
      </c>
      <c r="G138" s="114">
        <v>46094</v>
      </c>
      <c r="H138" s="116">
        <v>2567587856</v>
      </c>
      <c r="I138" s="116" t="s">
        <v>3031</v>
      </c>
      <c r="J138" s="116" t="s">
        <v>2226</v>
      </c>
      <c r="K138" s="116" t="s">
        <v>2566</v>
      </c>
      <c r="L138" s="116" t="s">
        <v>2567</v>
      </c>
      <c r="M138" s="116" t="s">
        <v>2331</v>
      </c>
      <c r="N138" s="116" t="s">
        <v>3032</v>
      </c>
      <c r="O138" s="119"/>
      <c r="P138" s="116">
        <v>7793784</v>
      </c>
      <c r="Q138" s="116" t="s">
        <v>2477</v>
      </c>
      <c r="R138" s="116" t="s">
        <v>2435</v>
      </c>
      <c r="S138" s="116" t="s">
        <v>3033</v>
      </c>
      <c r="T138" s="116">
        <v>793590.93</v>
      </c>
      <c r="U138" s="116">
        <v>699000</v>
      </c>
      <c r="V138" s="116" t="s">
        <v>2570</v>
      </c>
      <c r="W138" s="116">
        <v>261531000000000</v>
      </c>
      <c r="X138" s="114">
        <v>46094</v>
      </c>
      <c r="Y138" s="116">
        <v>1031003</v>
      </c>
      <c r="Z138" s="116" t="s">
        <v>3031</v>
      </c>
      <c r="AA138" s="116">
        <v>0.04</v>
      </c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22"/>
      <c r="AN138" s="116" t="s">
        <v>2346</v>
      </c>
      <c r="AO138" s="116" t="s">
        <v>2346</v>
      </c>
      <c r="AP138" s="116" t="s">
        <v>2571</v>
      </c>
    </row>
    <row r="139" spans="1:42">
      <c r="A139" s="113" t="s">
        <v>3034</v>
      </c>
      <c r="B139" s="114">
        <v>46094</v>
      </c>
      <c r="C139" s="115">
        <v>0.730150462962963</v>
      </c>
      <c r="D139" s="114">
        <v>46094</v>
      </c>
      <c r="E139" s="115">
        <v>0.745740740740741</v>
      </c>
      <c r="F139" s="116" t="s">
        <v>3035</v>
      </c>
      <c r="G139" s="114">
        <v>46087</v>
      </c>
      <c r="H139" s="116">
        <v>2567458463</v>
      </c>
      <c r="I139" s="119"/>
      <c r="J139" s="116" t="s">
        <v>2199</v>
      </c>
      <c r="K139" s="116" t="s">
        <v>2371</v>
      </c>
      <c r="L139" s="116" t="s">
        <v>2372</v>
      </c>
      <c r="M139" s="116" t="s">
        <v>2331</v>
      </c>
      <c r="N139" s="116" t="s">
        <v>3036</v>
      </c>
      <c r="O139" s="119"/>
      <c r="P139" s="116">
        <v>4892826</v>
      </c>
      <c r="Q139" s="116" t="s">
        <v>2702</v>
      </c>
      <c r="R139" s="116" t="s">
        <v>2376</v>
      </c>
      <c r="S139" s="116" t="s">
        <v>2377</v>
      </c>
      <c r="T139" s="116">
        <v>702800.03</v>
      </c>
      <c r="U139" s="116">
        <v>500000</v>
      </c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22"/>
      <c r="AN139" s="116" t="s">
        <v>2346</v>
      </c>
      <c r="AO139" s="116" t="s">
        <v>2346</v>
      </c>
      <c r="AP139" s="123"/>
    </row>
    <row r="140" spans="1:42">
      <c r="A140" s="113" t="s">
        <v>652</v>
      </c>
      <c r="B140" s="114">
        <v>46094</v>
      </c>
      <c r="C140" s="115">
        <v>0.740509259259259</v>
      </c>
      <c r="D140" s="114">
        <v>46094</v>
      </c>
      <c r="E140" s="115">
        <v>0.745740740740741</v>
      </c>
      <c r="F140" s="116" t="s">
        <v>649</v>
      </c>
      <c r="G140" s="114">
        <v>46091</v>
      </c>
      <c r="H140" s="116">
        <v>2567528747</v>
      </c>
      <c r="I140" s="119"/>
      <c r="J140" s="116" t="s">
        <v>2157</v>
      </c>
      <c r="K140" s="116" t="s">
        <v>2534</v>
      </c>
      <c r="L140" s="116" t="s">
        <v>2535</v>
      </c>
      <c r="M140" s="116" t="s">
        <v>2331</v>
      </c>
      <c r="N140" s="116" t="s">
        <v>3037</v>
      </c>
      <c r="O140" s="119"/>
      <c r="P140" s="116">
        <v>9259013</v>
      </c>
      <c r="Q140" s="116" t="s">
        <v>2500</v>
      </c>
      <c r="R140" s="116" t="s">
        <v>2458</v>
      </c>
      <c r="S140" s="116" t="s">
        <v>3038</v>
      </c>
      <c r="T140" s="116">
        <v>598800.5</v>
      </c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22"/>
      <c r="AN140" s="116" t="s">
        <v>2346</v>
      </c>
      <c r="AO140" s="116" t="s">
        <v>2346</v>
      </c>
      <c r="AP140" s="123"/>
    </row>
    <row r="141" spans="1:42">
      <c r="A141" s="113" t="s">
        <v>722</v>
      </c>
      <c r="B141" s="114">
        <v>46094</v>
      </c>
      <c r="C141" s="115">
        <v>0.741006944444444</v>
      </c>
      <c r="D141" s="114">
        <v>46094</v>
      </c>
      <c r="E141" s="115">
        <v>0.745740740740741</v>
      </c>
      <c r="F141" s="116" t="s">
        <v>719</v>
      </c>
      <c r="G141" s="114">
        <v>46093</v>
      </c>
      <c r="H141" s="116">
        <v>2567570592</v>
      </c>
      <c r="I141" s="119"/>
      <c r="J141" s="116" t="s">
        <v>2141</v>
      </c>
      <c r="K141" s="116" t="s">
        <v>2329</v>
      </c>
      <c r="L141" s="116" t="s">
        <v>2330</v>
      </c>
      <c r="M141" s="116" t="s">
        <v>2331</v>
      </c>
      <c r="N141" s="116" t="s">
        <v>3039</v>
      </c>
      <c r="O141" s="119"/>
      <c r="P141" s="116">
        <v>1430855</v>
      </c>
      <c r="Q141" s="116" t="s">
        <v>2343</v>
      </c>
      <c r="R141" s="116" t="s">
        <v>2344</v>
      </c>
      <c r="S141" s="116" t="s">
        <v>2387</v>
      </c>
      <c r="T141" s="116">
        <v>569900.17</v>
      </c>
      <c r="U141" s="116">
        <v>540000</v>
      </c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22"/>
      <c r="AN141" s="116" t="s">
        <v>2346</v>
      </c>
      <c r="AO141" s="116" t="s">
        <v>2346</v>
      </c>
      <c r="AP141" s="123"/>
    </row>
    <row r="142" spans="1:42">
      <c r="A142" s="113" t="s">
        <v>3040</v>
      </c>
      <c r="B142" s="114">
        <v>46094</v>
      </c>
      <c r="C142" s="115">
        <v>0.744618055555556</v>
      </c>
      <c r="D142" s="114">
        <v>46094</v>
      </c>
      <c r="E142" s="115">
        <v>0.745740740740741</v>
      </c>
      <c r="F142" s="116" t="s">
        <v>3041</v>
      </c>
      <c r="G142" s="114">
        <v>46093</v>
      </c>
      <c r="H142" s="116">
        <v>2567558835</v>
      </c>
      <c r="I142" s="116" t="s">
        <v>3042</v>
      </c>
      <c r="J142" s="116" t="s">
        <v>2213</v>
      </c>
      <c r="K142" s="116" t="s">
        <v>2454</v>
      </c>
      <c r="L142" s="116" t="s">
        <v>2455</v>
      </c>
      <c r="M142" s="116" t="s">
        <v>2331</v>
      </c>
      <c r="N142" s="116" t="s">
        <v>3043</v>
      </c>
      <c r="O142" s="119"/>
      <c r="P142" s="116" t="s">
        <v>3044</v>
      </c>
      <c r="Q142" s="116" t="s">
        <v>3045</v>
      </c>
      <c r="R142" s="116" t="s">
        <v>3046</v>
      </c>
      <c r="S142" s="116" t="s">
        <v>2658</v>
      </c>
      <c r="T142" s="116">
        <v>1297893.38</v>
      </c>
      <c r="U142" s="119"/>
      <c r="V142" s="116" t="s">
        <v>2460</v>
      </c>
      <c r="W142" s="116">
        <v>261532000000000</v>
      </c>
      <c r="X142" s="114">
        <v>46094</v>
      </c>
      <c r="Y142" s="116">
        <v>2043929</v>
      </c>
      <c r="Z142" s="116" t="s">
        <v>3042</v>
      </c>
      <c r="AA142" s="116">
        <v>14285.74</v>
      </c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22"/>
      <c r="AN142" s="116" t="s">
        <v>2346</v>
      </c>
      <c r="AO142" s="116" t="s">
        <v>2346</v>
      </c>
      <c r="AP142" s="116" t="s">
        <v>2659</v>
      </c>
    </row>
    <row r="143" spans="1:42">
      <c r="A143" s="113" t="s">
        <v>3047</v>
      </c>
      <c r="B143" s="114">
        <v>46094</v>
      </c>
      <c r="C143" s="115">
        <v>0.758298611111111</v>
      </c>
      <c r="D143" s="114">
        <v>46094</v>
      </c>
      <c r="E143" s="115">
        <v>0.761782407407407</v>
      </c>
      <c r="F143" s="116" t="s">
        <v>3048</v>
      </c>
      <c r="G143" s="114">
        <v>46075</v>
      </c>
      <c r="H143" s="116">
        <v>2567269356</v>
      </c>
      <c r="I143" s="116" t="s">
        <v>3049</v>
      </c>
      <c r="J143" s="116" t="s">
        <v>2226</v>
      </c>
      <c r="K143" s="116" t="s">
        <v>2566</v>
      </c>
      <c r="L143" s="116" t="s">
        <v>2567</v>
      </c>
      <c r="M143" s="116" t="s">
        <v>2331</v>
      </c>
      <c r="N143" s="116" t="s">
        <v>3050</v>
      </c>
      <c r="O143" s="119"/>
      <c r="P143" s="116" t="s">
        <v>3051</v>
      </c>
      <c r="Q143" s="116" t="s">
        <v>2361</v>
      </c>
      <c r="R143" s="116" t="s">
        <v>2435</v>
      </c>
      <c r="S143" s="116" t="s">
        <v>2996</v>
      </c>
      <c r="T143" s="116">
        <v>1998789.67</v>
      </c>
      <c r="U143" s="116">
        <v>1600000</v>
      </c>
      <c r="V143" s="116" t="s">
        <v>2570</v>
      </c>
      <c r="W143" s="116">
        <v>261531000000000</v>
      </c>
      <c r="X143" s="114">
        <v>46094</v>
      </c>
      <c r="Y143" s="116">
        <v>1770479</v>
      </c>
      <c r="Z143" s="116" t="s">
        <v>3049</v>
      </c>
      <c r="AA143" s="116">
        <v>114028.04</v>
      </c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22"/>
      <c r="AN143" s="116" t="s">
        <v>2346</v>
      </c>
      <c r="AO143" s="116" t="s">
        <v>2346</v>
      </c>
      <c r="AP143" s="116" t="s">
        <v>2571</v>
      </c>
    </row>
    <row r="144" spans="1:42">
      <c r="A144" s="113" t="s">
        <v>3052</v>
      </c>
      <c r="B144" s="114">
        <v>46094</v>
      </c>
      <c r="C144" s="115">
        <v>0.77255787037037</v>
      </c>
      <c r="D144" s="114">
        <v>46094</v>
      </c>
      <c r="E144" s="115">
        <v>0.775578703703704</v>
      </c>
      <c r="F144" s="116" t="s">
        <v>3053</v>
      </c>
      <c r="G144" s="114">
        <v>46088</v>
      </c>
      <c r="H144" s="116">
        <v>2567479470</v>
      </c>
      <c r="I144" s="116" t="s">
        <v>3054</v>
      </c>
      <c r="J144" s="116" t="s">
        <v>3055</v>
      </c>
      <c r="K144" s="116" t="s">
        <v>3056</v>
      </c>
      <c r="L144" s="116" t="s">
        <v>3057</v>
      </c>
      <c r="M144" s="116" t="s">
        <v>2331</v>
      </c>
      <c r="N144" s="116" t="s">
        <v>3058</v>
      </c>
      <c r="O144" s="119"/>
      <c r="P144" s="116" t="s">
        <v>3059</v>
      </c>
      <c r="Q144" s="116" t="s">
        <v>2361</v>
      </c>
      <c r="R144" s="116" t="s">
        <v>2376</v>
      </c>
      <c r="S144" s="116" t="s">
        <v>3060</v>
      </c>
      <c r="T144" s="116">
        <v>1994749.59</v>
      </c>
      <c r="U144" s="119"/>
      <c r="V144" s="116" t="s">
        <v>3061</v>
      </c>
      <c r="W144" s="116">
        <v>261538000000000</v>
      </c>
      <c r="X144" s="114">
        <v>46095</v>
      </c>
      <c r="Y144" s="116">
        <v>2042050</v>
      </c>
      <c r="Z144" s="116" t="s">
        <v>3054</v>
      </c>
      <c r="AA144" s="116">
        <v>113797.48</v>
      </c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22"/>
      <c r="AN144" s="116" t="s">
        <v>2346</v>
      </c>
      <c r="AO144" s="116" t="s">
        <v>2346</v>
      </c>
      <c r="AP144" s="116" t="s">
        <v>2557</v>
      </c>
    </row>
    <row r="145" spans="1:42">
      <c r="A145" s="109" t="s">
        <v>747</v>
      </c>
      <c r="B145" s="110">
        <v>46095</v>
      </c>
      <c r="C145" s="111">
        <v>0.511747685185185</v>
      </c>
      <c r="D145" s="110">
        <v>46095</v>
      </c>
      <c r="E145" s="111">
        <v>0.515150462962963</v>
      </c>
      <c r="F145" s="112" t="s">
        <v>744</v>
      </c>
      <c r="G145" s="110">
        <v>46093</v>
      </c>
      <c r="H145" s="112">
        <v>2567569469</v>
      </c>
      <c r="I145" s="118"/>
      <c r="J145" s="112" t="s">
        <v>2141</v>
      </c>
      <c r="K145" s="112" t="s">
        <v>2329</v>
      </c>
      <c r="L145" s="112" t="s">
        <v>2330</v>
      </c>
      <c r="M145" s="112" t="s">
        <v>2331</v>
      </c>
      <c r="N145" s="112" t="s">
        <v>3062</v>
      </c>
      <c r="O145" s="118"/>
      <c r="P145" s="112" t="s">
        <v>746</v>
      </c>
      <c r="Q145" s="112" t="s">
        <v>2559</v>
      </c>
      <c r="R145" s="112" t="s">
        <v>2335</v>
      </c>
      <c r="S145" s="112" t="s">
        <v>2353</v>
      </c>
      <c r="T145" s="112">
        <v>699799.44</v>
      </c>
      <c r="U145" s="112">
        <v>700000</v>
      </c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21"/>
      <c r="AN145" s="112" t="s">
        <v>2346</v>
      </c>
      <c r="AO145" s="112" t="s">
        <v>2346</v>
      </c>
      <c r="AP145" s="124"/>
    </row>
    <row r="146" spans="1:42">
      <c r="A146" s="113" t="s">
        <v>3063</v>
      </c>
      <c r="B146" s="114">
        <v>46095</v>
      </c>
      <c r="C146" s="115">
        <v>0.53087962962963</v>
      </c>
      <c r="D146" s="114">
        <v>46095</v>
      </c>
      <c r="E146" s="115">
        <v>0.532523148148148</v>
      </c>
      <c r="F146" s="116" t="s">
        <v>3064</v>
      </c>
      <c r="G146" s="114">
        <v>46072</v>
      </c>
      <c r="H146" s="116">
        <v>2567232456</v>
      </c>
      <c r="I146" s="116" t="s">
        <v>3065</v>
      </c>
      <c r="J146" s="116" t="s">
        <v>2199</v>
      </c>
      <c r="K146" s="116" t="s">
        <v>2371</v>
      </c>
      <c r="L146" s="116" t="s">
        <v>2372</v>
      </c>
      <c r="M146" s="116" t="s">
        <v>2331</v>
      </c>
      <c r="N146" s="116" t="s">
        <v>3066</v>
      </c>
      <c r="O146" s="119"/>
      <c r="P146" s="116" t="s">
        <v>3067</v>
      </c>
      <c r="Q146" s="116" t="s">
        <v>3068</v>
      </c>
      <c r="R146" s="116" t="s">
        <v>2335</v>
      </c>
      <c r="S146" s="116" t="s">
        <v>2449</v>
      </c>
      <c r="T146" s="116">
        <v>1766489.67</v>
      </c>
      <c r="U146" s="116">
        <v>500000</v>
      </c>
      <c r="V146" s="116" t="s">
        <v>2378</v>
      </c>
      <c r="W146" s="116">
        <v>261502000000000</v>
      </c>
      <c r="X146" s="114">
        <v>46095</v>
      </c>
      <c r="Y146" s="116">
        <v>2034022</v>
      </c>
      <c r="Z146" s="116" t="s">
        <v>3065</v>
      </c>
      <c r="AA146" s="116">
        <v>100775.67</v>
      </c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22"/>
      <c r="AN146" s="116" t="s">
        <v>2450</v>
      </c>
      <c r="AO146" s="116" t="s">
        <v>2443</v>
      </c>
      <c r="AP146" s="116" t="s">
        <v>2340</v>
      </c>
    </row>
    <row r="147" spans="1:42">
      <c r="A147" s="113" t="s">
        <v>740</v>
      </c>
      <c r="B147" s="114">
        <v>46095</v>
      </c>
      <c r="C147" s="115">
        <v>0.553321759259259</v>
      </c>
      <c r="D147" s="114">
        <v>46095</v>
      </c>
      <c r="E147" s="115">
        <v>0.5571875</v>
      </c>
      <c r="F147" s="116" t="s">
        <v>737</v>
      </c>
      <c r="G147" s="114">
        <v>46085</v>
      </c>
      <c r="H147" s="116">
        <v>2567431225</v>
      </c>
      <c r="I147" s="116" t="s">
        <v>741</v>
      </c>
      <c r="J147" s="116" t="s">
        <v>2145</v>
      </c>
      <c r="K147" s="116" t="s">
        <v>2945</v>
      </c>
      <c r="L147" s="116" t="s">
        <v>2946</v>
      </c>
      <c r="M147" s="116" t="s">
        <v>2331</v>
      </c>
      <c r="N147" s="116" t="s">
        <v>3069</v>
      </c>
      <c r="O147" s="119"/>
      <c r="P147" s="116">
        <v>9256911</v>
      </c>
      <c r="Q147" s="116" t="s">
        <v>3070</v>
      </c>
      <c r="R147" s="116" t="s">
        <v>2467</v>
      </c>
      <c r="S147" s="116" t="s">
        <v>2948</v>
      </c>
      <c r="T147" s="116">
        <v>568399.9</v>
      </c>
      <c r="U147" s="116">
        <v>595000</v>
      </c>
      <c r="V147" s="116" t="s">
        <v>2949</v>
      </c>
      <c r="W147" s="116">
        <v>261513000000000</v>
      </c>
      <c r="X147" s="114">
        <v>46095</v>
      </c>
      <c r="Y147" s="116">
        <v>2040886</v>
      </c>
      <c r="Z147" s="116" t="s">
        <v>741</v>
      </c>
      <c r="AA147" s="116">
        <v>-0.01</v>
      </c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22"/>
      <c r="AN147" s="116" t="s">
        <v>2909</v>
      </c>
      <c r="AO147" s="116" t="s">
        <v>2346</v>
      </c>
      <c r="AP147" s="116" t="s">
        <v>2686</v>
      </c>
    </row>
    <row r="148" spans="1:42">
      <c r="A148" s="113" t="s">
        <v>3071</v>
      </c>
      <c r="B148" s="114">
        <v>46095</v>
      </c>
      <c r="C148" s="115">
        <v>0.588842592592593</v>
      </c>
      <c r="D148" s="114">
        <v>46095</v>
      </c>
      <c r="E148" s="115">
        <v>0.59162037037037</v>
      </c>
      <c r="F148" s="116" t="s">
        <v>3072</v>
      </c>
      <c r="G148" s="114">
        <v>46094</v>
      </c>
      <c r="H148" s="116">
        <v>2567569772</v>
      </c>
      <c r="I148" s="116" t="s">
        <v>3073</v>
      </c>
      <c r="J148" s="116" t="s">
        <v>2199</v>
      </c>
      <c r="K148" s="116" t="s">
        <v>2371</v>
      </c>
      <c r="L148" s="116" t="s">
        <v>2372</v>
      </c>
      <c r="M148" s="116" t="s">
        <v>2331</v>
      </c>
      <c r="N148" s="116" t="s">
        <v>3074</v>
      </c>
      <c r="O148" s="119"/>
      <c r="P148" s="116">
        <v>4887726</v>
      </c>
      <c r="Q148" s="116" t="s">
        <v>2405</v>
      </c>
      <c r="R148" s="116" t="s">
        <v>2376</v>
      </c>
      <c r="S148" s="116" t="s">
        <v>2426</v>
      </c>
      <c r="T148" s="116">
        <v>749899.57</v>
      </c>
      <c r="U148" s="116">
        <v>500000</v>
      </c>
      <c r="V148" s="116" t="s">
        <v>2378</v>
      </c>
      <c r="W148" s="116">
        <v>261502000000000</v>
      </c>
      <c r="X148" s="114">
        <v>46095</v>
      </c>
      <c r="Y148" s="116">
        <v>2044079</v>
      </c>
      <c r="Z148" s="116" t="s">
        <v>3073</v>
      </c>
      <c r="AA148" s="116">
        <v>0.02</v>
      </c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22"/>
      <c r="AN148" s="116" t="s">
        <v>3075</v>
      </c>
      <c r="AO148" s="116" t="s">
        <v>2380</v>
      </c>
      <c r="AP148" s="116" t="s">
        <v>2340</v>
      </c>
    </row>
    <row r="149" spans="1:42">
      <c r="A149" s="113" t="s">
        <v>3076</v>
      </c>
      <c r="B149" s="114">
        <v>46095</v>
      </c>
      <c r="C149" s="115">
        <v>0.604537037037037</v>
      </c>
      <c r="D149" s="114">
        <v>46095</v>
      </c>
      <c r="E149" s="115">
        <v>0.605486111111111</v>
      </c>
      <c r="F149" s="116" t="s">
        <v>3077</v>
      </c>
      <c r="G149" s="114">
        <v>46093</v>
      </c>
      <c r="H149" s="116">
        <v>2567561538</v>
      </c>
      <c r="I149" s="116" t="s">
        <v>3078</v>
      </c>
      <c r="J149" s="116" t="s">
        <v>2199</v>
      </c>
      <c r="K149" s="116" t="s">
        <v>2371</v>
      </c>
      <c r="L149" s="116" t="s">
        <v>2372</v>
      </c>
      <c r="M149" s="116" t="s">
        <v>2331</v>
      </c>
      <c r="N149" s="116" t="s">
        <v>3079</v>
      </c>
      <c r="O149" s="119"/>
      <c r="P149" s="116">
        <v>7922133</v>
      </c>
      <c r="Q149" s="116" t="s">
        <v>3080</v>
      </c>
      <c r="R149" s="116" t="s">
        <v>3081</v>
      </c>
      <c r="S149" s="116" t="s">
        <v>3082</v>
      </c>
      <c r="T149" s="116">
        <v>1130896.96</v>
      </c>
      <c r="U149" s="116">
        <v>500000</v>
      </c>
      <c r="V149" s="116" t="s">
        <v>2378</v>
      </c>
      <c r="W149" s="116">
        <v>261502000000000</v>
      </c>
      <c r="X149" s="114">
        <v>46095</v>
      </c>
      <c r="Y149" s="116">
        <v>1973312</v>
      </c>
      <c r="Z149" s="116" t="s">
        <v>3078</v>
      </c>
      <c r="AA149" s="116">
        <v>-0.07</v>
      </c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22"/>
      <c r="AN149" s="116" t="s">
        <v>3083</v>
      </c>
      <c r="AO149" s="116" t="s">
        <v>2845</v>
      </c>
      <c r="AP149" s="116" t="s">
        <v>2340</v>
      </c>
    </row>
    <row r="150" spans="1:42">
      <c r="A150" s="113" t="s">
        <v>3084</v>
      </c>
      <c r="B150" s="114">
        <v>46095</v>
      </c>
      <c r="C150" s="115">
        <v>0.607303240740741</v>
      </c>
      <c r="D150" s="114">
        <v>46095</v>
      </c>
      <c r="E150" s="115">
        <v>0.609039351851852</v>
      </c>
      <c r="F150" s="116" t="s">
        <v>3085</v>
      </c>
      <c r="G150" s="114">
        <v>46052</v>
      </c>
      <c r="H150" s="116">
        <v>2566883656</v>
      </c>
      <c r="I150" s="116" t="s">
        <v>3086</v>
      </c>
      <c r="J150" s="116" t="s">
        <v>2199</v>
      </c>
      <c r="K150" s="116" t="s">
        <v>2371</v>
      </c>
      <c r="L150" s="116" t="s">
        <v>2372</v>
      </c>
      <c r="M150" s="116" t="s">
        <v>2331</v>
      </c>
      <c r="N150" s="116" t="s">
        <v>3087</v>
      </c>
      <c r="O150" s="119"/>
      <c r="P150" s="116">
        <v>4885767</v>
      </c>
      <c r="Q150" s="116" t="s">
        <v>2529</v>
      </c>
      <c r="R150" s="116" t="s">
        <v>2585</v>
      </c>
      <c r="S150" s="116" t="s">
        <v>2491</v>
      </c>
      <c r="T150" s="116">
        <v>789399.86</v>
      </c>
      <c r="U150" s="116">
        <v>500000</v>
      </c>
      <c r="V150" s="116" t="s">
        <v>2378</v>
      </c>
      <c r="W150" s="116">
        <v>261502000000000</v>
      </c>
      <c r="X150" s="114">
        <v>46095</v>
      </c>
      <c r="Y150" s="116">
        <v>2027227</v>
      </c>
      <c r="Z150" s="116" t="s">
        <v>3086</v>
      </c>
      <c r="AA150" s="116">
        <v>0.04</v>
      </c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22"/>
      <c r="AN150" s="116" t="s">
        <v>2671</v>
      </c>
      <c r="AO150" s="116" t="s">
        <v>2561</v>
      </c>
      <c r="AP150" s="116" t="s">
        <v>2562</v>
      </c>
    </row>
    <row r="151" spans="1:42">
      <c r="A151" s="113" t="s">
        <v>3088</v>
      </c>
      <c r="B151" s="114">
        <v>46095</v>
      </c>
      <c r="C151" s="115">
        <v>0.61224537037037</v>
      </c>
      <c r="D151" s="114">
        <v>46095</v>
      </c>
      <c r="E151" s="115">
        <v>0.612476851851852</v>
      </c>
      <c r="F151" s="116" t="s">
        <v>3089</v>
      </c>
      <c r="G151" s="114">
        <v>46092</v>
      </c>
      <c r="H151" s="116">
        <v>2567537672</v>
      </c>
      <c r="I151" s="116" t="s">
        <v>3090</v>
      </c>
      <c r="J151" s="116" t="s">
        <v>2199</v>
      </c>
      <c r="K151" s="116" t="s">
        <v>2371</v>
      </c>
      <c r="L151" s="116" t="s">
        <v>2372</v>
      </c>
      <c r="M151" s="116" t="s">
        <v>2331</v>
      </c>
      <c r="N151" s="116" t="s">
        <v>3091</v>
      </c>
      <c r="O151" s="119"/>
      <c r="P151" s="116">
        <v>4915319</v>
      </c>
      <c r="Q151" s="116" t="s">
        <v>2709</v>
      </c>
      <c r="R151" s="116" t="s">
        <v>2435</v>
      </c>
      <c r="S151" s="116" t="s">
        <v>3092</v>
      </c>
      <c r="T151" s="116">
        <v>559500.38</v>
      </c>
      <c r="U151" s="116">
        <v>500000</v>
      </c>
      <c r="V151" s="116" t="s">
        <v>2378</v>
      </c>
      <c r="W151" s="116">
        <v>261502000000000</v>
      </c>
      <c r="X151" s="114">
        <v>46095</v>
      </c>
      <c r="Y151" s="116">
        <v>2043383</v>
      </c>
      <c r="Z151" s="116" t="s">
        <v>3090</v>
      </c>
      <c r="AA151" s="116">
        <v>-0.01</v>
      </c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22"/>
      <c r="AN151" s="116" t="s">
        <v>3093</v>
      </c>
      <c r="AO151" s="116" t="s">
        <v>2443</v>
      </c>
      <c r="AP151" s="116" t="s">
        <v>2340</v>
      </c>
    </row>
    <row r="152" spans="1:42">
      <c r="A152" s="113" t="s">
        <v>769</v>
      </c>
      <c r="B152" s="114">
        <v>46095</v>
      </c>
      <c r="C152" s="115">
        <v>0.619884259259259</v>
      </c>
      <c r="D152" s="114">
        <v>46095</v>
      </c>
      <c r="E152" s="115">
        <v>0.622928240740741</v>
      </c>
      <c r="F152" s="116" t="s">
        <v>766</v>
      </c>
      <c r="G152" s="114">
        <v>46083</v>
      </c>
      <c r="H152" s="116">
        <v>2567412643</v>
      </c>
      <c r="I152" s="116" t="s">
        <v>3094</v>
      </c>
      <c r="J152" s="116" t="s">
        <v>2168</v>
      </c>
      <c r="K152" s="116" t="s">
        <v>2760</v>
      </c>
      <c r="L152" s="116" t="s">
        <v>2761</v>
      </c>
      <c r="M152" s="116" t="s">
        <v>2331</v>
      </c>
      <c r="N152" s="116" t="s">
        <v>3095</v>
      </c>
      <c r="O152" s="119"/>
      <c r="P152" s="116" t="s">
        <v>768</v>
      </c>
      <c r="Q152" s="116" t="s">
        <v>2797</v>
      </c>
      <c r="R152" s="116" t="s">
        <v>2723</v>
      </c>
      <c r="S152" s="116" t="s">
        <v>3096</v>
      </c>
      <c r="T152" s="116">
        <v>1019136.28</v>
      </c>
      <c r="U152" s="119"/>
      <c r="V152" s="116" t="s">
        <v>2766</v>
      </c>
      <c r="W152" s="116">
        <v>261518000000000</v>
      </c>
      <c r="X152" s="114">
        <v>46095</v>
      </c>
      <c r="Y152" s="116">
        <v>2040230</v>
      </c>
      <c r="Z152" s="116" t="s">
        <v>3094</v>
      </c>
      <c r="AA152" s="116">
        <v>14285.74</v>
      </c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22"/>
      <c r="AN152" s="116" t="s">
        <v>3097</v>
      </c>
      <c r="AO152" s="116" t="s">
        <v>2768</v>
      </c>
      <c r="AP152" s="116" t="s">
        <v>2769</v>
      </c>
    </row>
    <row r="153" spans="1:42">
      <c r="A153" s="113" t="s">
        <v>774</v>
      </c>
      <c r="B153" s="114">
        <v>46095</v>
      </c>
      <c r="C153" s="115">
        <v>0.656990740740741</v>
      </c>
      <c r="D153" s="114">
        <v>46095</v>
      </c>
      <c r="E153" s="115">
        <v>0.657534722222222</v>
      </c>
      <c r="F153" s="116" t="s">
        <v>771</v>
      </c>
      <c r="G153" s="114">
        <v>46088</v>
      </c>
      <c r="H153" s="116">
        <v>2567474135</v>
      </c>
      <c r="I153" s="116" t="s">
        <v>775</v>
      </c>
      <c r="J153" s="116" t="s">
        <v>2168</v>
      </c>
      <c r="K153" s="116" t="s">
        <v>2760</v>
      </c>
      <c r="L153" s="116" t="s">
        <v>2761</v>
      </c>
      <c r="M153" s="116" t="s">
        <v>2331</v>
      </c>
      <c r="N153" s="116" t="s">
        <v>3098</v>
      </c>
      <c r="O153" s="119"/>
      <c r="P153" s="116">
        <v>9258855</v>
      </c>
      <c r="Q153" s="116" t="s">
        <v>3070</v>
      </c>
      <c r="R153" s="116" t="s">
        <v>2344</v>
      </c>
      <c r="S153" s="116" t="s">
        <v>3096</v>
      </c>
      <c r="T153" s="116">
        <v>555900.02</v>
      </c>
      <c r="U153" s="116">
        <v>50000</v>
      </c>
      <c r="V153" s="116" t="s">
        <v>2766</v>
      </c>
      <c r="W153" s="116">
        <v>261518000000000</v>
      </c>
      <c r="X153" s="114">
        <v>46095</v>
      </c>
      <c r="Y153" s="116">
        <v>2041956</v>
      </c>
      <c r="Z153" s="116" t="s">
        <v>775</v>
      </c>
      <c r="AA153" s="116">
        <v>0.02</v>
      </c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22"/>
      <c r="AN153" s="116" t="s">
        <v>3097</v>
      </c>
      <c r="AO153" s="116" t="s">
        <v>2768</v>
      </c>
      <c r="AP153" s="116" t="s">
        <v>2769</v>
      </c>
    </row>
    <row r="154" spans="1:42">
      <c r="A154" s="113" t="s">
        <v>3099</v>
      </c>
      <c r="B154" s="114">
        <v>46095</v>
      </c>
      <c r="C154" s="115">
        <v>0.666689814814815</v>
      </c>
      <c r="D154" s="114">
        <v>46095</v>
      </c>
      <c r="E154" s="115">
        <v>0.668020833333333</v>
      </c>
      <c r="F154" s="116" t="s">
        <v>3100</v>
      </c>
      <c r="G154" s="114">
        <v>46053</v>
      </c>
      <c r="H154" s="116">
        <v>2566916072</v>
      </c>
      <c r="I154" s="116" t="s">
        <v>3101</v>
      </c>
      <c r="J154" s="116" t="s">
        <v>2222</v>
      </c>
      <c r="K154" s="116" t="s">
        <v>2357</v>
      </c>
      <c r="L154" s="116" t="s">
        <v>2358</v>
      </c>
      <c r="M154" s="116" t="s">
        <v>2331</v>
      </c>
      <c r="N154" s="116" t="s">
        <v>3102</v>
      </c>
      <c r="O154" s="119"/>
      <c r="P154" s="116">
        <v>4891841</v>
      </c>
      <c r="Q154" s="116" t="s">
        <v>2759</v>
      </c>
      <c r="R154" s="116" t="s">
        <v>2435</v>
      </c>
      <c r="S154" s="116" t="s">
        <v>2646</v>
      </c>
      <c r="T154" s="116">
        <v>577399.99</v>
      </c>
      <c r="U154" s="116">
        <v>600000</v>
      </c>
      <c r="V154" s="116" t="s">
        <v>2364</v>
      </c>
      <c r="W154" s="116">
        <v>261534000000000</v>
      </c>
      <c r="X154" s="114">
        <v>46095</v>
      </c>
      <c r="Y154" s="116">
        <v>2028706</v>
      </c>
      <c r="Z154" s="116" t="s">
        <v>3101</v>
      </c>
      <c r="AA154" s="116">
        <v>0.01</v>
      </c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22"/>
      <c r="AN154" s="116" t="s">
        <v>2647</v>
      </c>
      <c r="AO154" s="116" t="s">
        <v>2636</v>
      </c>
      <c r="AP154" s="116" t="s">
        <v>2367</v>
      </c>
    </row>
    <row r="155" spans="1:42">
      <c r="A155" s="113" t="s">
        <v>727</v>
      </c>
      <c r="B155" s="114">
        <v>46095</v>
      </c>
      <c r="C155" s="115">
        <v>0.677118055555556</v>
      </c>
      <c r="D155" s="114">
        <v>46095</v>
      </c>
      <c r="E155" s="115">
        <v>0.678564814814815</v>
      </c>
      <c r="F155" s="116" t="s">
        <v>724</v>
      </c>
      <c r="G155" s="114">
        <v>46051</v>
      </c>
      <c r="H155" s="116">
        <v>2566855716</v>
      </c>
      <c r="I155" s="116" t="s">
        <v>728</v>
      </c>
      <c r="J155" s="116" t="s">
        <v>2189</v>
      </c>
      <c r="K155" s="116" t="s">
        <v>2463</v>
      </c>
      <c r="L155" s="116" t="s">
        <v>2464</v>
      </c>
      <c r="M155" s="116" t="s">
        <v>2331</v>
      </c>
      <c r="N155" s="116" t="s">
        <v>3103</v>
      </c>
      <c r="O155" s="119"/>
      <c r="P155" s="116">
        <v>7934281</v>
      </c>
      <c r="Q155" s="116" t="s">
        <v>3104</v>
      </c>
      <c r="R155" s="116" t="s">
        <v>2335</v>
      </c>
      <c r="S155" s="116" t="s">
        <v>3105</v>
      </c>
      <c r="T155" s="116">
        <v>973900.02</v>
      </c>
      <c r="U155" s="116">
        <v>785000</v>
      </c>
      <c r="V155" s="116" t="s">
        <v>2469</v>
      </c>
      <c r="W155" s="116">
        <v>261517000000000</v>
      </c>
      <c r="X155" s="114">
        <v>46095</v>
      </c>
      <c r="Y155" s="116">
        <v>2026800</v>
      </c>
      <c r="Z155" s="116" t="s">
        <v>728</v>
      </c>
      <c r="AA155" s="116">
        <v>0</v>
      </c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22"/>
      <c r="AN155" s="116" t="s">
        <v>2736</v>
      </c>
      <c r="AO155" s="116" t="s">
        <v>2471</v>
      </c>
      <c r="AP155" s="116" t="s">
        <v>2472</v>
      </c>
    </row>
    <row r="156" spans="1:42">
      <c r="A156" s="113" t="s">
        <v>3106</v>
      </c>
      <c r="B156" s="114">
        <v>46095</v>
      </c>
      <c r="C156" s="115">
        <v>0.697916666666667</v>
      </c>
      <c r="D156" s="114">
        <v>46095</v>
      </c>
      <c r="E156" s="115">
        <v>0.699351851851852</v>
      </c>
      <c r="F156" s="116" t="s">
        <v>3107</v>
      </c>
      <c r="G156" s="114">
        <v>46028</v>
      </c>
      <c r="H156" s="116">
        <v>2566470577</v>
      </c>
      <c r="I156" s="116" t="s">
        <v>3108</v>
      </c>
      <c r="J156" s="116" t="s">
        <v>2199</v>
      </c>
      <c r="K156" s="116" t="s">
        <v>2371</v>
      </c>
      <c r="L156" s="116" t="s">
        <v>2372</v>
      </c>
      <c r="M156" s="116" t="s">
        <v>2331</v>
      </c>
      <c r="N156" s="116" t="s">
        <v>3109</v>
      </c>
      <c r="O156" s="119"/>
      <c r="P156" s="116">
        <v>4893353</v>
      </c>
      <c r="Q156" s="116" t="s">
        <v>2702</v>
      </c>
      <c r="R156" s="116" t="s">
        <v>2435</v>
      </c>
      <c r="S156" s="116" t="s">
        <v>2926</v>
      </c>
      <c r="T156" s="116">
        <v>702899.96</v>
      </c>
      <c r="U156" s="116">
        <v>500000</v>
      </c>
      <c r="V156" s="116" t="s">
        <v>2378</v>
      </c>
      <c r="W156" s="116">
        <v>261502000000000</v>
      </c>
      <c r="X156" s="114">
        <v>46095</v>
      </c>
      <c r="Y156" s="116">
        <v>2014892</v>
      </c>
      <c r="Z156" s="116" t="s">
        <v>3108</v>
      </c>
      <c r="AA156" s="116">
        <v>0.04</v>
      </c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22"/>
      <c r="AN156" s="116" t="s">
        <v>2927</v>
      </c>
      <c r="AO156" s="116" t="s">
        <v>2346</v>
      </c>
      <c r="AP156" s="116" t="s">
        <v>2340</v>
      </c>
    </row>
    <row r="157" spans="1:42">
      <c r="A157" s="113" t="s">
        <v>3110</v>
      </c>
      <c r="B157" s="114">
        <v>46095</v>
      </c>
      <c r="C157" s="115">
        <v>0.727013888888889</v>
      </c>
      <c r="D157" s="114">
        <v>46095</v>
      </c>
      <c r="E157" s="115">
        <v>0.730428240740741</v>
      </c>
      <c r="F157" s="116" t="s">
        <v>3111</v>
      </c>
      <c r="G157" s="114">
        <v>46045</v>
      </c>
      <c r="H157" s="116">
        <v>2566761140</v>
      </c>
      <c r="I157" s="116" t="s">
        <v>3112</v>
      </c>
      <c r="J157" s="116" t="s">
        <v>2222</v>
      </c>
      <c r="K157" s="116" t="s">
        <v>2357</v>
      </c>
      <c r="L157" s="116" t="s">
        <v>2358</v>
      </c>
      <c r="M157" s="116" t="s">
        <v>2331</v>
      </c>
      <c r="N157" s="116" t="s">
        <v>3113</v>
      </c>
      <c r="O157" s="119"/>
      <c r="P157" s="116">
        <v>4883581</v>
      </c>
      <c r="Q157" s="116" t="s">
        <v>2702</v>
      </c>
      <c r="R157" s="116" t="s">
        <v>2335</v>
      </c>
      <c r="S157" s="116" t="s">
        <v>3114</v>
      </c>
      <c r="T157" s="116">
        <v>707899.76</v>
      </c>
      <c r="U157" s="116">
        <v>754100</v>
      </c>
      <c r="V157" s="116" t="s">
        <v>2364</v>
      </c>
      <c r="W157" s="116">
        <v>261534000000000</v>
      </c>
      <c r="X157" s="114">
        <v>46095</v>
      </c>
      <c r="Y157" s="116">
        <v>2024159</v>
      </c>
      <c r="Z157" s="116" t="s">
        <v>3112</v>
      </c>
      <c r="AA157" s="116">
        <v>0.02</v>
      </c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22"/>
      <c r="AN157" s="116" t="s">
        <v>3115</v>
      </c>
      <c r="AO157" s="116" t="s">
        <v>2768</v>
      </c>
      <c r="AP157" s="116" t="s">
        <v>2769</v>
      </c>
    </row>
    <row r="158" spans="1:42">
      <c r="A158" s="113" t="s">
        <v>733</v>
      </c>
      <c r="B158" s="114">
        <v>46095</v>
      </c>
      <c r="C158" s="115">
        <v>0.728900462962963</v>
      </c>
      <c r="D158" s="114">
        <v>46095</v>
      </c>
      <c r="E158" s="115">
        <v>0.730428240740741</v>
      </c>
      <c r="F158" s="116" t="s">
        <v>730</v>
      </c>
      <c r="G158" s="114">
        <v>46073</v>
      </c>
      <c r="H158" s="116">
        <v>2567247485</v>
      </c>
      <c r="I158" s="116" t="s">
        <v>3116</v>
      </c>
      <c r="J158" s="116" t="s">
        <v>2189</v>
      </c>
      <c r="K158" s="116" t="s">
        <v>2463</v>
      </c>
      <c r="L158" s="116" t="s">
        <v>2464</v>
      </c>
      <c r="M158" s="116" t="s">
        <v>2331</v>
      </c>
      <c r="N158" s="116" t="s">
        <v>3117</v>
      </c>
      <c r="O158" s="119"/>
      <c r="P158" s="116" t="s">
        <v>732</v>
      </c>
      <c r="Q158" s="116" t="s">
        <v>3118</v>
      </c>
      <c r="R158" s="116" t="s">
        <v>2335</v>
      </c>
      <c r="S158" s="116" t="s">
        <v>3010</v>
      </c>
      <c r="T158" s="116">
        <v>526900.31</v>
      </c>
      <c r="U158" s="119"/>
      <c r="V158" s="116" t="s">
        <v>2469</v>
      </c>
      <c r="W158" s="116">
        <v>261517000000000</v>
      </c>
      <c r="X158" s="114">
        <v>46097</v>
      </c>
      <c r="Y158" s="116">
        <v>2036679</v>
      </c>
      <c r="Z158" s="116" t="s">
        <v>3116</v>
      </c>
      <c r="AA158" s="116">
        <v>0</v>
      </c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22"/>
      <c r="AN158" s="116" t="s">
        <v>3012</v>
      </c>
      <c r="AO158" s="116" t="s">
        <v>2471</v>
      </c>
      <c r="AP158" s="116" t="s">
        <v>2472</v>
      </c>
    </row>
    <row r="159" spans="1:42">
      <c r="A159" s="113" t="s">
        <v>3119</v>
      </c>
      <c r="B159" s="114">
        <v>46095</v>
      </c>
      <c r="C159" s="115">
        <v>0.742118055555556</v>
      </c>
      <c r="D159" s="114">
        <v>46095</v>
      </c>
      <c r="E159" s="115">
        <v>0.744618055555556</v>
      </c>
      <c r="F159" s="116" t="s">
        <v>3120</v>
      </c>
      <c r="G159" s="114">
        <v>46079</v>
      </c>
      <c r="H159" s="116">
        <v>2567334374</v>
      </c>
      <c r="I159" s="116" t="s">
        <v>3121</v>
      </c>
      <c r="J159" s="116" t="s">
        <v>2213</v>
      </c>
      <c r="K159" s="116" t="s">
        <v>2454</v>
      </c>
      <c r="L159" s="116" t="s">
        <v>2455</v>
      </c>
      <c r="M159" s="116" t="s">
        <v>2331</v>
      </c>
      <c r="N159" s="116" t="s">
        <v>3122</v>
      </c>
      <c r="O159" s="119"/>
      <c r="P159" s="116">
        <v>7887328</v>
      </c>
      <c r="Q159" s="116" t="s">
        <v>2555</v>
      </c>
      <c r="R159" s="116" t="s">
        <v>3123</v>
      </c>
      <c r="S159" s="116" t="s">
        <v>3124</v>
      </c>
      <c r="T159" s="116">
        <v>1042620.92</v>
      </c>
      <c r="U159" s="116">
        <v>1055299</v>
      </c>
      <c r="V159" s="116" t="s">
        <v>2460</v>
      </c>
      <c r="W159" s="116">
        <v>261532000000000</v>
      </c>
      <c r="X159" s="114">
        <v>46095</v>
      </c>
      <c r="Y159" s="116">
        <v>2038567</v>
      </c>
      <c r="Z159" s="116" t="s">
        <v>3121</v>
      </c>
      <c r="AA159" s="116">
        <v>-0.01</v>
      </c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22"/>
      <c r="AN159" s="116" t="s">
        <v>2346</v>
      </c>
      <c r="AO159" s="116" t="s">
        <v>2346</v>
      </c>
      <c r="AP159" s="116" t="s">
        <v>2571</v>
      </c>
    </row>
    <row r="160" spans="1:42">
      <c r="A160" s="113" t="s">
        <v>754</v>
      </c>
      <c r="B160" s="114">
        <v>46095</v>
      </c>
      <c r="C160" s="115">
        <v>0.750925925925926</v>
      </c>
      <c r="D160" s="114">
        <v>46095</v>
      </c>
      <c r="E160" s="115">
        <v>0.752164351851852</v>
      </c>
      <c r="F160" s="116" t="s">
        <v>751</v>
      </c>
      <c r="G160" s="114">
        <v>46087</v>
      </c>
      <c r="H160" s="116">
        <v>2567447050</v>
      </c>
      <c r="I160" s="116" t="s">
        <v>3125</v>
      </c>
      <c r="J160" s="116" t="s">
        <v>2141</v>
      </c>
      <c r="K160" s="116" t="s">
        <v>2329</v>
      </c>
      <c r="L160" s="116" t="s">
        <v>2330</v>
      </c>
      <c r="M160" s="116" t="s">
        <v>2331</v>
      </c>
      <c r="N160" s="116" t="s">
        <v>3126</v>
      </c>
      <c r="O160" s="119"/>
      <c r="P160" s="116">
        <v>9260672</v>
      </c>
      <c r="Q160" s="116" t="s">
        <v>2500</v>
      </c>
      <c r="R160" s="116" t="s">
        <v>2458</v>
      </c>
      <c r="S160" s="116" t="s">
        <v>3127</v>
      </c>
      <c r="T160" s="116">
        <v>615800.5</v>
      </c>
      <c r="U160" s="116">
        <v>542566</v>
      </c>
      <c r="V160" s="116" t="s">
        <v>2337</v>
      </c>
      <c r="W160" s="116">
        <v>261501000000000</v>
      </c>
      <c r="X160" s="114">
        <v>46097</v>
      </c>
      <c r="Y160" s="116">
        <v>2041486</v>
      </c>
      <c r="Z160" s="116" t="s">
        <v>3125</v>
      </c>
      <c r="AA160" s="116">
        <v>0.02</v>
      </c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22"/>
      <c r="AN160" s="116" t="s">
        <v>2510</v>
      </c>
      <c r="AO160" s="116" t="s">
        <v>2511</v>
      </c>
      <c r="AP160" s="116" t="s">
        <v>2397</v>
      </c>
    </row>
    <row r="161" spans="1:42">
      <c r="A161" s="113" t="s">
        <v>764</v>
      </c>
      <c r="B161" s="114">
        <v>46095</v>
      </c>
      <c r="C161" s="115">
        <v>0.758194444444444</v>
      </c>
      <c r="D161" s="114">
        <v>46095</v>
      </c>
      <c r="E161" s="115">
        <v>0.758854166666667</v>
      </c>
      <c r="F161" s="116" t="s">
        <v>761</v>
      </c>
      <c r="G161" s="114">
        <v>45995</v>
      </c>
      <c r="H161" s="116">
        <v>2567602958</v>
      </c>
      <c r="I161" s="119"/>
      <c r="J161" s="116" t="s">
        <v>2162</v>
      </c>
      <c r="K161" s="116" t="s">
        <v>2692</v>
      </c>
      <c r="L161" s="116" t="s">
        <v>2693</v>
      </c>
      <c r="M161" s="116" t="s">
        <v>2331</v>
      </c>
      <c r="N161" s="116" t="s">
        <v>3128</v>
      </c>
      <c r="O161" s="119"/>
      <c r="P161" s="116" t="s">
        <v>763</v>
      </c>
      <c r="Q161" s="116" t="s">
        <v>2559</v>
      </c>
      <c r="R161" s="116" t="s">
        <v>2335</v>
      </c>
      <c r="S161" s="116" t="s">
        <v>3129</v>
      </c>
      <c r="T161" s="116">
        <v>709799.42</v>
      </c>
      <c r="U161" s="116">
        <v>500000</v>
      </c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22"/>
      <c r="AN161" s="116" t="s">
        <v>2346</v>
      </c>
      <c r="AO161" s="116" t="s">
        <v>2346</v>
      </c>
      <c r="AP161" s="123"/>
    </row>
    <row r="162" spans="1:42">
      <c r="A162" s="113" t="s">
        <v>758</v>
      </c>
      <c r="B162" s="114">
        <v>46095</v>
      </c>
      <c r="C162" s="115">
        <v>0.773460648148148</v>
      </c>
      <c r="D162" s="114">
        <v>46095</v>
      </c>
      <c r="E162" s="115">
        <v>0.776261574074074</v>
      </c>
      <c r="F162" s="116" t="s">
        <v>756</v>
      </c>
      <c r="G162" s="114">
        <v>46069</v>
      </c>
      <c r="H162" s="116">
        <v>2567608985</v>
      </c>
      <c r="I162" s="119"/>
      <c r="J162" s="116" t="s">
        <v>2141</v>
      </c>
      <c r="K162" s="116" t="s">
        <v>2329</v>
      </c>
      <c r="L162" s="116" t="s">
        <v>2330</v>
      </c>
      <c r="M162" s="116" t="s">
        <v>2331</v>
      </c>
      <c r="N162" s="116" t="s">
        <v>3130</v>
      </c>
      <c r="O162" s="119"/>
      <c r="P162" s="116">
        <v>7916153</v>
      </c>
      <c r="Q162" s="116" t="s">
        <v>2457</v>
      </c>
      <c r="R162" s="116" t="s">
        <v>2335</v>
      </c>
      <c r="S162" s="116" t="s">
        <v>3131</v>
      </c>
      <c r="T162" s="116">
        <v>892975.55</v>
      </c>
      <c r="U162" s="116">
        <v>768597</v>
      </c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22"/>
      <c r="AN162" s="116" t="s">
        <v>2346</v>
      </c>
      <c r="AO162" s="116" t="s">
        <v>2346</v>
      </c>
      <c r="AP162" s="123"/>
    </row>
    <row r="163" spans="1:42">
      <c r="A163" s="109" t="s">
        <v>800</v>
      </c>
      <c r="B163" s="110">
        <v>46097</v>
      </c>
      <c r="C163" s="111">
        <v>0.482511574074074</v>
      </c>
      <c r="D163" s="110">
        <v>46097</v>
      </c>
      <c r="E163" s="111">
        <v>0.482824074074074</v>
      </c>
      <c r="F163" s="112" t="s">
        <v>797</v>
      </c>
      <c r="G163" s="110">
        <v>46035</v>
      </c>
      <c r="H163" s="112">
        <v>2566580634</v>
      </c>
      <c r="I163" s="112" t="s">
        <v>801</v>
      </c>
      <c r="J163" s="112" t="s">
        <v>2141</v>
      </c>
      <c r="K163" s="112" t="s">
        <v>2329</v>
      </c>
      <c r="L163" s="112" t="s">
        <v>2330</v>
      </c>
      <c r="M163" s="112" t="s">
        <v>2331</v>
      </c>
      <c r="N163" s="112" t="s">
        <v>3132</v>
      </c>
      <c r="O163" s="118"/>
      <c r="P163" s="112">
        <v>1426712</v>
      </c>
      <c r="Q163" s="112" t="s">
        <v>2548</v>
      </c>
      <c r="R163" s="112" t="s">
        <v>2458</v>
      </c>
      <c r="S163" s="112" t="s">
        <v>2791</v>
      </c>
      <c r="T163" s="112">
        <v>458400.53</v>
      </c>
      <c r="U163" s="118"/>
      <c r="V163" s="112" t="s">
        <v>2337</v>
      </c>
      <c r="W163" s="112">
        <v>261501000000000</v>
      </c>
      <c r="X163" s="110">
        <v>46097</v>
      </c>
      <c r="Y163" s="112">
        <v>2019824</v>
      </c>
      <c r="Z163" s="112" t="s">
        <v>801</v>
      </c>
      <c r="AA163" s="112">
        <v>-0.03</v>
      </c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21"/>
      <c r="AN163" s="112" t="s">
        <v>2792</v>
      </c>
      <c r="AO163" s="112" t="s">
        <v>69</v>
      </c>
      <c r="AP163" s="112" t="s">
        <v>2397</v>
      </c>
    </row>
    <row r="164" spans="1:42">
      <c r="A164" s="113" t="s">
        <v>3133</v>
      </c>
      <c r="B164" s="114">
        <v>46097</v>
      </c>
      <c r="C164" s="115">
        <v>0.487847222222222</v>
      </c>
      <c r="D164" s="114">
        <v>46097</v>
      </c>
      <c r="E164" s="115">
        <v>0.489722222222222</v>
      </c>
      <c r="F164" s="116" t="s">
        <v>3134</v>
      </c>
      <c r="G164" s="114">
        <v>46095</v>
      </c>
      <c r="H164" s="116">
        <v>2567600002</v>
      </c>
      <c r="I164" s="116" t="s">
        <v>3031</v>
      </c>
      <c r="J164" s="116" t="s">
        <v>2222</v>
      </c>
      <c r="K164" s="116" t="s">
        <v>2357</v>
      </c>
      <c r="L164" s="116" t="s">
        <v>2358</v>
      </c>
      <c r="M164" s="116" t="s">
        <v>2331</v>
      </c>
      <c r="N164" s="116" t="s">
        <v>3135</v>
      </c>
      <c r="O164" s="119"/>
      <c r="P164" s="116">
        <v>4877958</v>
      </c>
      <c r="Q164" s="116" t="s">
        <v>2529</v>
      </c>
      <c r="R164" s="116" t="s">
        <v>2376</v>
      </c>
      <c r="S164" s="116" t="s">
        <v>3005</v>
      </c>
      <c r="T164" s="116">
        <v>785585.5</v>
      </c>
      <c r="U164" s="119"/>
      <c r="V164" s="116" t="s">
        <v>2364</v>
      </c>
      <c r="W164" s="116">
        <v>261534000000000</v>
      </c>
      <c r="X164" s="114">
        <v>46097</v>
      </c>
      <c r="Y164" s="116">
        <v>1031003</v>
      </c>
      <c r="Z164" s="116" t="s">
        <v>3031</v>
      </c>
      <c r="AA164" s="116">
        <v>-0.02</v>
      </c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22"/>
      <c r="AN164" s="116" t="s">
        <v>3006</v>
      </c>
      <c r="AO164" s="116" t="s">
        <v>2485</v>
      </c>
      <c r="AP164" s="116" t="s">
        <v>2367</v>
      </c>
    </row>
    <row r="165" spans="1:42">
      <c r="A165" s="113" t="s">
        <v>805</v>
      </c>
      <c r="B165" s="114">
        <v>46097</v>
      </c>
      <c r="C165" s="115">
        <v>0.52630787037037</v>
      </c>
      <c r="D165" s="114">
        <v>46097</v>
      </c>
      <c r="E165" s="115">
        <v>0.527881944444444</v>
      </c>
      <c r="F165" s="116" t="s">
        <v>802</v>
      </c>
      <c r="G165" s="114">
        <v>46037</v>
      </c>
      <c r="H165" s="116">
        <v>2567578977</v>
      </c>
      <c r="I165" s="116" t="s">
        <v>806</v>
      </c>
      <c r="J165" s="116" t="s">
        <v>2141</v>
      </c>
      <c r="K165" s="116" t="s">
        <v>2329</v>
      </c>
      <c r="L165" s="116" t="s">
        <v>2330</v>
      </c>
      <c r="M165" s="116" t="s">
        <v>2331</v>
      </c>
      <c r="N165" s="116" t="s">
        <v>3136</v>
      </c>
      <c r="O165" s="119"/>
      <c r="P165" s="116" t="s">
        <v>804</v>
      </c>
      <c r="Q165" s="116" t="s">
        <v>3045</v>
      </c>
      <c r="R165" s="116" t="s">
        <v>3046</v>
      </c>
      <c r="S165" s="116" t="s">
        <v>2519</v>
      </c>
      <c r="T165" s="116">
        <v>1315929.02</v>
      </c>
      <c r="U165" s="119"/>
      <c r="V165" s="116" t="s">
        <v>2337</v>
      </c>
      <c r="W165" s="116">
        <v>261501000000000</v>
      </c>
      <c r="X165" s="114">
        <v>46097</v>
      </c>
      <c r="Y165" s="116">
        <v>2020510</v>
      </c>
      <c r="Z165" s="116" t="s">
        <v>806</v>
      </c>
      <c r="AA165" s="116">
        <v>0</v>
      </c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22"/>
      <c r="AN165" s="116" t="s">
        <v>3137</v>
      </c>
      <c r="AO165" s="116" t="s">
        <v>2428</v>
      </c>
      <c r="AP165" s="116" t="s">
        <v>2429</v>
      </c>
    </row>
    <row r="166" spans="1:42">
      <c r="A166" s="113" t="s">
        <v>782</v>
      </c>
      <c r="B166" s="114">
        <v>46097</v>
      </c>
      <c r="C166" s="115">
        <v>0.62443287037037</v>
      </c>
      <c r="D166" s="114">
        <v>46097</v>
      </c>
      <c r="E166" s="115">
        <v>0.625185185185185</v>
      </c>
      <c r="F166" s="116" t="s">
        <v>778</v>
      </c>
      <c r="G166" s="114">
        <v>46052</v>
      </c>
      <c r="H166" s="116">
        <v>2566867952</v>
      </c>
      <c r="I166" s="116" t="s">
        <v>783</v>
      </c>
      <c r="J166" s="116" t="s">
        <v>2157</v>
      </c>
      <c r="K166" s="116" t="s">
        <v>2534</v>
      </c>
      <c r="L166" s="116" t="s">
        <v>2535</v>
      </c>
      <c r="M166" s="116" t="s">
        <v>2331</v>
      </c>
      <c r="N166" s="116" t="s">
        <v>3138</v>
      </c>
      <c r="O166" s="119"/>
      <c r="P166" s="116" t="s">
        <v>781</v>
      </c>
      <c r="Q166" s="116" t="s">
        <v>2507</v>
      </c>
      <c r="R166" s="116" t="s">
        <v>2458</v>
      </c>
      <c r="S166" s="116" t="s">
        <v>2539</v>
      </c>
      <c r="T166" s="116">
        <v>528900.07</v>
      </c>
      <c r="U166" s="116">
        <v>200000</v>
      </c>
      <c r="V166" s="116" t="s">
        <v>2540</v>
      </c>
      <c r="W166" s="116">
        <v>261504000000000</v>
      </c>
      <c r="X166" s="114">
        <v>46097</v>
      </c>
      <c r="Y166" s="116">
        <v>2026990</v>
      </c>
      <c r="Z166" s="116" t="s">
        <v>783</v>
      </c>
      <c r="AA166" s="116">
        <v>0</v>
      </c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22"/>
      <c r="AN166" s="116" t="s">
        <v>2541</v>
      </c>
      <c r="AO166" s="116" t="s">
        <v>2542</v>
      </c>
      <c r="AP166" s="116" t="s">
        <v>2543</v>
      </c>
    </row>
    <row r="167" spans="1:42">
      <c r="A167" s="113" t="s">
        <v>3139</v>
      </c>
      <c r="B167" s="114">
        <v>46097</v>
      </c>
      <c r="C167" s="115">
        <v>0.653240740740741</v>
      </c>
      <c r="D167" s="114">
        <v>46097</v>
      </c>
      <c r="E167" s="115">
        <v>0.65650462962963</v>
      </c>
      <c r="F167" s="116" t="s">
        <v>3140</v>
      </c>
      <c r="G167" s="114">
        <v>46031</v>
      </c>
      <c r="H167" s="116">
        <v>2566509637</v>
      </c>
      <c r="I167" s="116" t="s">
        <v>3141</v>
      </c>
      <c r="J167" s="116" t="s">
        <v>2213</v>
      </c>
      <c r="K167" s="116" t="s">
        <v>2454</v>
      </c>
      <c r="L167" s="116" t="s">
        <v>2455</v>
      </c>
      <c r="M167" s="116" t="s">
        <v>2331</v>
      </c>
      <c r="N167" s="116" t="s">
        <v>3142</v>
      </c>
      <c r="O167" s="119"/>
      <c r="P167" s="116" t="s">
        <v>3143</v>
      </c>
      <c r="Q167" s="116" t="s">
        <v>2559</v>
      </c>
      <c r="R167" s="116" t="s">
        <v>2335</v>
      </c>
      <c r="S167" s="116" t="s">
        <v>3144</v>
      </c>
      <c r="T167" s="116">
        <v>701798.27</v>
      </c>
      <c r="U167" s="116">
        <v>709800</v>
      </c>
      <c r="V167" s="116" t="s">
        <v>2460</v>
      </c>
      <c r="W167" s="116">
        <v>261532000000000</v>
      </c>
      <c r="X167" s="114">
        <v>46097</v>
      </c>
      <c r="Y167" s="116">
        <v>2017787</v>
      </c>
      <c r="Z167" s="116" t="s">
        <v>3141</v>
      </c>
      <c r="AA167" s="116">
        <v>0.03</v>
      </c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22"/>
      <c r="AN167" s="116" t="s">
        <v>2346</v>
      </c>
      <c r="AO167" s="116" t="s">
        <v>2346</v>
      </c>
      <c r="AP167" s="116" t="s">
        <v>2659</v>
      </c>
    </row>
    <row r="168" spans="1:42">
      <c r="A168" s="113" t="s">
        <v>3145</v>
      </c>
      <c r="B168" s="114">
        <v>46097</v>
      </c>
      <c r="C168" s="115">
        <v>0.658414351851852</v>
      </c>
      <c r="D168" s="114">
        <v>46097</v>
      </c>
      <c r="E168" s="115">
        <v>0.65994212962963</v>
      </c>
      <c r="F168" s="116" t="s">
        <v>3146</v>
      </c>
      <c r="G168" s="114">
        <v>46097</v>
      </c>
      <c r="H168" s="116">
        <v>2567622817</v>
      </c>
      <c r="I168" s="116" t="s">
        <v>3031</v>
      </c>
      <c r="J168" s="116" t="s">
        <v>2226</v>
      </c>
      <c r="K168" s="116" t="s">
        <v>2566</v>
      </c>
      <c r="L168" s="116" t="s">
        <v>2567</v>
      </c>
      <c r="M168" s="116" t="s">
        <v>2331</v>
      </c>
      <c r="N168" s="116" t="s">
        <v>3147</v>
      </c>
      <c r="O168" s="119"/>
      <c r="P168" s="116">
        <v>7915819</v>
      </c>
      <c r="Q168" s="116" t="s">
        <v>3080</v>
      </c>
      <c r="R168" s="116" t="s">
        <v>2335</v>
      </c>
      <c r="S168" s="116" t="s">
        <v>3148</v>
      </c>
      <c r="T168" s="116">
        <v>1118007.53</v>
      </c>
      <c r="U168" s="119"/>
      <c r="V168" s="116" t="s">
        <v>2570</v>
      </c>
      <c r="W168" s="116">
        <v>261531000000000</v>
      </c>
      <c r="X168" s="114">
        <v>46097</v>
      </c>
      <c r="Y168" s="116">
        <v>1031003</v>
      </c>
      <c r="Z168" s="116" t="s">
        <v>3031</v>
      </c>
      <c r="AA168" s="116">
        <v>0.01</v>
      </c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22"/>
      <c r="AN168" s="116" t="s">
        <v>2346</v>
      </c>
      <c r="AO168" s="116" t="s">
        <v>2346</v>
      </c>
      <c r="AP168" s="116" t="s">
        <v>2571</v>
      </c>
    </row>
    <row r="169" spans="1:42">
      <c r="A169" s="113" t="s">
        <v>3149</v>
      </c>
      <c r="B169" s="114">
        <v>46097</v>
      </c>
      <c r="C169" s="115">
        <v>0.66349537037037</v>
      </c>
      <c r="D169" s="114">
        <v>46097</v>
      </c>
      <c r="E169" s="115">
        <v>0.666909722222222</v>
      </c>
      <c r="F169" s="116" t="s">
        <v>3150</v>
      </c>
      <c r="G169" s="114">
        <v>46037</v>
      </c>
      <c r="H169" s="116">
        <v>2566607694</v>
      </c>
      <c r="I169" s="116" t="s">
        <v>3151</v>
      </c>
      <c r="J169" s="116" t="s">
        <v>2199</v>
      </c>
      <c r="K169" s="116" t="s">
        <v>2371</v>
      </c>
      <c r="L169" s="116" t="s">
        <v>2372</v>
      </c>
      <c r="M169" s="116" t="s">
        <v>2331</v>
      </c>
      <c r="N169" s="116" t="s">
        <v>3152</v>
      </c>
      <c r="O169" s="119"/>
      <c r="P169" s="116">
        <v>7799223</v>
      </c>
      <c r="Q169" s="116" t="s">
        <v>3028</v>
      </c>
      <c r="R169" s="116" t="s">
        <v>2435</v>
      </c>
      <c r="S169" s="116" t="s">
        <v>2843</v>
      </c>
      <c r="T169" s="116">
        <v>794900.05</v>
      </c>
      <c r="U169" s="119"/>
      <c r="V169" s="116" t="s">
        <v>2378</v>
      </c>
      <c r="W169" s="116">
        <v>261502000000000</v>
      </c>
      <c r="X169" s="114">
        <v>46097</v>
      </c>
      <c r="Y169" s="116">
        <v>2020395</v>
      </c>
      <c r="Z169" s="116" t="s">
        <v>3151</v>
      </c>
      <c r="AA169" s="116">
        <v>0.02</v>
      </c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22"/>
      <c r="AN169" s="116" t="s">
        <v>2844</v>
      </c>
      <c r="AO169" s="116" t="s">
        <v>2845</v>
      </c>
      <c r="AP169" s="116" t="s">
        <v>2340</v>
      </c>
    </row>
    <row r="170" spans="1:42">
      <c r="A170" s="113" t="s">
        <v>788</v>
      </c>
      <c r="B170" s="114">
        <v>46097</v>
      </c>
      <c r="C170" s="115">
        <v>0.664537037037037</v>
      </c>
      <c r="D170" s="114">
        <v>46097</v>
      </c>
      <c r="E170" s="115">
        <v>0.666909722222222</v>
      </c>
      <c r="F170" s="116" t="s">
        <v>785</v>
      </c>
      <c r="G170" s="114">
        <v>46093</v>
      </c>
      <c r="H170" s="116">
        <v>2567569135</v>
      </c>
      <c r="I170" s="116" t="s">
        <v>789</v>
      </c>
      <c r="J170" s="116" t="s">
        <v>2157</v>
      </c>
      <c r="K170" s="116" t="s">
        <v>2534</v>
      </c>
      <c r="L170" s="116" t="s">
        <v>2535</v>
      </c>
      <c r="M170" s="116" t="s">
        <v>2331</v>
      </c>
      <c r="N170" s="116" t="s">
        <v>3153</v>
      </c>
      <c r="O170" s="119"/>
      <c r="P170" s="116" t="s">
        <v>787</v>
      </c>
      <c r="Q170" s="116" t="s">
        <v>3154</v>
      </c>
      <c r="R170" s="116" t="s">
        <v>2376</v>
      </c>
      <c r="S170" s="116" t="s">
        <v>3155</v>
      </c>
      <c r="T170" s="116">
        <v>922300.38</v>
      </c>
      <c r="U170" s="116">
        <v>899700</v>
      </c>
      <c r="V170" s="116" t="s">
        <v>2540</v>
      </c>
      <c r="W170" s="116">
        <v>261504000000000</v>
      </c>
      <c r="X170" s="114">
        <v>46097</v>
      </c>
      <c r="Y170" s="116">
        <v>2044605</v>
      </c>
      <c r="Z170" s="116" t="s">
        <v>789</v>
      </c>
      <c r="AA170" s="116">
        <v>-0.03</v>
      </c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22"/>
      <c r="AN170" s="116" t="s">
        <v>3156</v>
      </c>
      <c r="AO170" s="116" t="s">
        <v>2542</v>
      </c>
      <c r="AP170" s="116" t="s">
        <v>2543</v>
      </c>
    </row>
    <row r="171" spans="1:42">
      <c r="A171" s="113" t="s">
        <v>3157</v>
      </c>
      <c r="B171" s="114">
        <v>46097</v>
      </c>
      <c r="C171" s="115">
        <v>0.665891203703704</v>
      </c>
      <c r="D171" s="114">
        <v>46097</v>
      </c>
      <c r="E171" s="115">
        <v>0.666909722222222</v>
      </c>
      <c r="F171" s="116" t="s">
        <v>3158</v>
      </c>
      <c r="G171" s="114">
        <v>46034</v>
      </c>
      <c r="H171" s="116">
        <v>2566539179</v>
      </c>
      <c r="I171" s="116" t="s">
        <v>3159</v>
      </c>
      <c r="J171" s="116" t="s">
        <v>2226</v>
      </c>
      <c r="K171" s="116" t="s">
        <v>2566</v>
      </c>
      <c r="L171" s="116" t="s">
        <v>2567</v>
      </c>
      <c r="M171" s="116" t="s">
        <v>2331</v>
      </c>
      <c r="N171" s="116" t="s">
        <v>3160</v>
      </c>
      <c r="O171" s="119"/>
      <c r="P171" s="116">
        <v>7055575</v>
      </c>
      <c r="Q171" s="116" t="s">
        <v>2691</v>
      </c>
      <c r="R171" s="116" t="s">
        <v>2376</v>
      </c>
      <c r="S171" s="116" t="s">
        <v>3161</v>
      </c>
      <c r="T171" s="116">
        <v>1048278.67</v>
      </c>
      <c r="U171" s="116">
        <v>1200000</v>
      </c>
      <c r="V171" s="116" t="s">
        <v>2570</v>
      </c>
      <c r="W171" s="116">
        <v>261531000000000</v>
      </c>
      <c r="X171" s="114">
        <v>46097</v>
      </c>
      <c r="Y171" s="116">
        <v>2018565</v>
      </c>
      <c r="Z171" s="116" t="s">
        <v>3159</v>
      </c>
      <c r="AA171" s="116">
        <v>-0.02</v>
      </c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22"/>
      <c r="AN171" s="116" t="s">
        <v>2346</v>
      </c>
      <c r="AO171" s="116" t="s">
        <v>2346</v>
      </c>
      <c r="AP171" s="116" t="s">
        <v>2571</v>
      </c>
    </row>
    <row r="172" spans="1:42">
      <c r="A172" s="113" t="s">
        <v>3162</v>
      </c>
      <c r="B172" s="114">
        <v>46097</v>
      </c>
      <c r="C172" s="115">
        <v>0.668136574074074</v>
      </c>
      <c r="D172" s="114">
        <v>46097</v>
      </c>
      <c r="E172" s="115">
        <v>0.670300925925926</v>
      </c>
      <c r="F172" s="116" t="s">
        <v>3163</v>
      </c>
      <c r="G172" s="114">
        <v>46058</v>
      </c>
      <c r="H172" s="116">
        <v>2566979824</v>
      </c>
      <c r="I172" s="116" t="s">
        <v>3164</v>
      </c>
      <c r="J172" s="116" t="s">
        <v>2213</v>
      </c>
      <c r="K172" s="116" t="s">
        <v>2454</v>
      </c>
      <c r="L172" s="116" t="s">
        <v>2455</v>
      </c>
      <c r="M172" s="116" t="s">
        <v>2331</v>
      </c>
      <c r="N172" s="116" t="s">
        <v>3165</v>
      </c>
      <c r="O172" s="119"/>
      <c r="P172" s="116" t="s">
        <v>3166</v>
      </c>
      <c r="Q172" s="116" t="s">
        <v>3167</v>
      </c>
      <c r="R172" s="116" t="s">
        <v>2335</v>
      </c>
      <c r="S172" s="116" t="s">
        <v>3168</v>
      </c>
      <c r="T172" s="116">
        <v>615798.69</v>
      </c>
      <c r="U172" s="116">
        <v>623800</v>
      </c>
      <c r="V172" s="116" t="s">
        <v>2460</v>
      </c>
      <c r="W172" s="116">
        <v>261532000000000</v>
      </c>
      <c r="X172" s="114">
        <v>46097</v>
      </c>
      <c r="Y172" s="116">
        <v>2032067</v>
      </c>
      <c r="Z172" s="116" t="s">
        <v>3164</v>
      </c>
      <c r="AA172" s="116">
        <v>0.03</v>
      </c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22"/>
      <c r="AN172" s="116" t="s">
        <v>3169</v>
      </c>
      <c r="AO172" s="116" t="s">
        <v>3170</v>
      </c>
      <c r="AP172" s="116" t="s">
        <v>2659</v>
      </c>
    </row>
    <row r="173" spans="1:42">
      <c r="A173" s="113" t="s">
        <v>3171</v>
      </c>
      <c r="B173" s="114">
        <v>46097</v>
      </c>
      <c r="C173" s="115">
        <v>0.688194444444444</v>
      </c>
      <c r="D173" s="114">
        <v>46097</v>
      </c>
      <c r="E173" s="115">
        <v>0.698090277777778</v>
      </c>
      <c r="F173" s="116" t="s">
        <v>3172</v>
      </c>
      <c r="G173" s="114">
        <v>46013</v>
      </c>
      <c r="H173" s="116">
        <v>2566153452</v>
      </c>
      <c r="I173" s="116" t="s">
        <v>3173</v>
      </c>
      <c r="J173" s="116" t="s">
        <v>2213</v>
      </c>
      <c r="K173" s="116" t="s">
        <v>2454</v>
      </c>
      <c r="L173" s="116" t="s">
        <v>2455</v>
      </c>
      <c r="M173" s="116" t="s">
        <v>2331</v>
      </c>
      <c r="N173" s="116" t="s">
        <v>3174</v>
      </c>
      <c r="O173" s="119"/>
      <c r="P173" s="116" t="s">
        <v>3175</v>
      </c>
      <c r="Q173" s="116" t="s">
        <v>3009</v>
      </c>
      <c r="R173" s="116" t="s">
        <v>2718</v>
      </c>
      <c r="S173" s="116" t="s">
        <v>3176</v>
      </c>
      <c r="T173" s="116">
        <v>1689774.11</v>
      </c>
      <c r="U173" s="116">
        <v>508536</v>
      </c>
      <c r="V173" s="116" t="s">
        <v>2460</v>
      </c>
      <c r="W173" s="116">
        <v>261532000000000</v>
      </c>
      <c r="X173" s="114">
        <v>46097</v>
      </c>
      <c r="Y173" s="116">
        <v>2010256</v>
      </c>
      <c r="Z173" s="116" t="s">
        <v>3173</v>
      </c>
      <c r="AA173" s="116">
        <v>14285.74</v>
      </c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22"/>
      <c r="AN173" s="116" t="s">
        <v>2346</v>
      </c>
      <c r="AO173" s="116" t="s">
        <v>2346</v>
      </c>
      <c r="AP173" s="116" t="s">
        <v>2659</v>
      </c>
    </row>
    <row r="174" spans="1:42">
      <c r="A174" s="113" t="s">
        <v>3177</v>
      </c>
      <c r="B174" s="114">
        <v>46097</v>
      </c>
      <c r="C174" s="115">
        <v>0.698831018518518</v>
      </c>
      <c r="D174" s="114">
        <v>46097</v>
      </c>
      <c r="E174" s="115">
        <v>0.700960648148148</v>
      </c>
      <c r="F174" s="116" t="s">
        <v>3178</v>
      </c>
      <c r="G174" s="114">
        <v>46073</v>
      </c>
      <c r="H174" s="116">
        <v>2567238095</v>
      </c>
      <c r="I174" s="116" t="s">
        <v>3179</v>
      </c>
      <c r="J174" s="116" t="s">
        <v>2222</v>
      </c>
      <c r="K174" s="116" t="s">
        <v>2357</v>
      </c>
      <c r="L174" s="116" t="s">
        <v>2358</v>
      </c>
      <c r="M174" s="116" t="s">
        <v>2331</v>
      </c>
      <c r="N174" s="116" t="s">
        <v>3180</v>
      </c>
      <c r="O174" s="119"/>
      <c r="P174" s="116">
        <v>4916669</v>
      </c>
      <c r="Q174" s="116" t="s">
        <v>2644</v>
      </c>
      <c r="R174" s="116" t="s">
        <v>2376</v>
      </c>
      <c r="S174" s="116" t="s">
        <v>3181</v>
      </c>
      <c r="T174" s="116">
        <v>603999.73</v>
      </c>
      <c r="U174" s="116">
        <v>550000</v>
      </c>
      <c r="V174" s="116" t="s">
        <v>2364</v>
      </c>
      <c r="W174" s="116">
        <v>261534000000000</v>
      </c>
      <c r="X174" s="114">
        <v>46097</v>
      </c>
      <c r="Y174" s="116">
        <v>2036558</v>
      </c>
      <c r="Z174" s="116" t="s">
        <v>3179</v>
      </c>
      <c r="AA174" s="116">
        <v>0</v>
      </c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22"/>
      <c r="AN174" s="116" t="s">
        <v>3182</v>
      </c>
      <c r="AO174" s="116" t="s">
        <v>2346</v>
      </c>
      <c r="AP174" s="116" t="s">
        <v>2367</v>
      </c>
    </row>
    <row r="175" spans="1:42">
      <c r="A175" s="113" t="s">
        <v>792</v>
      </c>
      <c r="B175" s="114">
        <v>46097</v>
      </c>
      <c r="C175" s="115">
        <v>0.709722222222222</v>
      </c>
      <c r="D175" s="114">
        <v>46097</v>
      </c>
      <c r="E175" s="115">
        <v>0.712465277777778</v>
      </c>
      <c r="F175" s="116" t="s">
        <v>785</v>
      </c>
      <c r="G175" s="114">
        <v>46087</v>
      </c>
      <c r="H175" s="116">
        <v>2567458364</v>
      </c>
      <c r="I175" s="116" t="s">
        <v>3183</v>
      </c>
      <c r="J175" s="116" t="s">
        <v>2145</v>
      </c>
      <c r="K175" s="116" t="s">
        <v>2945</v>
      </c>
      <c r="L175" s="116" t="s">
        <v>2946</v>
      </c>
      <c r="M175" s="116" t="s">
        <v>2331</v>
      </c>
      <c r="N175" s="116" t="s">
        <v>3184</v>
      </c>
      <c r="O175" s="119"/>
      <c r="P175" s="116">
        <v>1433993</v>
      </c>
      <c r="Q175" s="116" t="s">
        <v>3185</v>
      </c>
      <c r="R175" s="116" t="s">
        <v>2376</v>
      </c>
      <c r="S175" s="116" t="s">
        <v>3186</v>
      </c>
      <c r="T175" s="116">
        <v>836400.29</v>
      </c>
      <c r="U175" s="116">
        <v>860000</v>
      </c>
      <c r="V175" s="116" t="s">
        <v>2949</v>
      </c>
      <c r="W175" s="116">
        <v>261513000000000</v>
      </c>
      <c r="X175" s="114">
        <v>46097</v>
      </c>
      <c r="Y175" s="116">
        <v>1908048</v>
      </c>
      <c r="Z175" s="116" t="s">
        <v>3183</v>
      </c>
      <c r="AA175" s="116">
        <v>0</v>
      </c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22"/>
      <c r="AN175" s="116" t="s">
        <v>3187</v>
      </c>
      <c r="AO175" s="116" t="s">
        <v>2384</v>
      </c>
      <c r="AP175" s="116" t="s">
        <v>2686</v>
      </c>
    </row>
    <row r="176" spans="1:42">
      <c r="A176" s="113" t="s">
        <v>3188</v>
      </c>
      <c r="B176" s="114">
        <v>46097</v>
      </c>
      <c r="C176" s="115">
        <v>0.709722222222222</v>
      </c>
      <c r="D176" s="114">
        <v>46097</v>
      </c>
      <c r="E176" s="115">
        <v>0.712465277777778</v>
      </c>
      <c r="F176" s="116" t="s">
        <v>3189</v>
      </c>
      <c r="G176" s="114">
        <v>46093</v>
      </c>
      <c r="H176" s="116">
        <v>2567567147</v>
      </c>
      <c r="I176" s="116" t="s">
        <v>3190</v>
      </c>
      <c r="J176" s="116" t="s">
        <v>2213</v>
      </c>
      <c r="K176" s="116" t="s">
        <v>2454</v>
      </c>
      <c r="L176" s="116" t="s">
        <v>2455</v>
      </c>
      <c r="M176" s="116" t="s">
        <v>2331</v>
      </c>
      <c r="N176" s="116" t="s">
        <v>3191</v>
      </c>
      <c r="O176" s="119"/>
      <c r="P176" s="116" t="s">
        <v>3192</v>
      </c>
      <c r="Q176" s="116" t="s">
        <v>3193</v>
      </c>
      <c r="R176" s="116" t="s">
        <v>2335</v>
      </c>
      <c r="S176" s="116" t="s">
        <v>3144</v>
      </c>
      <c r="T176" s="116">
        <v>1166448.44</v>
      </c>
      <c r="U176" s="116">
        <v>1200000</v>
      </c>
      <c r="V176" s="116" t="s">
        <v>2460</v>
      </c>
      <c r="W176" s="116">
        <v>261532000000000</v>
      </c>
      <c r="X176" s="114">
        <v>46097</v>
      </c>
      <c r="Y176" s="116">
        <v>2043984</v>
      </c>
      <c r="Z176" s="116" t="s">
        <v>3190</v>
      </c>
      <c r="AA176" s="116">
        <v>0.02</v>
      </c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22"/>
      <c r="AN176" s="116" t="s">
        <v>2346</v>
      </c>
      <c r="AO176" s="116" t="s">
        <v>2346</v>
      </c>
      <c r="AP176" s="116" t="s">
        <v>2659</v>
      </c>
    </row>
    <row r="177" spans="1:42">
      <c r="A177" s="113" t="s">
        <v>3194</v>
      </c>
      <c r="B177" s="114">
        <v>46097</v>
      </c>
      <c r="C177" s="115">
        <v>0.721759259259259</v>
      </c>
      <c r="D177" s="114">
        <v>46097</v>
      </c>
      <c r="E177" s="115">
        <v>0.723090277777778</v>
      </c>
      <c r="F177" s="116" t="s">
        <v>3195</v>
      </c>
      <c r="G177" s="114">
        <v>46076</v>
      </c>
      <c r="H177" s="116">
        <v>2567277715</v>
      </c>
      <c r="I177" s="116" t="s">
        <v>3196</v>
      </c>
      <c r="J177" s="116" t="s">
        <v>2217</v>
      </c>
      <c r="K177" s="116" t="s">
        <v>2497</v>
      </c>
      <c r="L177" s="116" t="s">
        <v>2498</v>
      </c>
      <c r="M177" s="116" t="s">
        <v>2331</v>
      </c>
      <c r="N177" s="116" t="s">
        <v>3197</v>
      </c>
      <c r="O177" s="119"/>
      <c r="P177" s="116">
        <v>9257829</v>
      </c>
      <c r="Q177" s="116" t="s">
        <v>2763</v>
      </c>
      <c r="R177" s="116" t="s">
        <v>3198</v>
      </c>
      <c r="S177" s="116" t="s">
        <v>3199</v>
      </c>
      <c r="T177" s="116">
        <v>624852.77</v>
      </c>
      <c r="U177" s="119"/>
      <c r="V177" s="116" t="s">
        <v>2502</v>
      </c>
      <c r="W177" s="116">
        <v>261535000000000</v>
      </c>
      <c r="X177" s="114">
        <v>46097</v>
      </c>
      <c r="Y177" s="116">
        <v>2037468</v>
      </c>
      <c r="Z177" s="116" t="s">
        <v>3196</v>
      </c>
      <c r="AA177" s="116">
        <v>-0.01</v>
      </c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22"/>
      <c r="AN177" s="116" t="s">
        <v>3200</v>
      </c>
      <c r="AO177" s="116" t="s">
        <v>2346</v>
      </c>
      <c r="AP177" s="116" t="s">
        <v>2462</v>
      </c>
    </row>
    <row r="178" spans="1:42">
      <c r="A178" s="113" t="s">
        <v>3201</v>
      </c>
      <c r="B178" s="114">
        <v>46097</v>
      </c>
      <c r="C178" s="115">
        <v>0.735729166666667</v>
      </c>
      <c r="D178" s="114">
        <v>46097</v>
      </c>
      <c r="E178" s="115">
        <v>0.736701388888889</v>
      </c>
      <c r="F178" s="116" t="s">
        <v>3041</v>
      </c>
      <c r="G178" s="114">
        <v>46087</v>
      </c>
      <c r="H178" s="116">
        <v>2567463410</v>
      </c>
      <c r="I178" s="116" t="s">
        <v>3202</v>
      </c>
      <c r="J178" s="116" t="s">
        <v>2226</v>
      </c>
      <c r="K178" s="116" t="s">
        <v>2566</v>
      </c>
      <c r="L178" s="116" t="s">
        <v>2567</v>
      </c>
      <c r="M178" s="116" t="s">
        <v>2331</v>
      </c>
      <c r="N178" s="116" t="s">
        <v>3203</v>
      </c>
      <c r="O178" s="119"/>
      <c r="P178" s="116">
        <v>4915698</v>
      </c>
      <c r="Q178" s="116" t="s">
        <v>2679</v>
      </c>
      <c r="R178" s="116" t="s">
        <v>2435</v>
      </c>
      <c r="S178" s="116" t="s">
        <v>3204</v>
      </c>
      <c r="T178" s="116">
        <v>480099.61</v>
      </c>
      <c r="U178" s="119"/>
      <c r="V178" s="116" t="s">
        <v>2570</v>
      </c>
      <c r="W178" s="116">
        <v>261531000000000</v>
      </c>
      <c r="X178" s="114">
        <v>46097</v>
      </c>
      <c r="Y178" s="116">
        <v>2041701</v>
      </c>
      <c r="Z178" s="116" t="s">
        <v>3202</v>
      </c>
      <c r="AA178" s="116">
        <v>0.01</v>
      </c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22"/>
      <c r="AN178" s="116" t="s">
        <v>2346</v>
      </c>
      <c r="AO178" s="116" t="s">
        <v>2346</v>
      </c>
      <c r="AP178" s="116" t="s">
        <v>2571</v>
      </c>
    </row>
    <row r="179" spans="1:42">
      <c r="A179" s="113" t="s">
        <v>3205</v>
      </c>
      <c r="B179" s="114">
        <v>46097</v>
      </c>
      <c r="C179" s="115">
        <v>0.741886574074074</v>
      </c>
      <c r="D179" s="114">
        <v>46097</v>
      </c>
      <c r="E179" s="115">
        <v>0.743680555555556</v>
      </c>
      <c r="F179" s="116" t="s">
        <v>3206</v>
      </c>
      <c r="G179" s="114">
        <v>46090</v>
      </c>
      <c r="H179" s="116">
        <v>2567507839</v>
      </c>
      <c r="I179" s="116" t="s">
        <v>3207</v>
      </c>
      <c r="J179" s="116" t="s">
        <v>2213</v>
      </c>
      <c r="K179" s="116" t="s">
        <v>2454</v>
      </c>
      <c r="L179" s="116" t="s">
        <v>2455</v>
      </c>
      <c r="M179" s="116" t="s">
        <v>2331</v>
      </c>
      <c r="N179" s="116" t="s">
        <v>3208</v>
      </c>
      <c r="O179" s="119"/>
      <c r="P179" s="116">
        <v>1438100</v>
      </c>
      <c r="Q179" s="116" t="s">
        <v>3209</v>
      </c>
      <c r="R179" s="116" t="s">
        <v>2538</v>
      </c>
      <c r="S179" s="116" t="s">
        <v>3210</v>
      </c>
      <c r="T179" s="116">
        <v>560900.05</v>
      </c>
      <c r="U179" s="116">
        <v>543369</v>
      </c>
      <c r="V179" s="116" t="s">
        <v>2460</v>
      </c>
      <c r="W179" s="116">
        <v>261532000000000</v>
      </c>
      <c r="X179" s="114">
        <v>46097</v>
      </c>
      <c r="Y179" s="116">
        <v>2042994</v>
      </c>
      <c r="Z179" s="116" t="s">
        <v>3207</v>
      </c>
      <c r="AA179" s="116">
        <v>0.01</v>
      </c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22"/>
      <c r="AN179" s="116" t="s">
        <v>2346</v>
      </c>
      <c r="AO179" s="116" t="s">
        <v>2346</v>
      </c>
      <c r="AP179" s="116" t="s">
        <v>2659</v>
      </c>
    </row>
    <row r="180" spans="1:42">
      <c r="A180" s="113" t="s">
        <v>3211</v>
      </c>
      <c r="B180" s="114">
        <v>46097</v>
      </c>
      <c r="C180" s="115">
        <v>0.74568287037037</v>
      </c>
      <c r="D180" s="114">
        <v>46097</v>
      </c>
      <c r="E180" s="115">
        <v>0.74712962962963</v>
      </c>
      <c r="F180" s="116" t="s">
        <v>3212</v>
      </c>
      <c r="G180" s="114">
        <v>46050</v>
      </c>
      <c r="H180" s="116">
        <v>2566831759</v>
      </c>
      <c r="I180" s="116" t="s">
        <v>3213</v>
      </c>
      <c r="J180" s="116" t="s">
        <v>2226</v>
      </c>
      <c r="K180" s="116" t="s">
        <v>2566</v>
      </c>
      <c r="L180" s="116" t="s">
        <v>2567</v>
      </c>
      <c r="M180" s="116" t="s">
        <v>2331</v>
      </c>
      <c r="N180" s="116" t="s">
        <v>3214</v>
      </c>
      <c r="O180" s="119"/>
      <c r="P180" s="116">
        <v>4893935</v>
      </c>
      <c r="Q180" s="116" t="s">
        <v>2529</v>
      </c>
      <c r="R180" s="116" t="s">
        <v>2376</v>
      </c>
      <c r="S180" s="116" t="s">
        <v>3033</v>
      </c>
      <c r="T180" s="116">
        <v>793899.86</v>
      </c>
      <c r="U180" s="116">
        <v>689000</v>
      </c>
      <c r="V180" s="116" t="s">
        <v>2570</v>
      </c>
      <c r="W180" s="116">
        <v>261531000000000</v>
      </c>
      <c r="X180" s="114">
        <v>46097</v>
      </c>
      <c r="Y180" s="116">
        <v>2026334</v>
      </c>
      <c r="Z180" s="116" t="s">
        <v>3213</v>
      </c>
      <c r="AA180" s="116">
        <v>0.04</v>
      </c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22"/>
      <c r="AN180" s="116" t="s">
        <v>2346</v>
      </c>
      <c r="AO180" s="116" t="s">
        <v>2346</v>
      </c>
      <c r="AP180" s="116" t="s">
        <v>2571</v>
      </c>
    </row>
    <row r="181" spans="1:42">
      <c r="A181" s="113" t="s">
        <v>811</v>
      </c>
      <c r="B181" s="114">
        <v>46097</v>
      </c>
      <c r="C181" s="115">
        <v>0.753773148148148</v>
      </c>
      <c r="D181" s="114">
        <v>46097</v>
      </c>
      <c r="E181" s="115">
        <v>0.754351851851852</v>
      </c>
      <c r="F181" s="116" t="s">
        <v>808</v>
      </c>
      <c r="G181" s="114">
        <v>46086</v>
      </c>
      <c r="H181" s="116">
        <v>2567441049</v>
      </c>
      <c r="I181" s="116" t="s">
        <v>812</v>
      </c>
      <c r="J181" s="116" t="s">
        <v>2141</v>
      </c>
      <c r="K181" s="116" t="s">
        <v>2329</v>
      </c>
      <c r="L181" s="116" t="s">
        <v>2330</v>
      </c>
      <c r="M181" s="116" t="s">
        <v>2331</v>
      </c>
      <c r="N181" s="116" t="s">
        <v>3215</v>
      </c>
      <c r="O181" s="119"/>
      <c r="P181" s="116">
        <v>4585999</v>
      </c>
      <c r="Q181" s="116" t="s">
        <v>3216</v>
      </c>
      <c r="R181" s="116" t="s">
        <v>2645</v>
      </c>
      <c r="S181" s="116" t="s">
        <v>2336</v>
      </c>
      <c r="T181" s="116">
        <v>529200.65</v>
      </c>
      <c r="U181" s="116">
        <v>462000</v>
      </c>
      <c r="V181" s="116" t="s">
        <v>2337</v>
      </c>
      <c r="W181" s="116">
        <v>261501000000000</v>
      </c>
      <c r="X181" s="114">
        <v>46097</v>
      </c>
      <c r="Y181" s="116">
        <v>2041274</v>
      </c>
      <c r="Z181" s="116" t="s">
        <v>812</v>
      </c>
      <c r="AA181" s="116">
        <v>-0.03</v>
      </c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22"/>
      <c r="AN181" s="116" t="s">
        <v>2639</v>
      </c>
      <c r="AO181" s="116" t="s">
        <v>69</v>
      </c>
      <c r="AP181" s="116" t="s">
        <v>2397</v>
      </c>
    </row>
    <row r="182" spans="1:42">
      <c r="A182" s="113" t="s">
        <v>823</v>
      </c>
      <c r="B182" s="114">
        <v>46097</v>
      </c>
      <c r="C182" s="115">
        <v>0.757847222222222</v>
      </c>
      <c r="D182" s="114">
        <v>46097</v>
      </c>
      <c r="E182" s="115">
        <v>0.761087962962963</v>
      </c>
      <c r="F182" s="116" t="s">
        <v>820</v>
      </c>
      <c r="G182" s="114">
        <v>46045</v>
      </c>
      <c r="H182" s="116">
        <v>2566736333</v>
      </c>
      <c r="I182" s="116" t="s">
        <v>824</v>
      </c>
      <c r="J182" s="116" t="s">
        <v>2151</v>
      </c>
      <c r="K182" s="116" t="s">
        <v>2414</v>
      </c>
      <c r="L182" s="116" t="s">
        <v>2415</v>
      </c>
      <c r="M182" s="116" t="s">
        <v>2331</v>
      </c>
      <c r="N182" s="116" t="s">
        <v>3217</v>
      </c>
      <c r="O182" s="119"/>
      <c r="P182" s="116">
        <v>4593670</v>
      </c>
      <c r="Q182" s="116" t="s">
        <v>2891</v>
      </c>
      <c r="R182" s="116" t="s">
        <v>2344</v>
      </c>
      <c r="S182" s="116" t="s">
        <v>3218</v>
      </c>
      <c r="T182" s="116">
        <v>613100.08</v>
      </c>
      <c r="U182" s="116">
        <v>500000</v>
      </c>
      <c r="V182" s="116" t="s">
        <v>2419</v>
      </c>
      <c r="W182" s="116">
        <v>261503000000000</v>
      </c>
      <c r="X182" s="114">
        <v>46097</v>
      </c>
      <c r="Y182" s="116">
        <v>2024088</v>
      </c>
      <c r="Z182" s="116" t="s">
        <v>824</v>
      </c>
      <c r="AA182" s="116">
        <v>-0.02</v>
      </c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22"/>
      <c r="AN182" s="116" t="s">
        <v>2805</v>
      </c>
      <c r="AO182" s="116" t="s">
        <v>2668</v>
      </c>
      <c r="AP182" s="116" t="s">
        <v>2413</v>
      </c>
    </row>
    <row r="183" spans="1:42">
      <c r="A183" s="113" t="s">
        <v>817</v>
      </c>
      <c r="B183" s="114">
        <v>46097</v>
      </c>
      <c r="C183" s="115">
        <v>0.775439814814815</v>
      </c>
      <c r="D183" s="114">
        <v>46097</v>
      </c>
      <c r="E183" s="115">
        <v>0.7878125</v>
      </c>
      <c r="F183" s="116" t="s">
        <v>814</v>
      </c>
      <c r="G183" s="114">
        <v>46097</v>
      </c>
      <c r="H183" s="116">
        <v>2567639079</v>
      </c>
      <c r="I183" s="116" t="s">
        <v>3219</v>
      </c>
      <c r="J183" s="116" t="s">
        <v>2141</v>
      </c>
      <c r="K183" s="116" t="s">
        <v>2329</v>
      </c>
      <c r="L183" s="116" t="s">
        <v>2330</v>
      </c>
      <c r="M183" s="116" t="s">
        <v>2331</v>
      </c>
      <c r="N183" s="116" t="s">
        <v>3220</v>
      </c>
      <c r="O183" s="119"/>
      <c r="P183" s="116" t="s">
        <v>816</v>
      </c>
      <c r="Q183" s="116" t="s">
        <v>3221</v>
      </c>
      <c r="R183" s="116" t="s">
        <v>2538</v>
      </c>
      <c r="S183" s="116" t="s">
        <v>3131</v>
      </c>
      <c r="T183" s="116">
        <v>931900.26</v>
      </c>
      <c r="U183" s="116">
        <v>6850000</v>
      </c>
      <c r="V183" s="116" t="s">
        <v>2337</v>
      </c>
      <c r="W183" s="116">
        <v>261501000000000</v>
      </c>
      <c r="X183" s="114">
        <v>46097</v>
      </c>
      <c r="Y183" s="116">
        <v>2040169</v>
      </c>
      <c r="Z183" s="116" t="s">
        <v>3219</v>
      </c>
      <c r="AA183" s="116">
        <v>0.04</v>
      </c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22"/>
      <c r="AN183" s="116" t="s">
        <v>3222</v>
      </c>
      <c r="AO183" s="116" t="s">
        <v>3223</v>
      </c>
      <c r="AP183" s="116" t="s">
        <v>2397</v>
      </c>
    </row>
    <row r="184" spans="1:42">
      <c r="A184" s="109" t="s">
        <v>3224</v>
      </c>
      <c r="B184" s="110">
        <v>46098</v>
      </c>
      <c r="C184" s="111">
        <v>0.418483796296296</v>
      </c>
      <c r="D184" s="110">
        <v>46098</v>
      </c>
      <c r="E184" s="111">
        <v>0.421666666666667</v>
      </c>
      <c r="F184" s="112" t="s">
        <v>3225</v>
      </c>
      <c r="G184" s="110">
        <v>46062</v>
      </c>
      <c r="H184" s="112">
        <v>2567048587</v>
      </c>
      <c r="I184" s="112" t="s">
        <v>3226</v>
      </c>
      <c r="J184" s="112" t="s">
        <v>3227</v>
      </c>
      <c r="K184" s="112" t="s">
        <v>3228</v>
      </c>
      <c r="L184" s="112" t="s">
        <v>3229</v>
      </c>
      <c r="M184" s="112" t="s">
        <v>2331</v>
      </c>
      <c r="N184" s="112" t="s">
        <v>3230</v>
      </c>
      <c r="O184" s="118"/>
      <c r="P184" s="112">
        <v>4593649</v>
      </c>
      <c r="Q184" s="112" t="s">
        <v>3231</v>
      </c>
      <c r="R184" s="112" t="s">
        <v>2645</v>
      </c>
      <c r="S184" s="112" t="s">
        <v>3232</v>
      </c>
      <c r="T184" s="112">
        <v>552900.57</v>
      </c>
      <c r="U184" s="112">
        <v>580000</v>
      </c>
      <c r="V184" s="112" t="s">
        <v>3233</v>
      </c>
      <c r="W184" s="112">
        <v>261530000000000</v>
      </c>
      <c r="X184" s="110">
        <v>46098</v>
      </c>
      <c r="Y184" s="112">
        <v>1617289</v>
      </c>
      <c r="Z184" s="112" t="s">
        <v>3226</v>
      </c>
      <c r="AA184" s="112">
        <v>0.01</v>
      </c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21"/>
      <c r="AN184" s="112" t="s">
        <v>3234</v>
      </c>
      <c r="AO184" s="112" t="s">
        <v>3235</v>
      </c>
      <c r="AP184" s="112" t="s">
        <v>2880</v>
      </c>
    </row>
    <row r="185" spans="1:42">
      <c r="A185" s="113" t="s">
        <v>851</v>
      </c>
      <c r="B185" s="114">
        <v>46098</v>
      </c>
      <c r="C185" s="115">
        <v>0.447824074074074</v>
      </c>
      <c r="D185" s="114">
        <v>46098</v>
      </c>
      <c r="E185" s="115">
        <v>0.449386574074074</v>
      </c>
      <c r="F185" s="116" t="s">
        <v>848</v>
      </c>
      <c r="G185" s="114">
        <v>46081</v>
      </c>
      <c r="H185" s="116">
        <v>2567368230</v>
      </c>
      <c r="I185" s="116" t="s">
        <v>852</v>
      </c>
      <c r="J185" s="116" t="s">
        <v>2141</v>
      </c>
      <c r="K185" s="116" t="s">
        <v>2329</v>
      </c>
      <c r="L185" s="116" t="s">
        <v>2330</v>
      </c>
      <c r="M185" s="116" t="s">
        <v>2331</v>
      </c>
      <c r="N185" s="116" t="s">
        <v>3236</v>
      </c>
      <c r="O185" s="119"/>
      <c r="P185" s="116" t="s">
        <v>850</v>
      </c>
      <c r="Q185" s="116" t="s">
        <v>3193</v>
      </c>
      <c r="R185" s="116" t="s">
        <v>2458</v>
      </c>
      <c r="S185" s="116" t="s">
        <v>2513</v>
      </c>
      <c r="T185" s="116">
        <v>1145384.13</v>
      </c>
      <c r="U185" s="116">
        <v>1000000</v>
      </c>
      <c r="V185" s="116" t="s">
        <v>2337</v>
      </c>
      <c r="W185" s="116">
        <v>261501000000000</v>
      </c>
      <c r="X185" s="114">
        <v>46098</v>
      </c>
      <c r="Y185" s="116">
        <v>2039361</v>
      </c>
      <c r="Z185" s="116" t="s">
        <v>852</v>
      </c>
      <c r="AA185" s="116">
        <v>14285.71</v>
      </c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22"/>
      <c r="AN185" s="116" t="s">
        <v>2560</v>
      </c>
      <c r="AO185" s="116" t="s">
        <v>2561</v>
      </c>
      <c r="AP185" s="116" t="s">
        <v>2562</v>
      </c>
    </row>
    <row r="186" spans="1:42">
      <c r="A186" s="113" t="s">
        <v>846</v>
      </c>
      <c r="B186" s="114">
        <v>46098</v>
      </c>
      <c r="C186" s="115">
        <v>0.476805555555556</v>
      </c>
      <c r="D186" s="114">
        <v>46098</v>
      </c>
      <c r="E186" s="115">
        <v>0.477210648148148</v>
      </c>
      <c r="F186" s="116" t="s">
        <v>844</v>
      </c>
      <c r="G186" s="114">
        <v>46051</v>
      </c>
      <c r="H186" s="116">
        <v>2566843334</v>
      </c>
      <c r="I186" s="116" t="s">
        <v>847</v>
      </c>
      <c r="J186" s="116" t="s">
        <v>2175</v>
      </c>
      <c r="K186" s="116" t="s">
        <v>2742</v>
      </c>
      <c r="L186" s="116" t="s">
        <v>2743</v>
      </c>
      <c r="M186" s="116" t="s">
        <v>2331</v>
      </c>
      <c r="N186" s="116" t="s">
        <v>3237</v>
      </c>
      <c r="O186" s="119"/>
      <c r="P186" s="116">
        <v>1433572</v>
      </c>
      <c r="Q186" s="116" t="s">
        <v>2970</v>
      </c>
      <c r="R186" s="116" t="s">
        <v>2723</v>
      </c>
      <c r="S186" s="116" t="s">
        <v>3238</v>
      </c>
      <c r="T186" s="116">
        <v>678899.79</v>
      </c>
      <c r="U186" s="116">
        <v>643537</v>
      </c>
      <c r="V186" s="116" t="s">
        <v>2747</v>
      </c>
      <c r="W186" s="116">
        <v>261533000000000</v>
      </c>
      <c r="X186" s="114">
        <v>46098</v>
      </c>
      <c r="Y186" s="116">
        <v>2026644</v>
      </c>
      <c r="Z186" s="116" t="s">
        <v>847</v>
      </c>
      <c r="AA186" s="116">
        <v>0</v>
      </c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22"/>
      <c r="AN186" s="116" t="s">
        <v>3239</v>
      </c>
      <c r="AO186" s="116" t="s">
        <v>2521</v>
      </c>
      <c r="AP186" s="116" t="s">
        <v>2522</v>
      </c>
    </row>
    <row r="187" spans="1:42">
      <c r="A187" s="113" t="s">
        <v>828</v>
      </c>
      <c r="B187" s="114">
        <v>46098</v>
      </c>
      <c r="C187" s="115">
        <v>0.521238425925926</v>
      </c>
      <c r="D187" s="114">
        <v>46098</v>
      </c>
      <c r="E187" s="115">
        <v>0.522314814814815</v>
      </c>
      <c r="F187" s="116" t="s">
        <v>825</v>
      </c>
      <c r="G187" s="114">
        <v>46083</v>
      </c>
      <c r="H187" s="116">
        <v>2567538439</v>
      </c>
      <c r="I187" s="116" t="s">
        <v>2794</v>
      </c>
      <c r="J187" s="116" t="s">
        <v>2189</v>
      </c>
      <c r="K187" s="116" t="s">
        <v>2463</v>
      </c>
      <c r="L187" s="116" t="s">
        <v>2464</v>
      </c>
      <c r="M187" s="116" t="s">
        <v>2331</v>
      </c>
      <c r="N187" s="116" t="s">
        <v>3240</v>
      </c>
      <c r="O187" s="119"/>
      <c r="P187" s="116" t="s">
        <v>827</v>
      </c>
      <c r="Q187" s="116" t="s">
        <v>2797</v>
      </c>
      <c r="R187" s="116" t="s">
        <v>2335</v>
      </c>
      <c r="S187" s="116" t="s">
        <v>2798</v>
      </c>
      <c r="T187" s="116">
        <v>999900.55</v>
      </c>
      <c r="U187" s="116">
        <v>995000</v>
      </c>
      <c r="V187" s="116" t="s">
        <v>2469</v>
      </c>
      <c r="W187" s="116">
        <v>261517000000000</v>
      </c>
      <c r="X187" s="114">
        <v>46098</v>
      </c>
      <c r="Y187" s="116">
        <v>2040477</v>
      </c>
      <c r="Z187" s="116" t="s">
        <v>2794</v>
      </c>
      <c r="AA187" s="116">
        <v>0.04</v>
      </c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22"/>
      <c r="AN187" s="116" t="s">
        <v>2799</v>
      </c>
      <c r="AO187" s="116" t="s">
        <v>2471</v>
      </c>
      <c r="AP187" s="116" t="s">
        <v>2472</v>
      </c>
    </row>
    <row r="188" spans="1:42">
      <c r="A188" s="113" t="s">
        <v>836</v>
      </c>
      <c r="B188" s="114">
        <v>46098</v>
      </c>
      <c r="C188" s="115">
        <v>0.565914351851852</v>
      </c>
      <c r="D188" s="114">
        <v>46098</v>
      </c>
      <c r="E188" s="115">
        <v>0.567349537037037</v>
      </c>
      <c r="F188" s="116" t="s">
        <v>832</v>
      </c>
      <c r="G188" s="114">
        <v>46057</v>
      </c>
      <c r="H188" s="116">
        <v>2566966863</v>
      </c>
      <c r="I188" s="116" t="s">
        <v>837</v>
      </c>
      <c r="J188" s="116" t="s">
        <v>2189</v>
      </c>
      <c r="K188" s="116" t="s">
        <v>2463</v>
      </c>
      <c r="L188" s="116" t="s">
        <v>2464</v>
      </c>
      <c r="M188" s="116" t="s">
        <v>2331</v>
      </c>
      <c r="N188" s="116" t="s">
        <v>3241</v>
      </c>
      <c r="O188" s="119"/>
      <c r="P188" s="116" t="s">
        <v>835</v>
      </c>
      <c r="Q188" s="116" t="s">
        <v>2343</v>
      </c>
      <c r="R188" s="116" t="s">
        <v>2344</v>
      </c>
      <c r="S188" s="116" t="s">
        <v>2468</v>
      </c>
      <c r="T188" s="116">
        <v>570900.18</v>
      </c>
      <c r="U188" s="119"/>
      <c r="V188" s="116" t="s">
        <v>2469</v>
      </c>
      <c r="W188" s="116">
        <v>261517000000000</v>
      </c>
      <c r="X188" s="114">
        <v>46098</v>
      </c>
      <c r="Y188" s="116">
        <v>2029826</v>
      </c>
      <c r="Z188" s="116" t="s">
        <v>837</v>
      </c>
      <c r="AA188" s="116">
        <v>-0.03</v>
      </c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22"/>
      <c r="AN188" s="116" t="s">
        <v>2470</v>
      </c>
      <c r="AO188" s="116" t="s">
        <v>2471</v>
      </c>
      <c r="AP188" s="116" t="s">
        <v>2472</v>
      </c>
    </row>
    <row r="189" spans="1:42">
      <c r="A189" s="113" t="s">
        <v>3242</v>
      </c>
      <c r="B189" s="114">
        <v>46098</v>
      </c>
      <c r="C189" s="115">
        <v>0.568634259259259</v>
      </c>
      <c r="D189" s="114">
        <v>46098</v>
      </c>
      <c r="E189" s="115">
        <v>0.570949074074074</v>
      </c>
      <c r="F189" s="116" t="s">
        <v>3243</v>
      </c>
      <c r="G189" s="114">
        <v>46027</v>
      </c>
      <c r="H189" s="116">
        <v>2566461033</v>
      </c>
      <c r="I189" s="116" t="s">
        <v>3244</v>
      </c>
      <c r="J189" s="116" t="s">
        <v>2199</v>
      </c>
      <c r="K189" s="116" t="s">
        <v>2371</v>
      </c>
      <c r="L189" s="116" t="s">
        <v>2372</v>
      </c>
      <c r="M189" s="116" t="s">
        <v>2331</v>
      </c>
      <c r="N189" s="116" t="s">
        <v>3245</v>
      </c>
      <c r="O189" s="119"/>
      <c r="P189" s="116">
        <v>4894218</v>
      </c>
      <c r="Q189" s="116" t="s">
        <v>2584</v>
      </c>
      <c r="R189" s="116" t="s">
        <v>2435</v>
      </c>
      <c r="S189" s="116" t="s">
        <v>2426</v>
      </c>
      <c r="T189" s="116">
        <v>885899.51</v>
      </c>
      <c r="U189" s="116">
        <v>500000</v>
      </c>
      <c r="V189" s="116" t="s">
        <v>2378</v>
      </c>
      <c r="W189" s="116">
        <v>261502000000000</v>
      </c>
      <c r="X189" s="114">
        <v>46098</v>
      </c>
      <c r="Y189" s="116">
        <v>2015658</v>
      </c>
      <c r="Z189" s="116" t="s">
        <v>3244</v>
      </c>
      <c r="AA189" s="116">
        <v>0.04</v>
      </c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22"/>
      <c r="AN189" s="116" t="s">
        <v>2639</v>
      </c>
      <c r="AO189" s="116" t="s">
        <v>69</v>
      </c>
      <c r="AP189" s="116" t="s">
        <v>2397</v>
      </c>
    </row>
    <row r="190" spans="1:42">
      <c r="A190" s="113" t="s">
        <v>3246</v>
      </c>
      <c r="B190" s="114">
        <v>46098</v>
      </c>
      <c r="C190" s="115">
        <v>0.572256944444444</v>
      </c>
      <c r="D190" s="114">
        <v>46098</v>
      </c>
      <c r="E190" s="115">
        <v>0.574282407407407</v>
      </c>
      <c r="F190" s="116" t="s">
        <v>3247</v>
      </c>
      <c r="G190" s="114">
        <v>46077</v>
      </c>
      <c r="H190" s="116">
        <v>2567297606</v>
      </c>
      <c r="I190" s="116" t="s">
        <v>3248</v>
      </c>
      <c r="J190" s="116" t="s">
        <v>2199</v>
      </c>
      <c r="K190" s="116" t="s">
        <v>2371</v>
      </c>
      <c r="L190" s="116" t="s">
        <v>2372</v>
      </c>
      <c r="M190" s="116" t="s">
        <v>2331</v>
      </c>
      <c r="N190" s="116" t="s">
        <v>3249</v>
      </c>
      <c r="O190" s="119"/>
      <c r="P190" s="116">
        <v>4894398</v>
      </c>
      <c r="Q190" s="116" t="s">
        <v>2759</v>
      </c>
      <c r="R190" s="116" t="s">
        <v>2335</v>
      </c>
      <c r="S190" s="116" t="s">
        <v>2979</v>
      </c>
      <c r="T190" s="116">
        <v>575899.84</v>
      </c>
      <c r="U190" s="116">
        <v>500000</v>
      </c>
      <c r="V190" s="116" t="s">
        <v>2378</v>
      </c>
      <c r="W190" s="116">
        <v>261502000000000</v>
      </c>
      <c r="X190" s="114">
        <v>46098</v>
      </c>
      <c r="Y190" s="116">
        <v>2037562</v>
      </c>
      <c r="Z190" s="116" t="s">
        <v>3248</v>
      </c>
      <c r="AA190" s="116">
        <v>0</v>
      </c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22"/>
      <c r="AN190" s="116" t="s">
        <v>2391</v>
      </c>
      <c r="AO190" s="116" t="s">
        <v>2392</v>
      </c>
      <c r="AP190" s="116" t="s">
        <v>2347</v>
      </c>
    </row>
    <row r="191" spans="1:42">
      <c r="A191" s="113" t="s">
        <v>842</v>
      </c>
      <c r="B191" s="114">
        <v>46098</v>
      </c>
      <c r="C191" s="115">
        <v>0.575150462962963</v>
      </c>
      <c r="D191" s="114">
        <v>46098</v>
      </c>
      <c r="E191" s="115">
        <v>0.577766203703704</v>
      </c>
      <c r="F191" s="116" t="s">
        <v>838</v>
      </c>
      <c r="G191" s="114">
        <v>46083</v>
      </c>
      <c r="H191" s="116">
        <v>2567412371</v>
      </c>
      <c r="I191" s="116" t="s">
        <v>843</v>
      </c>
      <c r="J191" s="116" t="s">
        <v>2189</v>
      </c>
      <c r="K191" s="116" t="s">
        <v>2463</v>
      </c>
      <c r="L191" s="116" t="s">
        <v>2464</v>
      </c>
      <c r="M191" s="116" t="s">
        <v>2331</v>
      </c>
      <c r="N191" s="116" t="s">
        <v>3250</v>
      </c>
      <c r="O191" s="119"/>
      <c r="P191" s="116" t="s">
        <v>841</v>
      </c>
      <c r="Q191" s="116" t="s">
        <v>2334</v>
      </c>
      <c r="R191" s="116" t="s">
        <v>2335</v>
      </c>
      <c r="S191" s="116" t="s">
        <v>3105</v>
      </c>
      <c r="T191" s="116">
        <v>1075054.12</v>
      </c>
      <c r="U191" s="116">
        <v>794394</v>
      </c>
      <c r="V191" s="116" t="s">
        <v>2469</v>
      </c>
      <c r="W191" s="116">
        <v>261517000000000</v>
      </c>
      <c r="X191" s="114">
        <v>46098</v>
      </c>
      <c r="Y191" s="116">
        <v>2040473</v>
      </c>
      <c r="Z191" s="116" t="s">
        <v>843</v>
      </c>
      <c r="AA191" s="116">
        <v>0</v>
      </c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22"/>
      <c r="AN191" s="116" t="s">
        <v>2736</v>
      </c>
      <c r="AO191" s="116" t="s">
        <v>2471</v>
      </c>
      <c r="AP191" s="116" t="s">
        <v>2472</v>
      </c>
    </row>
    <row r="192" spans="1:42">
      <c r="A192" s="113" t="s">
        <v>3251</v>
      </c>
      <c r="B192" s="114">
        <v>46098</v>
      </c>
      <c r="C192" s="115">
        <v>0.575532407407407</v>
      </c>
      <c r="D192" s="114">
        <v>46098</v>
      </c>
      <c r="E192" s="115">
        <v>0.577766203703704</v>
      </c>
      <c r="F192" s="116" t="s">
        <v>3252</v>
      </c>
      <c r="G192" s="114">
        <v>46006</v>
      </c>
      <c r="H192" s="116">
        <v>2565985723</v>
      </c>
      <c r="I192" s="116" t="s">
        <v>3253</v>
      </c>
      <c r="J192" s="116" t="s">
        <v>2199</v>
      </c>
      <c r="K192" s="116" t="s">
        <v>2371</v>
      </c>
      <c r="L192" s="116" t="s">
        <v>2372</v>
      </c>
      <c r="M192" s="116" t="s">
        <v>2331</v>
      </c>
      <c r="N192" s="116" t="s">
        <v>3254</v>
      </c>
      <c r="O192" s="119"/>
      <c r="P192" s="116">
        <v>7799400</v>
      </c>
      <c r="Q192" s="116" t="s">
        <v>2477</v>
      </c>
      <c r="R192" s="116" t="s">
        <v>2530</v>
      </c>
      <c r="S192" s="116" t="s">
        <v>2600</v>
      </c>
      <c r="T192" s="116">
        <v>794499.53</v>
      </c>
      <c r="U192" s="116">
        <v>500000</v>
      </c>
      <c r="V192" s="116" t="s">
        <v>2378</v>
      </c>
      <c r="W192" s="116">
        <v>261502000000000</v>
      </c>
      <c r="X192" s="114">
        <v>46098</v>
      </c>
      <c r="Y192" s="116">
        <v>2006737</v>
      </c>
      <c r="Z192" s="116" t="s">
        <v>3253</v>
      </c>
      <c r="AA192" s="116">
        <v>0.02</v>
      </c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22"/>
      <c r="AN192" s="116" t="s">
        <v>3255</v>
      </c>
      <c r="AO192" s="116" t="s">
        <v>2339</v>
      </c>
      <c r="AP192" s="116" t="s">
        <v>2340</v>
      </c>
    </row>
    <row r="193" spans="1:42">
      <c r="A193" s="113" t="s">
        <v>3256</v>
      </c>
      <c r="B193" s="114">
        <v>46098</v>
      </c>
      <c r="C193" s="115">
        <v>0.57837962962963</v>
      </c>
      <c r="D193" s="114">
        <v>46098</v>
      </c>
      <c r="E193" s="115">
        <v>0.581238425925926</v>
      </c>
      <c r="F193" s="116" t="s">
        <v>3257</v>
      </c>
      <c r="G193" s="114">
        <v>46095</v>
      </c>
      <c r="H193" s="116">
        <v>2567586739</v>
      </c>
      <c r="I193" s="116" t="s">
        <v>3258</v>
      </c>
      <c r="J193" s="116" t="s">
        <v>2199</v>
      </c>
      <c r="K193" s="116" t="s">
        <v>2371</v>
      </c>
      <c r="L193" s="116" t="s">
        <v>2372</v>
      </c>
      <c r="M193" s="116" t="s">
        <v>2331</v>
      </c>
      <c r="N193" s="116" t="s">
        <v>3259</v>
      </c>
      <c r="O193" s="119"/>
      <c r="P193" s="116">
        <v>4914683</v>
      </c>
      <c r="Q193" s="116" t="s">
        <v>2644</v>
      </c>
      <c r="R193" s="116" t="s">
        <v>2335</v>
      </c>
      <c r="S193" s="116" t="s">
        <v>2886</v>
      </c>
      <c r="T193" s="116">
        <v>602499.63</v>
      </c>
      <c r="U193" s="119"/>
      <c r="V193" s="116" t="s">
        <v>2378</v>
      </c>
      <c r="W193" s="116">
        <v>261502000000000</v>
      </c>
      <c r="X193" s="114">
        <v>46098</v>
      </c>
      <c r="Y193" s="116">
        <v>2044617</v>
      </c>
      <c r="Z193" s="116" t="s">
        <v>3258</v>
      </c>
      <c r="AA193" s="116">
        <v>0.01</v>
      </c>
      <c r="AB193" s="119"/>
      <c r="AC193" s="119"/>
      <c r="AD193" s="119"/>
      <c r="AE193" s="119"/>
      <c r="AF193" s="119"/>
      <c r="AG193" s="119"/>
      <c r="AH193" s="119"/>
      <c r="AI193" s="116" t="s">
        <v>3260</v>
      </c>
      <c r="AJ193" s="114">
        <v>46098</v>
      </c>
      <c r="AK193" s="116" t="s">
        <v>1679</v>
      </c>
      <c r="AL193" s="116">
        <v>261502000000000</v>
      </c>
      <c r="AM193" s="116">
        <v>261502000000000</v>
      </c>
      <c r="AN193" s="116" t="s">
        <v>2346</v>
      </c>
      <c r="AO193" s="116" t="s">
        <v>2346</v>
      </c>
      <c r="AP193" s="116" t="s">
        <v>2340</v>
      </c>
    </row>
    <row r="194" spans="1:42">
      <c r="A194" s="113" t="s">
        <v>3261</v>
      </c>
      <c r="B194" s="114">
        <v>46098</v>
      </c>
      <c r="C194" s="115">
        <v>0.609884259259259</v>
      </c>
      <c r="D194" s="114">
        <v>46098</v>
      </c>
      <c r="E194" s="115">
        <v>0.612638888888889</v>
      </c>
      <c r="F194" s="116" t="s">
        <v>3262</v>
      </c>
      <c r="G194" s="114">
        <v>46092</v>
      </c>
      <c r="H194" s="116">
        <v>2567549518</v>
      </c>
      <c r="I194" s="116" t="s">
        <v>3263</v>
      </c>
      <c r="J194" s="116" t="s">
        <v>2222</v>
      </c>
      <c r="K194" s="116" t="s">
        <v>2357</v>
      </c>
      <c r="L194" s="116" t="s">
        <v>2358</v>
      </c>
      <c r="M194" s="116" t="s">
        <v>2331</v>
      </c>
      <c r="N194" s="116" t="s">
        <v>3264</v>
      </c>
      <c r="O194" s="119"/>
      <c r="P194" s="116">
        <v>4916765</v>
      </c>
      <c r="Q194" s="116" t="s">
        <v>2644</v>
      </c>
      <c r="R194" s="116" t="s">
        <v>2435</v>
      </c>
      <c r="S194" s="116" t="s">
        <v>3265</v>
      </c>
      <c r="T194" s="116">
        <v>607399.71</v>
      </c>
      <c r="U194" s="119"/>
      <c r="V194" s="116" t="s">
        <v>2364</v>
      </c>
      <c r="W194" s="116">
        <v>261534000000000</v>
      </c>
      <c r="X194" s="114">
        <v>46098</v>
      </c>
      <c r="Y194" s="116">
        <v>2043625</v>
      </c>
      <c r="Z194" s="116" t="s">
        <v>3263</v>
      </c>
      <c r="AA194" s="116">
        <v>0.02</v>
      </c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22"/>
      <c r="AN194" s="116" t="s">
        <v>3266</v>
      </c>
      <c r="AO194" s="116" t="s">
        <v>2608</v>
      </c>
      <c r="AP194" s="116" t="s">
        <v>2367</v>
      </c>
    </row>
    <row r="195" spans="1:42">
      <c r="A195" s="113" t="s">
        <v>3267</v>
      </c>
      <c r="B195" s="114">
        <v>46098</v>
      </c>
      <c r="C195" s="115">
        <v>0.611030092592593</v>
      </c>
      <c r="D195" s="114">
        <v>46098</v>
      </c>
      <c r="E195" s="115">
        <v>0.612638888888889</v>
      </c>
      <c r="F195" s="116" t="s">
        <v>1166</v>
      </c>
      <c r="G195" s="114">
        <v>46076</v>
      </c>
      <c r="H195" s="116">
        <v>2567275835</v>
      </c>
      <c r="I195" s="116" t="s">
        <v>3268</v>
      </c>
      <c r="J195" s="116" t="s">
        <v>2199</v>
      </c>
      <c r="K195" s="116" t="s">
        <v>2371</v>
      </c>
      <c r="L195" s="116" t="s">
        <v>2372</v>
      </c>
      <c r="M195" s="116" t="s">
        <v>2331</v>
      </c>
      <c r="N195" s="116" t="s">
        <v>3269</v>
      </c>
      <c r="O195" s="119"/>
      <c r="P195" s="116">
        <v>4893228</v>
      </c>
      <c r="Q195" s="116" t="s">
        <v>2405</v>
      </c>
      <c r="R195" s="116" t="s">
        <v>2376</v>
      </c>
      <c r="S195" s="116" t="s">
        <v>2926</v>
      </c>
      <c r="T195" s="116">
        <v>748399.58</v>
      </c>
      <c r="U195" s="116">
        <v>500000</v>
      </c>
      <c r="V195" s="116" t="s">
        <v>2378</v>
      </c>
      <c r="W195" s="116">
        <v>261502000000000</v>
      </c>
      <c r="X195" s="114">
        <v>46098</v>
      </c>
      <c r="Y195" s="116">
        <v>2037374</v>
      </c>
      <c r="Z195" s="116" t="s">
        <v>3268</v>
      </c>
      <c r="AA195" s="116">
        <v>0.03</v>
      </c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22"/>
      <c r="AN195" s="116" t="s">
        <v>2927</v>
      </c>
      <c r="AO195" s="116" t="s">
        <v>2346</v>
      </c>
      <c r="AP195" s="116" t="s">
        <v>2340</v>
      </c>
    </row>
    <row r="196" spans="1:42">
      <c r="A196" s="113" t="s">
        <v>3270</v>
      </c>
      <c r="B196" s="114">
        <v>46098</v>
      </c>
      <c r="C196" s="115">
        <v>0.633506944444444</v>
      </c>
      <c r="D196" s="114">
        <v>46098</v>
      </c>
      <c r="E196" s="115">
        <v>0.636863425925926</v>
      </c>
      <c r="F196" s="116" t="s">
        <v>3271</v>
      </c>
      <c r="G196" s="114">
        <v>45997</v>
      </c>
      <c r="H196" s="116">
        <v>2565835550</v>
      </c>
      <c r="I196" s="116" t="s">
        <v>3272</v>
      </c>
      <c r="J196" s="116" t="s">
        <v>2199</v>
      </c>
      <c r="K196" s="116" t="s">
        <v>2371</v>
      </c>
      <c r="L196" s="116" t="s">
        <v>2372</v>
      </c>
      <c r="M196" s="116" t="s">
        <v>2331</v>
      </c>
      <c r="N196" s="116" t="s">
        <v>3273</v>
      </c>
      <c r="O196" s="119"/>
      <c r="P196" s="116">
        <v>7055643</v>
      </c>
      <c r="Q196" s="116" t="s">
        <v>2613</v>
      </c>
      <c r="R196" s="116" t="s">
        <v>2376</v>
      </c>
      <c r="S196" s="116" t="s">
        <v>2932</v>
      </c>
      <c r="T196" s="116">
        <v>1089689.09</v>
      </c>
      <c r="U196" s="116">
        <v>500000</v>
      </c>
      <c r="V196" s="116" t="s">
        <v>2378</v>
      </c>
      <c r="W196" s="116">
        <v>261502000000000</v>
      </c>
      <c r="X196" s="114">
        <v>46098</v>
      </c>
      <c r="Y196" s="116">
        <v>2001195</v>
      </c>
      <c r="Z196" s="116" t="s">
        <v>3272</v>
      </c>
      <c r="AA196" s="116">
        <v>0.02</v>
      </c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22"/>
      <c r="AN196" s="116" t="s">
        <v>2933</v>
      </c>
      <c r="AO196" s="116" t="s">
        <v>2934</v>
      </c>
      <c r="AP196" s="116" t="s">
        <v>2340</v>
      </c>
    </row>
    <row r="197" spans="1:42">
      <c r="A197" s="113" t="s">
        <v>3274</v>
      </c>
      <c r="B197" s="114">
        <v>46098</v>
      </c>
      <c r="C197" s="115">
        <v>0.639710648148148</v>
      </c>
      <c r="D197" s="114">
        <v>46098</v>
      </c>
      <c r="E197" s="115">
        <v>0.640393518518519</v>
      </c>
      <c r="F197" s="116" t="s">
        <v>3275</v>
      </c>
      <c r="G197" s="114">
        <v>46087</v>
      </c>
      <c r="H197" s="116">
        <v>2567455003</v>
      </c>
      <c r="I197" s="116" t="s">
        <v>3276</v>
      </c>
      <c r="J197" s="116" t="s">
        <v>2222</v>
      </c>
      <c r="K197" s="116" t="s">
        <v>2357</v>
      </c>
      <c r="L197" s="116" t="s">
        <v>2358</v>
      </c>
      <c r="M197" s="116" t="s">
        <v>2331</v>
      </c>
      <c r="N197" s="116" t="s">
        <v>3277</v>
      </c>
      <c r="O197" s="119"/>
      <c r="P197" s="116">
        <v>4914049</v>
      </c>
      <c r="Q197" s="116" t="s">
        <v>2679</v>
      </c>
      <c r="R197" s="116" t="s">
        <v>2435</v>
      </c>
      <c r="S197" s="116" t="s">
        <v>2406</v>
      </c>
      <c r="T197" s="116">
        <v>465099.62</v>
      </c>
      <c r="U197" s="116">
        <v>530000</v>
      </c>
      <c r="V197" s="116" t="s">
        <v>2364</v>
      </c>
      <c r="W197" s="116">
        <v>261534000000000</v>
      </c>
      <c r="X197" s="114">
        <v>46098</v>
      </c>
      <c r="Y197" s="116">
        <v>2041785</v>
      </c>
      <c r="Z197" s="116" t="s">
        <v>3276</v>
      </c>
      <c r="AA197" s="116">
        <v>0</v>
      </c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22"/>
      <c r="AN197" s="116" t="s">
        <v>2407</v>
      </c>
      <c r="AO197" s="116" t="s">
        <v>2408</v>
      </c>
      <c r="AP197" s="116" t="s">
        <v>2367</v>
      </c>
    </row>
    <row r="198" spans="1:42">
      <c r="A198" s="113" t="s">
        <v>3278</v>
      </c>
      <c r="B198" s="114">
        <v>46098</v>
      </c>
      <c r="C198" s="115">
        <v>0.647094907407407</v>
      </c>
      <c r="D198" s="114">
        <v>46098</v>
      </c>
      <c r="E198" s="115">
        <v>0.647256944444444</v>
      </c>
      <c r="F198" s="116" t="s">
        <v>3279</v>
      </c>
      <c r="G198" s="114">
        <v>46036</v>
      </c>
      <c r="H198" s="116">
        <v>2566593551</v>
      </c>
      <c r="I198" s="116" t="s">
        <v>3280</v>
      </c>
      <c r="J198" s="116" t="s">
        <v>2199</v>
      </c>
      <c r="K198" s="116" t="s">
        <v>2371</v>
      </c>
      <c r="L198" s="116" t="s">
        <v>2372</v>
      </c>
      <c r="M198" s="116" t="s">
        <v>2331</v>
      </c>
      <c r="N198" s="116" t="s">
        <v>3281</v>
      </c>
      <c r="O198" s="119"/>
      <c r="P198" s="116">
        <v>4888394</v>
      </c>
      <c r="Q198" s="116" t="s">
        <v>2405</v>
      </c>
      <c r="R198" s="116" t="s">
        <v>2585</v>
      </c>
      <c r="S198" s="116" t="s">
        <v>3082</v>
      </c>
      <c r="T198" s="116">
        <v>747899.55</v>
      </c>
      <c r="U198" s="116">
        <v>500000</v>
      </c>
      <c r="V198" s="116" t="s">
        <v>2378</v>
      </c>
      <c r="W198" s="116">
        <v>261502000000000</v>
      </c>
      <c r="X198" s="114">
        <v>46098</v>
      </c>
      <c r="Y198" s="116">
        <v>2020087</v>
      </c>
      <c r="Z198" s="116" t="s">
        <v>3280</v>
      </c>
      <c r="AA198" s="116">
        <v>-0.01</v>
      </c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22"/>
      <c r="AN198" s="116" t="s">
        <v>3083</v>
      </c>
      <c r="AO198" s="116" t="s">
        <v>2845</v>
      </c>
      <c r="AP198" s="116" t="s">
        <v>2340</v>
      </c>
    </row>
    <row r="199" spans="1:42">
      <c r="A199" s="113" t="s">
        <v>3282</v>
      </c>
      <c r="B199" s="114">
        <v>46098</v>
      </c>
      <c r="C199" s="115">
        <v>0.652037037037037</v>
      </c>
      <c r="D199" s="114">
        <v>46098</v>
      </c>
      <c r="E199" s="115">
        <v>0.654351851851852</v>
      </c>
      <c r="F199" s="116" t="s">
        <v>3283</v>
      </c>
      <c r="G199" s="114">
        <v>46073</v>
      </c>
      <c r="H199" s="116">
        <v>2567241563</v>
      </c>
      <c r="I199" s="116" t="s">
        <v>3284</v>
      </c>
      <c r="J199" s="116" t="s">
        <v>2199</v>
      </c>
      <c r="K199" s="116" t="s">
        <v>2371</v>
      </c>
      <c r="L199" s="116" t="s">
        <v>2372</v>
      </c>
      <c r="M199" s="116" t="s">
        <v>2331</v>
      </c>
      <c r="N199" s="116" t="s">
        <v>3285</v>
      </c>
      <c r="O199" s="119"/>
      <c r="P199" s="116">
        <v>4878704</v>
      </c>
      <c r="Q199" s="116" t="s">
        <v>2702</v>
      </c>
      <c r="R199" s="116" t="s">
        <v>2530</v>
      </c>
      <c r="S199" s="116" t="s">
        <v>2856</v>
      </c>
      <c r="T199" s="116">
        <v>696800.02</v>
      </c>
      <c r="U199" s="119"/>
      <c r="V199" s="116" t="s">
        <v>2378</v>
      </c>
      <c r="W199" s="116">
        <v>261502000000000</v>
      </c>
      <c r="X199" s="114">
        <v>46098</v>
      </c>
      <c r="Y199" s="116">
        <v>2036616</v>
      </c>
      <c r="Z199" s="116" t="s">
        <v>3284</v>
      </c>
      <c r="AA199" s="116">
        <v>0.02</v>
      </c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22"/>
      <c r="AN199" s="116" t="s">
        <v>2857</v>
      </c>
      <c r="AO199" s="116" t="s">
        <v>2380</v>
      </c>
      <c r="AP199" s="116" t="s">
        <v>2340</v>
      </c>
    </row>
    <row r="200" spans="1:42">
      <c r="A200" s="113" t="s">
        <v>3286</v>
      </c>
      <c r="B200" s="114">
        <v>46098</v>
      </c>
      <c r="C200" s="115">
        <v>0.670983796296296</v>
      </c>
      <c r="D200" s="114">
        <v>46098</v>
      </c>
      <c r="E200" s="115">
        <v>0.671643518518519</v>
      </c>
      <c r="F200" s="116" t="s">
        <v>3287</v>
      </c>
      <c r="G200" s="114">
        <v>46095</v>
      </c>
      <c r="H200" s="116">
        <v>2567599331</v>
      </c>
      <c r="I200" s="116" t="s">
        <v>3288</v>
      </c>
      <c r="J200" s="116" t="s">
        <v>2199</v>
      </c>
      <c r="K200" s="116" t="s">
        <v>2371</v>
      </c>
      <c r="L200" s="116" t="s">
        <v>2372</v>
      </c>
      <c r="M200" s="116" t="s">
        <v>2331</v>
      </c>
      <c r="N200" s="116" t="s">
        <v>3289</v>
      </c>
      <c r="O200" s="119"/>
      <c r="P200" s="116">
        <v>4523064</v>
      </c>
      <c r="Q200" s="116" t="s">
        <v>3290</v>
      </c>
      <c r="R200" s="116" t="s">
        <v>2435</v>
      </c>
      <c r="S200" s="116" t="s">
        <v>2850</v>
      </c>
      <c r="T200" s="116">
        <v>1235432.63</v>
      </c>
      <c r="U200" s="116">
        <v>500000</v>
      </c>
      <c r="V200" s="116" t="s">
        <v>2378</v>
      </c>
      <c r="W200" s="116">
        <v>261502000000000</v>
      </c>
      <c r="X200" s="114">
        <v>46098</v>
      </c>
      <c r="Y200" s="116">
        <v>2044705</v>
      </c>
      <c r="Z200" s="116" t="s">
        <v>3288</v>
      </c>
      <c r="AA200" s="116">
        <v>0</v>
      </c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22"/>
      <c r="AN200" s="116" t="s">
        <v>2792</v>
      </c>
      <c r="AO200" s="116" t="s">
        <v>69</v>
      </c>
      <c r="AP200" s="116" t="s">
        <v>2397</v>
      </c>
    </row>
    <row r="201" spans="1:42">
      <c r="A201" s="113" t="s">
        <v>3291</v>
      </c>
      <c r="B201" s="114">
        <v>46098</v>
      </c>
      <c r="C201" s="115">
        <v>0.671168981481482</v>
      </c>
      <c r="D201" s="114">
        <v>46098</v>
      </c>
      <c r="E201" s="115">
        <v>0.671643518518519</v>
      </c>
      <c r="F201" s="116" t="s">
        <v>3292</v>
      </c>
      <c r="G201" s="114">
        <v>45981</v>
      </c>
      <c r="H201" s="116">
        <v>2565563778</v>
      </c>
      <c r="I201" s="116" t="s">
        <v>3293</v>
      </c>
      <c r="J201" s="116" t="s">
        <v>2203</v>
      </c>
      <c r="K201" s="116" t="s">
        <v>2526</v>
      </c>
      <c r="L201" s="116" t="s">
        <v>2527</v>
      </c>
      <c r="M201" s="116" t="s">
        <v>2331</v>
      </c>
      <c r="N201" s="116" t="s">
        <v>3294</v>
      </c>
      <c r="O201" s="119"/>
      <c r="P201" s="116">
        <v>7801281</v>
      </c>
      <c r="Q201" s="116" t="s">
        <v>2954</v>
      </c>
      <c r="R201" s="116" t="s">
        <v>2435</v>
      </c>
      <c r="S201" s="116" t="s">
        <v>2804</v>
      </c>
      <c r="T201" s="116">
        <v>844499.67</v>
      </c>
      <c r="U201" s="116">
        <v>500000</v>
      </c>
      <c r="V201" s="116" t="s">
        <v>2532</v>
      </c>
      <c r="W201" s="116">
        <v>261536000000000</v>
      </c>
      <c r="X201" s="114">
        <v>46098</v>
      </c>
      <c r="Y201" s="116">
        <v>1993022</v>
      </c>
      <c r="Z201" s="116" t="s">
        <v>3293</v>
      </c>
      <c r="AA201" s="116">
        <v>0.02</v>
      </c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22"/>
      <c r="AN201" s="116" t="s">
        <v>3295</v>
      </c>
      <c r="AO201" s="116" t="s">
        <v>3296</v>
      </c>
      <c r="AP201" s="116" t="s">
        <v>2413</v>
      </c>
    </row>
    <row r="202" spans="1:42">
      <c r="A202" s="113" t="s">
        <v>3297</v>
      </c>
      <c r="B202" s="114">
        <v>46098</v>
      </c>
      <c r="C202" s="115">
        <v>0.676655092592593</v>
      </c>
      <c r="D202" s="114">
        <v>46098</v>
      </c>
      <c r="E202" s="115">
        <v>0.678518518518519</v>
      </c>
      <c r="F202" s="116" t="s">
        <v>3298</v>
      </c>
      <c r="G202" s="114">
        <v>46050</v>
      </c>
      <c r="H202" s="116">
        <v>2566829011</v>
      </c>
      <c r="I202" s="116" t="s">
        <v>3299</v>
      </c>
      <c r="J202" s="116" t="s">
        <v>2199</v>
      </c>
      <c r="K202" s="116" t="s">
        <v>2371</v>
      </c>
      <c r="L202" s="116" t="s">
        <v>2372</v>
      </c>
      <c r="M202" s="116" t="s">
        <v>2331</v>
      </c>
      <c r="N202" s="116" t="s">
        <v>3300</v>
      </c>
      <c r="O202" s="119"/>
      <c r="P202" s="116">
        <v>7934227</v>
      </c>
      <c r="Q202" s="116" t="s">
        <v>3301</v>
      </c>
      <c r="R202" s="116" t="s">
        <v>2435</v>
      </c>
      <c r="S202" s="116" t="s">
        <v>2979</v>
      </c>
      <c r="T202" s="116">
        <v>1267291.67</v>
      </c>
      <c r="U202" s="116">
        <v>500000</v>
      </c>
      <c r="V202" s="116" t="s">
        <v>2378</v>
      </c>
      <c r="W202" s="116">
        <v>261502000000000</v>
      </c>
      <c r="X202" s="114">
        <v>46098</v>
      </c>
      <c r="Y202" s="116">
        <v>2022956</v>
      </c>
      <c r="Z202" s="116" t="s">
        <v>3299</v>
      </c>
      <c r="AA202" s="116">
        <v>14285.69</v>
      </c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22"/>
      <c r="AN202" s="116" t="s">
        <v>3302</v>
      </c>
      <c r="AO202" s="116" t="s">
        <v>56</v>
      </c>
      <c r="AP202" s="116" t="s">
        <v>2515</v>
      </c>
    </row>
    <row r="203" spans="1:42">
      <c r="A203" s="113" t="s">
        <v>858</v>
      </c>
      <c r="B203" s="114">
        <v>46098</v>
      </c>
      <c r="C203" s="115">
        <v>0.686145833333333</v>
      </c>
      <c r="D203" s="114">
        <v>46098</v>
      </c>
      <c r="E203" s="115">
        <v>0.689016203703704</v>
      </c>
      <c r="F203" s="116" t="s">
        <v>854</v>
      </c>
      <c r="G203" s="114">
        <v>46090</v>
      </c>
      <c r="H203" s="116">
        <v>2567485885</v>
      </c>
      <c r="I203" s="116" t="s">
        <v>859</v>
      </c>
      <c r="J203" s="116" t="s">
        <v>2141</v>
      </c>
      <c r="K203" s="116" t="s">
        <v>2329</v>
      </c>
      <c r="L203" s="116" t="s">
        <v>2330</v>
      </c>
      <c r="M203" s="116" t="s">
        <v>2331</v>
      </c>
      <c r="N203" s="116" t="s">
        <v>3303</v>
      </c>
      <c r="O203" s="119"/>
      <c r="P203" s="116" t="s">
        <v>857</v>
      </c>
      <c r="Q203" s="116" t="s">
        <v>2334</v>
      </c>
      <c r="R203" s="116" t="s">
        <v>2335</v>
      </c>
      <c r="S203" s="116" t="s">
        <v>3304</v>
      </c>
      <c r="T203" s="116">
        <v>1074538.98</v>
      </c>
      <c r="U203" s="116">
        <v>939800</v>
      </c>
      <c r="V203" s="116" t="s">
        <v>2337</v>
      </c>
      <c r="W203" s="116">
        <v>261501000000000</v>
      </c>
      <c r="X203" s="114">
        <v>46098</v>
      </c>
      <c r="Y203" s="116">
        <v>2042661</v>
      </c>
      <c r="Z203" s="116" t="s">
        <v>859</v>
      </c>
      <c r="AA203" s="116">
        <v>-0.06</v>
      </c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22"/>
      <c r="AN203" s="116" t="s">
        <v>3305</v>
      </c>
      <c r="AO203" s="116" t="s">
        <v>3223</v>
      </c>
      <c r="AP203" s="116" t="s">
        <v>2397</v>
      </c>
    </row>
    <row r="204" spans="1:42">
      <c r="A204" s="113" t="s">
        <v>3306</v>
      </c>
      <c r="B204" s="114">
        <v>46098</v>
      </c>
      <c r="C204" s="115">
        <v>0.695115740740741</v>
      </c>
      <c r="D204" s="114">
        <v>46098</v>
      </c>
      <c r="E204" s="115">
        <v>0.696018518518518</v>
      </c>
      <c r="F204" s="116" t="s">
        <v>3307</v>
      </c>
      <c r="G204" s="114">
        <v>46053</v>
      </c>
      <c r="H204" s="116">
        <v>2566899437</v>
      </c>
      <c r="I204" s="116" t="s">
        <v>3308</v>
      </c>
      <c r="J204" s="116" t="s">
        <v>2203</v>
      </c>
      <c r="K204" s="116" t="s">
        <v>2526</v>
      </c>
      <c r="L204" s="116" t="s">
        <v>2527</v>
      </c>
      <c r="M204" s="116" t="s">
        <v>2331</v>
      </c>
      <c r="N204" s="116" t="s">
        <v>3309</v>
      </c>
      <c r="O204" s="119"/>
      <c r="P204" s="116">
        <v>4893936</v>
      </c>
      <c r="Q204" s="116" t="s">
        <v>2783</v>
      </c>
      <c r="R204" s="116" t="s">
        <v>2435</v>
      </c>
      <c r="S204" s="116" t="s">
        <v>2804</v>
      </c>
      <c r="T204" s="116">
        <v>659899.79</v>
      </c>
      <c r="U204" s="116">
        <v>500000</v>
      </c>
      <c r="V204" s="116" t="s">
        <v>2532</v>
      </c>
      <c r="W204" s="116">
        <v>261536000000000</v>
      </c>
      <c r="X204" s="114">
        <v>46098</v>
      </c>
      <c r="Y204" s="116">
        <v>2027803</v>
      </c>
      <c r="Z204" s="116" t="s">
        <v>3308</v>
      </c>
      <c r="AA204" s="116">
        <v>0.02</v>
      </c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22"/>
      <c r="AN204" s="116" t="s">
        <v>2805</v>
      </c>
      <c r="AO204" s="116" t="s">
        <v>2668</v>
      </c>
      <c r="AP204" s="116" t="s">
        <v>2533</v>
      </c>
    </row>
    <row r="205" spans="1:42">
      <c r="A205" s="113" t="s">
        <v>3310</v>
      </c>
      <c r="B205" s="114">
        <v>46098</v>
      </c>
      <c r="C205" s="115">
        <v>0.727476851851852</v>
      </c>
      <c r="D205" s="114">
        <v>46098</v>
      </c>
      <c r="E205" s="115">
        <v>0.730671296296296</v>
      </c>
      <c r="F205" s="116" t="s">
        <v>3311</v>
      </c>
      <c r="G205" s="114">
        <v>46078</v>
      </c>
      <c r="H205" s="116">
        <v>2567319589</v>
      </c>
      <c r="I205" s="116" t="s">
        <v>3312</v>
      </c>
      <c r="J205" s="116" t="s">
        <v>2213</v>
      </c>
      <c r="K205" s="116" t="s">
        <v>2454</v>
      </c>
      <c r="L205" s="116" t="s">
        <v>2455</v>
      </c>
      <c r="M205" s="116" t="s">
        <v>2331</v>
      </c>
      <c r="N205" s="116" t="s">
        <v>3313</v>
      </c>
      <c r="O205" s="119"/>
      <c r="P205" s="116" t="s">
        <v>3314</v>
      </c>
      <c r="Q205" s="116" t="s">
        <v>2548</v>
      </c>
      <c r="R205" s="116" t="s">
        <v>2344</v>
      </c>
      <c r="S205" s="116" t="s">
        <v>3315</v>
      </c>
      <c r="T205" s="116">
        <v>467400.54</v>
      </c>
      <c r="U205" s="116">
        <v>498900</v>
      </c>
      <c r="V205" s="116" t="s">
        <v>2460</v>
      </c>
      <c r="W205" s="116">
        <v>261532000000000</v>
      </c>
      <c r="X205" s="114">
        <v>46098</v>
      </c>
      <c r="Y205" s="116">
        <v>2038302</v>
      </c>
      <c r="Z205" s="116" t="s">
        <v>3312</v>
      </c>
      <c r="AA205" s="116">
        <v>-0.03</v>
      </c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22"/>
      <c r="AN205" s="116" t="s">
        <v>2346</v>
      </c>
      <c r="AO205" s="116" t="s">
        <v>2346</v>
      </c>
      <c r="AP205" s="116" t="s">
        <v>2659</v>
      </c>
    </row>
    <row r="206" spans="1:42">
      <c r="A206" s="113" t="s">
        <v>3316</v>
      </c>
      <c r="B206" s="114">
        <v>46098</v>
      </c>
      <c r="C206" s="115">
        <v>0.732546296296296</v>
      </c>
      <c r="D206" s="114">
        <v>46098</v>
      </c>
      <c r="E206" s="115">
        <v>0.734178240740741</v>
      </c>
      <c r="F206" s="116" t="s">
        <v>3257</v>
      </c>
      <c r="G206" s="114">
        <v>46095</v>
      </c>
      <c r="H206" s="116">
        <v>2567586739</v>
      </c>
      <c r="I206" s="116" t="s">
        <v>3258</v>
      </c>
      <c r="J206" s="116" t="s">
        <v>2199</v>
      </c>
      <c r="K206" s="116" t="s">
        <v>2371</v>
      </c>
      <c r="L206" s="116" t="s">
        <v>2372</v>
      </c>
      <c r="M206" s="116" t="s">
        <v>2331</v>
      </c>
      <c r="N206" s="116" t="s">
        <v>3259</v>
      </c>
      <c r="O206" s="119"/>
      <c r="P206" s="116">
        <v>4914683</v>
      </c>
      <c r="Q206" s="116" t="s">
        <v>2644</v>
      </c>
      <c r="R206" s="116" t="s">
        <v>2335</v>
      </c>
      <c r="S206" s="116" t="s">
        <v>2886</v>
      </c>
      <c r="T206" s="116">
        <v>599499.61</v>
      </c>
      <c r="U206" s="119"/>
      <c r="V206" s="116" t="s">
        <v>2378</v>
      </c>
      <c r="W206" s="116">
        <v>261502000000000</v>
      </c>
      <c r="X206" s="114">
        <v>46098</v>
      </c>
      <c r="Y206" s="116">
        <v>2044617</v>
      </c>
      <c r="Z206" s="116" t="s">
        <v>3258</v>
      </c>
      <c r="AA206" s="116">
        <v>0</v>
      </c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22"/>
      <c r="AN206" s="116" t="s">
        <v>2346</v>
      </c>
      <c r="AO206" s="116" t="s">
        <v>2346</v>
      </c>
      <c r="AP206" s="116" t="s">
        <v>2340</v>
      </c>
    </row>
    <row r="207" spans="1:42">
      <c r="A207" s="113" t="s">
        <v>865</v>
      </c>
      <c r="B207" s="114">
        <v>46098</v>
      </c>
      <c r="C207" s="115">
        <v>0.732800925925926</v>
      </c>
      <c r="D207" s="114">
        <v>46098</v>
      </c>
      <c r="E207" s="115">
        <v>0.734178240740741</v>
      </c>
      <c r="F207" s="116" t="s">
        <v>862</v>
      </c>
      <c r="G207" s="114">
        <v>46067</v>
      </c>
      <c r="H207" s="116">
        <v>2567136986</v>
      </c>
      <c r="I207" s="116" t="s">
        <v>866</v>
      </c>
      <c r="J207" s="116" t="s">
        <v>2141</v>
      </c>
      <c r="K207" s="116" t="s">
        <v>2329</v>
      </c>
      <c r="L207" s="116" t="s">
        <v>2330</v>
      </c>
      <c r="M207" s="116" t="s">
        <v>2331</v>
      </c>
      <c r="N207" s="116" t="s">
        <v>3317</v>
      </c>
      <c r="O207" s="119"/>
      <c r="P207" s="116">
        <v>1431340</v>
      </c>
      <c r="Q207" s="116" t="s">
        <v>2343</v>
      </c>
      <c r="R207" s="116" t="s">
        <v>2344</v>
      </c>
      <c r="S207" s="116" t="s">
        <v>2791</v>
      </c>
      <c r="T207" s="116">
        <v>570900.18</v>
      </c>
      <c r="U207" s="116">
        <v>544186</v>
      </c>
      <c r="V207" s="116" t="s">
        <v>2337</v>
      </c>
      <c r="W207" s="116">
        <v>261501000000000</v>
      </c>
      <c r="X207" s="114">
        <v>46098</v>
      </c>
      <c r="Y207" s="116">
        <v>2034263</v>
      </c>
      <c r="Z207" s="116" t="s">
        <v>866</v>
      </c>
      <c r="AA207" s="116">
        <v>-0.03</v>
      </c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22"/>
      <c r="AN207" s="116" t="s">
        <v>2792</v>
      </c>
      <c r="AO207" s="116" t="s">
        <v>69</v>
      </c>
      <c r="AP207" s="116" t="s">
        <v>2397</v>
      </c>
    </row>
    <row r="208" spans="1:42">
      <c r="A208" s="113" t="s">
        <v>3318</v>
      </c>
      <c r="B208" s="114">
        <v>46098</v>
      </c>
      <c r="C208" s="115">
        <v>0.740173611111111</v>
      </c>
      <c r="D208" s="114">
        <v>46098</v>
      </c>
      <c r="E208" s="115">
        <v>0.74119212962963</v>
      </c>
      <c r="F208" s="116" t="s">
        <v>3319</v>
      </c>
      <c r="G208" s="114">
        <v>46053</v>
      </c>
      <c r="H208" s="116">
        <v>2566918177</v>
      </c>
      <c r="I208" s="116" t="s">
        <v>3320</v>
      </c>
      <c r="J208" s="116" t="s">
        <v>2199</v>
      </c>
      <c r="K208" s="116" t="s">
        <v>2371</v>
      </c>
      <c r="L208" s="116" t="s">
        <v>2372</v>
      </c>
      <c r="M208" s="116" t="s">
        <v>2331</v>
      </c>
      <c r="N208" s="116" t="s">
        <v>3321</v>
      </c>
      <c r="O208" s="119"/>
      <c r="P208" s="116">
        <v>4889864</v>
      </c>
      <c r="Q208" s="116" t="s">
        <v>2783</v>
      </c>
      <c r="R208" s="116" t="s">
        <v>2435</v>
      </c>
      <c r="S208" s="116" t="s">
        <v>2600</v>
      </c>
      <c r="T208" s="116">
        <v>657899.77</v>
      </c>
      <c r="U208" s="116">
        <v>500000</v>
      </c>
      <c r="V208" s="116" t="s">
        <v>2378</v>
      </c>
      <c r="W208" s="116">
        <v>261502000000000</v>
      </c>
      <c r="X208" s="114">
        <v>46098</v>
      </c>
      <c r="Y208" s="116">
        <v>2022846</v>
      </c>
      <c r="Z208" s="116" t="s">
        <v>3320</v>
      </c>
      <c r="AA208" s="116">
        <v>-0.01</v>
      </c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22"/>
      <c r="AN208" s="116" t="s">
        <v>2601</v>
      </c>
      <c r="AO208" s="116" t="s">
        <v>2511</v>
      </c>
      <c r="AP208" s="116" t="s">
        <v>2397</v>
      </c>
    </row>
    <row r="209" spans="1:42">
      <c r="A209" s="113" t="s">
        <v>3322</v>
      </c>
      <c r="B209" s="114">
        <v>46098</v>
      </c>
      <c r="C209" s="115">
        <v>0.743738425925926</v>
      </c>
      <c r="D209" s="114">
        <v>46098</v>
      </c>
      <c r="E209" s="115">
        <v>0.744652777777778</v>
      </c>
      <c r="F209" s="116" t="s">
        <v>3323</v>
      </c>
      <c r="G209" s="114">
        <v>46008</v>
      </c>
      <c r="H209" s="116">
        <v>2566054612</v>
      </c>
      <c r="I209" s="116" t="s">
        <v>3324</v>
      </c>
      <c r="J209" s="116" t="s">
        <v>2203</v>
      </c>
      <c r="K209" s="116" t="s">
        <v>2526</v>
      </c>
      <c r="L209" s="116" t="s">
        <v>2527</v>
      </c>
      <c r="M209" s="116" t="s">
        <v>2331</v>
      </c>
      <c r="N209" s="116" t="s">
        <v>3325</v>
      </c>
      <c r="O209" s="119"/>
      <c r="P209" s="116">
        <v>7799388</v>
      </c>
      <c r="Q209" s="116" t="s">
        <v>3028</v>
      </c>
      <c r="R209" s="116" t="s">
        <v>2530</v>
      </c>
      <c r="S209" s="116" t="s">
        <v>2531</v>
      </c>
      <c r="T209" s="116">
        <v>806400.04</v>
      </c>
      <c r="U209" s="116">
        <v>500000</v>
      </c>
      <c r="V209" s="116" t="s">
        <v>2532</v>
      </c>
      <c r="W209" s="116">
        <v>261536000000000</v>
      </c>
      <c r="X209" s="114">
        <v>46098</v>
      </c>
      <c r="Y209" s="116">
        <v>2008324</v>
      </c>
      <c r="Z209" s="116" t="s">
        <v>3324</v>
      </c>
      <c r="AA209" s="116">
        <v>0.02</v>
      </c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22"/>
      <c r="AN209" s="116" t="s">
        <v>3326</v>
      </c>
      <c r="AO209" s="116" t="s">
        <v>3296</v>
      </c>
      <c r="AP209" s="116" t="s">
        <v>2413</v>
      </c>
    </row>
    <row r="210" spans="1:42">
      <c r="A210" s="113" t="s">
        <v>3327</v>
      </c>
      <c r="B210" s="114">
        <v>46098</v>
      </c>
      <c r="C210" s="115">
        <v>0.744039351851852</v>
      </c>
      <c r="D210" s="114">
        <v>46098</v>
      </c>
      <c r="E210" s="115">
        <v>0.744652777777778</v>
      </c>
      <c r="F210" s="116" t="s">
        <v>3328</v>
      </c>
      <c r="G210" s="114">
        <v>46030</v>
      </c>
      <c r="H210" s="116">
        <v>2566507943</v>
      </c>
      <c r="I210" s="116" t="s">
        <v>3329</v>
      </c>
      <c r="J210" s="116" t="s">
        <v>2222</v>
      </c>
      <c r="K210" s="116" t="s">
        <v>2357</v>
      </c>
      <c r="L210" s="116" t="s">
        <v>2358</v>
      </c>
      <c r="M210" s="116" t="s">
        <v>2331</v>
      </c>
      <c r="N210" s="116" t="s">
        <v>3330</v>
      </c>
      <c r="O210" s="119"/>
      <c r="P210" s="116">
        <v>7802337</v>
      </c>
      <c r="Q210" s="116" t="s">
        <v>2954</v>
      </c>
      <c r="R210" s="116" t="s">
        <v>2585</v>
      </c>
      <c r="S210" s="116" t="s">
        <v>2724</v>
      </c>
      <c r="T210" s="116">
        <v>844499.67</v>
      </c>
      <c r="U210" s="119"/>
      <c r="V210" s="116" t="s">
        <v>2364</v>
      </c>
      <c r="W210" s="116">
        <v>261534000000000</v>
      </c>
      <c r="X210" s="114">
        <v>46098</v>
      </c>
      <c r="Y210" s="116">
        <v>2017464</v>
      </c>
      <c r="Z210" s="116" t="s">
        <v>3329</v>
      </c>
      <c r="AA210" s="116">
        <v>0.01</v>
      </c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22"/>
      <c r="AN210" s="116" t="s">
        <v>2725</v>
      </c>
      <c r="AO210" s="116" t="s">
        <v>2726</v>
      </c>
      <c r="AP210" s="116" t="s">
        <v>2367</v>
      </c>
    </row>
    <row r="211" spans="1:42">
      <c r="A211" s="113" t="s">
        <v>3331</v>
      </c>
      <c r="B211" s="114">
        <v>46098</v>
      </c>
      <c r="C211" s="115">
        <v>0.74443287037037</v>
      </c>
      <c r="D211" s="114">
        <v>46098</v>
      </c>
      <c r="E211" s="115">
        <v>0.748020833333333</v>
      </c>
      <c r="F211" s="116" t="s">
        <v>3332</v>
      </c>
      <c r="G211" s="114">
        <v>46015</v>
      </c>
      <c r="H211" s="116">
        <v>2566186137</v>
      </c>
      <c r="I211" s="116" t="s">
        <v>3333</v>
      </c>
      <c r="J211" s="116" t="s">
        <v>2226</v>
      </c>
      <c r="K211" s="116" t="s">
        <v>2566</v>
      </c>
      <c r="L211" s="116" t="s">
        <v>2567</v>
      </c>
      <c r="M211" s="116" t="s">
        <v>2331</v>
      </c>
      <c r="N211" s="116" t="s">
        <v>3334</v>
      </c>
      <c r="O211" s="119"/>
      <c r="P211" s="116">
        <v>4916966</v>
      </c>
      <c r="Q211" s="116" t="s">
        <v>2490</v>
      </c>
      <c r="R211" s="116" t="s">
        <v>2376</v>
      </c>
      <c r="S211" s="116" t="s">
        <v>3335</v>
      </c>
      <c r="T211" s="116">
        <v>589500</v>
      </c>
      <c r="U211" s="116">
        <v>620000</v>
      </c>
      <c r="V211" s="116" t="s">
        <v>2570</v>
      </c>
      <c r="W211" s="116">
        <v>261531000000000</v>
      </c>
      <c r="X211" s="114">
        <v>46098</v>
      </c>
      <c r="Y211" s="116">
        <v>2011094</v>
      </c>
      <c r="Z211" s="116" t="s">
        <v>3333</v>
      </c>
      <c r="AA211" s="116">
        <v>0</v>
      </c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22"/>
      <c r="AN211" s="116" t="s">
        <v>2346</v>
      </c>
      <c r="AO211" s="116" t="s">
        <v>2346</v>
      </c>
      <c r="AP211" s="116" t="s">
        <v>2571</v>
      </c>
    </row>
    <row r="212" spans="1:42">
      <c r="A212" s="113" t="s">
        <v>3336</v>
      </c>
      <c r="B212" s="114">
        <v>46098</v>
      </c>
      <c r="C212" s="115">
        <v>0.749606481481481</v>
      </c>
      <c r="D212" s="114">
        <v>46098</v>
      </c>
      <c r="E212" s="115">
        <v>0.751875</v>
      </c>
      <c r="F212" s="116" t="s">
        <v>3337</v>
      </c>
      <c r="G212" s="114">
        <v>46088</v>
      </c>
      <c r="H212" s="116">
        <v>2567477349</v>
      </c>
      <c r="I212" s="116" t="s">
        <v>3338</v>
      </c>
      <c r="J212" s="116" t="s">
        <v>2213</v>
      </c>
      <c r="K212" s="116" t="s">
        <v>2454</v>
      </c>
      <c r="L212" s="116" t="s">
        <v>2455</v>
      </c>
      <c r="M212" s="116" t="s">
        <v>2331</v>
      </c>
      <c r="N212" s="116" t="s">
        <v>3339</v>
      </c>
      <c r="O212" s="119"/>
      <c r="P212" s="116">
        <v>4451269</v>
      </c>
      <c r="Q212" s="116" t="s">
        <v>3340</v>
      </c>
      <c r="R212" s="116" t="s">
        <v>2344</v>
      </c>
      <c r="S212" s="116" t="s">
        <v>3144</v>
      </c>
      <c r="T212" s="116">
        <v>479598.37</v>
      </c>
      <c r="U212" s="116">
        <v>490000</v>
      </c>
      <c r="V212" s="116" t="s">
        <v>2460</v>
      </c>
      <c r="W212" s="116">
        <v>261532000000000</v>
      </c>
      <c r="X212" s="114">
        <v>46098</v>
      </c>
      <c r="Y212" s="116">
        <v>2042603</v>
      </c>
      <c r="Z212" s="116" t="s">
        <v>3338</v>
      </c>
      <c r="AA212" s="116">
        <v>-0.05</v>
      </c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22"/>
      <c r="AN212" s="116" t="s">
        <v>2346</v>
      </c>
      <c r="AO212" s="116" t="s">
        <v>2346</v>
      </c>
      <c r="AP212" s="116" t="s">
        <v>2659</v>
      </c>
    </row>
    <row r="213" spans="1:42">
      <c r="A213" s="113" t="s">
        <v>3341</v>
      </c>
      <c r="B213" s="114">
        <v>46098</v>
      </c>
      <c r="C213" s="115">
        <v>0.751550925925926</v>
      </c>
      <c r="D213" s="114">
        <v>46098</v>
      </c>
      <c r="E213" s="115">
        <v>0.75849537037037</v>
      </c>
      <c r="F213" s="116" t="s">
        <v>3342</v>
      </c>
      <c r="G213" s="114">
        <v>46083</v>
      </c>
      <c r="H213" s="116">
        <v>2567402676</v>
      </c>
      <c r="I213" s="116" t="s">
        <v>3343</v>
      </c>
      <c r="J213" s="116" t="s">
        <v>2222</v>
      </c>
      <c r="K213" s="116" t="s">
        <v>2357</v>
      </c>
      <c r="L213" s="116" t="s">
        <v>2358</v>
      </c>
      <c r="M213" s="116" t="s">
        <v>2331</v>
      </c>
      <c r="N213" s="116" t="s">
        <v>3344</v>
      </c>
      <c r="O213" s="119"/>
      <c r="P213" s="116">
        <v>7801789</v>
      </c>
      <c r="Q213" s="116" t="s">
        <v>2477</v>
      </c>
      <c r="R213" s="116" t="s">
        <v>2335</v>
      </c>
      <c r="S213" s="116" t="s">
        <v>3345</v>
      </c>
      <c r="T213" s="116">
        <v>784499.55</v>
      </c>
      <c r="U213" s="116">
        <v>700000</v>
      </c>
      <c r="V213" s="116" t="s">
        <v>2364</v>
      </c>
      <c r="W213" s="116">
        <v>261534000000000</v>
      </c>
      <c r="X213" s="114">
        <v>46098</v>
      </c>
      <c r="Y213" s="116">
        <v>2040451</v>
      </c>
      <c r="Z213" s="116" t="s">
        <v>3343</v>
      </c>
      <c r="AA213" s="116">
        <v>0.02</v>
      </c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22"/>
      <c r="AN213" s="116" t="s">
        <v>3346</v>
      </c>
      <c r="AO213" s="116" t="s">
        <v>2608</v>
      </c>
      <c r="AP213" s="116" t="s">
        <v>2367</v>
      </c>
    </row>
    <row r="214" spans="1:42">
      <c r="A214" s="113" t="s">
        <v>3347</v>
      </c>
      <c r="B214" s="114">
        <v>46098</v>
      </c>
      <c r="C214" s="115">
        <v>0.753611111111111</v>
      </c>
      <c r="D214" s="114">
        <v>46098</v>
      </c>
      <c r="E214" s="115">
        <v>0.75849537037037</v>
      </c>
      <c r="F214" s="116" t="s">
        <v>3348</v>
      </c>
      <c r="G214" s="114">
        <v>46098</v>
      </c>
      <c r="H214" s="116">
        <v>2567653758</v>
      </c>
      <c r="I214" s="116" t="s">
        <v>3349</v>
      </c>
      <c r="J214" s="116" t="s">
        <v>2213</v>
      </c>
      <c r="K214" s="116" t="s">
        <v>2454</v>
      </c>
      <c r="L214" s="116" t="s">
        <v>2455</v>
      </c>
      <c r="M214" s="116" t="s">
        <v>2331</v>
      </c>
      <c r="N214" s="116" t="s">
        <v>3350</v>
      </c>
      <c r="O214" s="119"/>
      <c r="P214" s="116" t="s">
        <v>3351</v>
      </c>
      <c r="Q214" s="116" t="s">
        <v>2548</v>
      </c>
      <c r="R214" s="116" t="s">
        <v>2344</v>
      </c>
      <c r="S214" s="116" t="s">
        <v>2459</v>
      </c>
      <c r="T214" s="116">
        <v>461800.03</v>
      </c>
      <c r="U214" s="119"/>
      <c r="V214" s="116" t="s">
        <v>2460</v>
      </c>
      <c r="W214" s="116">
        <v>261532000000000</v>
      </c>
      <c r="X214" s="114">
        <v>46098</v>
      </c>
      <c r="Y214" s="116">
        <v>2040614</v>
      </c>
      <c r="Z214" s="116" t="s">
        <v>3349</v>
      </c>
      <c r="AA214" s="116">
        <v>-0.02</v>
      </c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22"/>
      <c r="AN214" s="116" t="s">
        <v>2346</v>
      </c>
      <c r="AO214" s="116" t="s">
        <v>2346</v>
      </c>
      <c r="AP214" s="123"/>
    </row>
    <row r="215" spans="1:42">
      <c r="A215" s="109" t="s">
        <v>3352</v>
      </c>
      <c r="B215" s="110">
        <v>46099</v>
      </c>
      <c r="C215" s="111">
        <v>0.572210648148148</v>
      </c>
      <c r="D215" s="110">
        <v>46099</v>
      </c>
      <c r="E215" s="111">
        <v>0.572962962962963</v>
      </c>
      <c r="F215" s="112" t="s">
        <v>3353</v>
      </c>
      <c r="G215" s="110">
        <v>46053</v>
      </c>
      <c r="H215" s="112">
        <v>2566914894</v>
      </c>
      <c r="I215" s="112" t="s">
        <v>3354</v>
      </c>
      <c r="J215" s="112" t="s">
        <v>2199</v>
      </c>
      <c r="K215" s="112" t="s">
        <v>2371</v>
      </c>
      <c r="L215" s="112" t="s">
        <v>2372</v>
      </c>
      <c r="M215" s="112" t="s">
        <v>2331</v>
      </c>
      <c r="N215" s="112" t="s">
        <v>3355</v>
      </c>
      <c r="O215" s="118"/>
      <c r="P215" s="112">
        <v>7935127</v>
      </c>
      <c r="Q215" s="112" t="s">
        <v>3356</v>
      </c>
      <c r="R215" s="112" t="s">
        <v>2530</v>
      </c>
      <c r="S215" s="112" t="s">
        <v>2436</v>
      </c>
      <c r="T215" s="112">
        <v>1311484.97</v>
      </c>
      <c r="U215" s="118"/>
      <c r="V215" s="112" t="s">
        <v>2378</v>
      </c>
      <c r="W215" s="112">
        <v>261502000000000</v>
      </c>
      <c r="X215" s="110">
        <v>46099</v>
      </c>
      <c r="Y215" s="112">
        <v>2028275</v>
      </c>
      <c r="Z215" s="112" t="s">
        <v>3354</v>
      </c>
      <c r="AA215" s="112">
        <v>-0.04</v>
      </c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21"/>
      <c r="AN215" s="112" t="s">
        <v>3357</v>
      </c>
      <c r="AO215" s="112" t="s">
        <v>2888</v>
      </c>
      <c r="AP215" s="112" t="s">
        <v>2340</v>
      </c>
    </row>
    <row r="216" spans="1:42">
      <c r="A216" s="113" t="s">
        <v>870</v>
      </c>
      <c r="B216" s="114">
        <v>46099</v>
      </c>
      <c r="C216" s="115">
        <v>0.632199074074074</v>
      </c>
      <c r="D216" s="114">
        <v>46099</v>
      </c>
      <c r="E216" s="115">
        <v>0.635601851851852</v>
      </c>
      <c r="F216" s="116" t="s">
        <v>867</v>
      </c>
      <c r="G216" s="114">
        <v>46091</v>
      </c>
      <c r="H216" s="116">
        <v>2567522339</v>
      </c>
      <c r="I216" s="116" t="s">
        <v>871</v>
      </c>
      <c r="J216" s="116" t="s">
        <v>2157</v>
      </c>
      <c r="K216" s="116" t="s">
        <v>2534</v>
      </c>
      <c r="L216" s="116" t="s">
        <v>2535</v>
      </c>
      <c r="M216" s="116" t="s">
        <v>2331</v>
      </c>
      <c r="N216" s="116" t="s">
        <v>3358</v>
      </c>
      <c r="O216" s="119"/>
      <c r="P216" s="116" t="s">
        <v>869</v>
      </c>
      <c r="Q216" s="116" t="s">
        <v>2963</v>
      </c>
      <c r="R216" s="116" t="s">
        <v>2376</v>
      </c>
      <c r="S216" s="116" t="s">
        <v>3155</v>
      </c>
      <c r="T216" s="116">
        <v>876299.86</v>
      </c>
      <c r="U216" s="116">
        <v>892566</v>
      </c>
      <c r="V216" s="116" t="s">
        <v>2540</v>
      </c>
      <c r="W216" s="116">
        <v>261504000000000</v>
      </c>
      <c r="X216" s="114">
        <v>46100</v>
      </c>
      <c r="Y216" s="116">
        <v>2043142</v>
      </c>
      <c r="Z216" s="116" t="s">
        <v>871</v>
      </c>
      <c r="AA216" s="116">
        <v>-0.07</v>
      </c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22"/>
      <c r="AN216" s="116" t="s">
        <v>3359</v>
      </c>
      <c r="AO216" s="116" t="s">
        <v>2542</v>
      </c>
      <c r="AP216" s="116" t="s">
        <v>2543</v>
      </c>
    </row>
    <row r="217" spans="1:42">
      <c r="A217" s="113" t="s">
        <v>910</v>
      </c>
      <c r="B217" s="114">
        <v>46099</v>
      </c>
      <c r="C217" s="115">
        <v>0.643136574074074</v>
      </c>
      <c r="D217" s="114">
        <v>46099</v>
      </c>
      <c r="E217" s="115">
        <v>0.645972222222222</v>
      </c>
      <c r="F217" s="116" t="s">
        <v>906</v>
      </c>
      <c r="G217" s="114">
        <v>46083</v>
      </c>
      <c r="H217" s="116">
        <v>2567412820</v>
      </c>
      <c r="I217" s="116" t="s">
        <v>911</v>
      </c>
      <c r="J217" s="116" t="s">
        <v>2168</v>
      </c>
      <c r="K217" s="116" t="s">
        <v>2760</v>
      </c>
      <c r="L217" s="116" t="s">
        <v>2761</v>
      </c>
      <c r="M217" s="116" t="s">
        <v>2331</v>
      </c>
      <c r="N217" s="116" t="s">
        <v>3360</v>
      </c>
      <c r="O217" s="119"/>
      <c r="P217" s="116" t="s">
        <v>909</v>
      </c>
      <c r="Q217" s="116" t="s">
        <v>2548</v>
      </c>
      <c r="R217" s="116" t="s">
        <v>2344</v>
      </c>
      <c r="S217" s="116" t="s">
        <v>3361</v>
      </c>
      <c r="T217" s="116">
        <v>462800.49</v>
      </c>
      <c r="U217" s="116">
        <v>358536</v>
      </c>
      <c r="V217" s="116" t="s">
        <v>2766</v>
      </c>
      <c r="W217" s="116">
        <v>261518000000000</v>
      </c>
      <c r="X217" s="114">
        <v>46100</v>
      </c>
      <c r="Y217" s="116">
        <v>1385019</v>
      </c>
      <c r="Z217" s="116" t="s">
        <v>911</v>
      </c>
      <c r="AA217" s="116">
        <v>-0.02</v>
      </c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22"/>
      <c r="AN217" s="116" t="s">
        <v>3362</v>
      </c>
      <c r="AO217" s="116" t="s">
        <v>2346</v>
      </c>
      <c r="AP217" s="116" t="s">
        <v>2769</v>
      </c>
    </row>
    <row r="218" spans="1:42">
      <c r="A218" s="113" t="s">
        <v>3363</v>
      </c>
      <c r="B218" s="114">
        <v>46099</v>
      </c>
      <c r="C218" s="115">
        <v>0.643344907407407</v>
      </c>
      <c r="D218" s="114">
        <v>46099</v>
      </c>
      <c r="E218" s="115">
        <v>0.645972222222222</v>
      </c>
      <c r="F218" s="116" t="s">
        <v>3364</v>
      </c>
      <c r="G218" s="114">
        <v>46051</v>
      </c>
      <c r="H218" s="116">
        <v>2566833139</v>
      </c>
      <c r="I218" s="116" t="s">
        <v>3365</v>
      </c>
      <c r="J218" s="116" t="s">
        <v>2199</v>
      </c>
      <c r="K218" s="116" t="s">
        <v>2371</v>
      </c>
      <c r="L218" s="116" t="s">
        <v>2372</v>
      </c>
      <c r="M218" s="116" t="s">
        <v>2331</v>
      </c>
      <c r="N218" s="116" t="s">
        <v>3366</v>
      </c>
      <c r="O218" s="119"/>
      <c r="P218" s="116">
        <v>4894763</v>
      </c>
      <c r="Q218" s="116" t="s">
        <v>2702</v>
      </c>
      <c r="R218" s="116" t="s">
        <v>2376</v>
      </c>
      <c r="S218" s="116" t="s">
        <v>2449</v>
      </c>
      <c r="T218" s="116">
        <v>687900.03</v>
      </c>
      <c r="U218" s="116">
        <v>500000</v>
      </c>
      <c r="V218" s="116" t="s">
        <v>2378</v>
      </c>
      <c r="W218" s="116">
        <v>261502000000000</v>
      </c>
      <c r="X218" s="114">
        <v>46099</v>
      </c>
      <c r="Y218" s="116">
        <v>2026213</v>
      </c>
      <c r="Z218" s="116" t="s">
        <v>3365</v>
      </c>
      <c r="AA218" s="116">
        <v>0.03</v>
      </c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22"/>
      <c r="AN218" s="116" t="s">
        <v>2520</v>
      </c>
      <c r="AO218" s="116" t="s">
        <v>2521</v>
      </c>
      <c r="AP218" s="116" t="s">
        <v>2522</v>
      </c>
    </row>
    <row r="219" spans="1:42">
      <c r="A219" s="113" t="s">
        <v>3367</v>
      </c>
      <c r="B219" s="114">
        <v>46099</v>
      </c>
      <c r="C219" s="115">
        <v>0.644907407407407</v>
      </c>
      <c r="D219" s="114">
        <v>46099</v>
      </c>
      <c r="E219" s="115">
        <v>0.645972222222222</v>
      </c>
      <c r="F219" s="116" t="s">
        <v>3368</v>
      </c>
      <c r="G219" s="114">
        <v>46053</v>
      </c>
      <c r="H219" s="116">
        <v>2566903862</v>
      </c>
      <c r="I219" s="116" t="s">
        <v>3369</v>
      </c>
      <c r="J219" s="116" t="s">
        <v>2222</v>
      </c>
      <c r="K219" s="116" t="s">
        <v>2357</v>
      </c>
      <c r="L219" s="116" t="s">
        <v>2358</v>
      </c>
      <c r="M219" s="116" t="s">
        <v>2331</v>
      </c>
      <c r="N219" s="116" t="s">
        <v>3370</v>
      </c>
      <c r="O219" s="119"/>
      <c r="P219" s="116">
        <v>4893054</v>
      </c>
      <c r="Q219" s="116" t="s">
        <v>2759</v>
      </c>
      <c r="R219" s="116" t="s">
        <v>2530</v>
      </c>
      <c r="S219" s="116" t="s">
        <v>2710</v>
      </c>
      <c r="T219" s="116">
        <v>580898.69</v>
      </c>
      <c r="U219" s="116">
        <v>600000</v>
      </c>
      <c r="V219" s="116" t="s">
        <v>2364</v>
      </c>
      <c r="W219" s="116">
        <v>261534000000000</v>
      </c>
      <c r="X219" s="114">
        <v>46100</v>
      </c>
      <c r="Y219" s="116">
        <v>2028419</v>
      </c>
      <c r="Z219" s="116" t="s">
        <v>3369</v>
      </c>
      <c r="AA219" s="116">
        <v>0.01</v>
      </c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22"/>
      <c r="AN219" s="116" t="s">
        <v>2815</v>
      </c>
      <c r="AO219" s="116" t="s">
        <v>2485</v>
      </c>
      <c r="AP219" s="116" t="s">
        <v>2367</v>
      </c>
    </row>
    <row r="220" spans="1:42">
      <c r="A220" s="113" t="s">
        <v>3371</v>
      </c>
      <c r="B220" s="114">
        <v>46099</v>
      </c>
      <c r="C220" s="115">
        <v>0.648506944444444</v>
      </c>
      <c r="D220" s="114">
        <v>46099</v>
      </c>
      <c r="E220" s="115">
        <v>0.649409722222222</v>
      </c>
      <c r="F220" s="116" t="s">
        <v>3372</v>
      </c>
      <c r="G220" s="114">
        <v>46041</v>
      </c>
      <c r="H220" s="116">
        <v>2566663585</v>
      </c>
      <c r="I220" s="116" t="s">
        <v>3373</v>
      </c>
      <c r="J220" s="116" t="s">
        <v>2199</v>
      </c>
      <c r="K220" s="116" t="s">
        <v>2371</v>
      </c>
      <c r="L220" s="116" t="s">
        <v>2372</v>
      </c>
      <c r="M220" s="116" t="s">
        <v>2331</v>
      </c>
      <c r="N220" s="116" t="s">
        <v>3374</v>
      </c>
      <c r="O220" s="119"/>
      <c r="P220" s="116">
        <v>4892744</v>
      </c>
      <c r="Q220" s="116" t="s">
        <v>2759</v>
      </c>
      <c r="R220" s="116" t="s">
        <v>2335</v>
      </c>
      <c r="S220" s="116" t="s">
        <v>2740</v>
      </c>
      <c r="T220" s="116">
        <v>573899.85</v>
      </c>
      <c r="U220" s="116">
        <v>500000</v>
      </c>
      <c r="V220" s="116" t="s">
        <v>2378</v>
      </c>
      <c r="W220" s="116">
        <v>261502000000000</v>
      </c>
      <c r="X220" s="114">
        <v>46099</v>
      </c>
      <c r="Y220" s="116">
        <v>2017705</v>
      </c>
      <c r="Z220" s="116" t="s">
        <v>3373</v>
      </c>
      <c r="AA220" s="116">
        <v>0</v>
      </c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22"/>
      <c r="AN220" s="116" t="s">
        <v>3375</v>
      </c>
      <c r="AO220" s="116" t="s">
        <v>2845</v>
      </c>
      <c r="AP220" s="116" t="s">
        <v>2340</v>
      </c>
    </row>
    <row r="221" spans="1:42">
      <c r="A221" s="113" t="s">
        <v>3376</v>
      </c>
      <c r="B221" s="114">
        <v>46099</v>
      </c>
      <c r="C221" s="115">
        <v>0.651030092592593</v>
      </c>
      <c r="D221" s="114">
        <v>46099</v>
      </c>
      <c r="E221" s="115">
        <v>0.652905092592593</v>
      </c>
      <c r="F221" s="116" t="s">
        <v>744</v>
      </c>
      <c r="G221" s="114">
        <v>46080</v>
      </c>
      <c r="H221" s="116">
        <v>2567349370</v>
      </c>
      <c r="I221" s="116" t="s">
        <v>3377</v>
      </c>
      <c r="J221" s="116" t="s">
        <v>2199</v>
      </c>
      <c r="K221" s="116" t="s">
        <v>2371</v>
      </c>
      <c r="L221" s="116" t="s">
        <v>2372</v>
      </c>
      <c r="M221" s="116" t="s">
        <v>2331</v>
      </c>
      <c r="N221" s="116" t="s">
        <v>3378</v>
      </c>
      <c r="O221" s="119"/>
      <c r="P221" s="116">
        <v>4892829</v>
      </c>
      <c r="Q221" s="116" t="s">
        <v>2405</v>
      </c>
      <c r="R221" s="116" t="s">
        <v>2376</v>
      </c>
      <c r="S221" s="116" t="s">
        <v>2955</v>
      </c>
      <c r="T221" s="116">
        <v>744899.91</v>
      </c>
      <c r="U221" s="119"/>
      <c r="V221" s="116" t="s">
        <v>2378</v>
      </c>
      <c r="W221" s="116">
        <v>261502000000000</v>
      </c>
      <c r="X221" s="114">
        <v>46099</v>
      </c>
      <c r="Y221" s="116">
        <v>2039069</v>
      </c>
      <c r="Z221" s="116" t="s">
        <v>3377</v>
      </c>
      <c r="AA221" s="116">
        <v>0.02</v>
      </c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22"/>
      <c r="AN221" s="116" t="s">
        <v>2956</v>
      </c>
      <c r="AO221" s="116" t="s">
        <v>2957</v>
      </c>
      <c r="AP221" s="116" t="s">
        <v>2340</v>
      </c>
    </row>
    <row r="222" spans="1:42">
      <c r="A222" s="113" t="s">
        <v>3379</v>
      </c>
      <c r="B222" s="114">
        <v>46099</v>
      </c>
      <c r="C222" s="115">
        <v>0.653784722222222</v>
      </c>
      <c r="D222" s="114">
        <v>46099</v>
      </c>
      <c r="E222" s="115">
        <v>0.656400462962963</v>
      </c>
      <c r="F222" s="116" t="s">
        <v>3380</v>
      </c>
      <c r="G222" s="114">
        <v>46032</v>
      </c>
      <c r="H222" s="116">
        <v>2566540662</v>
      </c>
      <c r="I222" s="116" t="s">
        <v>3381</v>
      </c>
      <c r="J222" s="116" t="s">
        <v>2199</v>
      </c>
      <c r="K222" s="116" t="s">
        <v>2371</v>
      </c>
      <c r="L222" s="116" t="s">
        <v>2372</v>
      </c>
      <c r="M222" s="116" t="s">
        <v>2331</v>
      </c>
      <c r="N222" s="116" t="s">
        <v>3382</v>
      </c>
      <c r="O222" s="119"/>
      <c r="P222" s="116">
        <v>4893978</v>
      </c>
      <c r="Q222" s="116" t="s">
        <v>2584</v>
      </c>
      <c r="R222" s="116" t="s">
        <v>2376</v>
      </c>
      <c r="S222" s="116" t="s">
        <v>2955</v>
      </c>
      <c r="T222" s="116">
        <v>884899.47</v>
      </c>
      <c r="U222" s="116">
        <v>500000</v>
      </c>
      <c r="V222" s="116" t="s">
        <v>2378</v>
      </c>
      <c r="W222" s="116">
        <v>261502000000000</v>
      </c>
      <c r="X222" s="114">
        <v>46099</v>
      </c>
      <c r="Y222" s="116">
        <v>2018198</v>
      </c>
      <c r="Z222" s="116" t="s">
        <v>3381</v>
      </c>
      <c r="AA222" s="116">
        <v>0</v>
      </c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22"/>
      <c r="AN222" s="116" t="s">
        <v>2956</v>
      </c>
      <c r="AO222" s="116" t="s">
        <v>2957</v>
      </c>
      <c r="AP222" s="116" t="s">
        <v>2340</v>
      </c>
    </row>
    <row r="223" spans="1:42">
      <c r="A223" s="113" t="s">
        <v>3383</v>
      </c>
      <c r="B223" s="114">
        <v>46099</v>
      </c>
      <c r="C223" s="115">
        <v>0.656631944444444</v>
      </c>
      <c r="D223" s="114">
        <v>46099</v>
      </c>
      <c r="E223" s="115">
        <v>0.66337962962963</v>
      </c>
      <c r="F223" s="116" t="s">
        <v>1371</v>
      </c>
      <c r="G223" s="114">
        <v>45992</v>
      </c>
      <c r="H223" s="116">
        <v>2565752345</v>
      </c>
      <c r="I223" s="116" t="s">
        <v>3384</v>
      </c>
      <c r="J223" s="116" t="s">
        <v>2222</v>
      </c>
      <c r="K223" s="116" t="s">
        <v>2357</v>
      </c>
      <c r="L223" s="116" t="s">
        <v>2358</v>
      </c>
      <c r="M223" s="116" t="s">
        <v>2331</v>
      </c>
      <c r="N223" s="116" t="s">
        <v>3385</v>
      </c>
      <c r="O223" s="119"/>
      <c r="P223" s="116">
        <v>4892537</v>
      </c>
      <c r="Q223" s="116" t="s">
        <v>2405</v>
      </c>
      <c r="R223" s="116" t="s">
        <v>2585</v>
      </c>
      <c r="S223" s="116" t="s">
        <v>2753</v>
      </c>
      <c r="T223" s="116">
        <v>749898.41</v>
      </c>
      <c r="U223" s="116">
        <v>800000</v>
      </c>
      <c r="V223" s="116" t="s">
        <v>2364</v>
      </c>
      <c r="W223" s="116">
        <v>261534000000000</v>
      </c>
      <c r="X223" s="114">
        <v>46100</v>
      </c>
      <c r="Y223" s="116">
        <v>1996749</v>
      </c>
      <c r="Z223" s="116" t="s">
        <v>3384</v>
      </c>
      <c r="AA223" s="116">
        <v>0.02</v>
      </c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22"/>
      <c r="AN223" s="116" t="s">
        <v>2832</v>
      </c>
      <c r="AO223" s="116" t="s">
        <v>2833</v>
      </c>
      <c r="AP223" s="116" t="s">
        <v>2367</v>
      </c>
    </row>
    <row r="224" spans="1:42">
      <c r="A224" s="113" t="s">
        <v>3386</v>
      </c>
      <c r="B224" s="114">
        <v>46099</v>
      </c>
      <c r="C224" s="115">
        <v>0.658912037037037</v>
      </c>
      <c r="D224" s="114">
        <v>46099</v>
      </c>
      <c r="E224" s="115">
        <v>0.66337962962963</v>
      </c>
      <c r="F224" s="116" t="s">
        <v>3387</v>
      </c>
      <c r="G224" s="114">
        <v>46037</v>
      </c>
      <c r="H224" s="116">
        <v>2566608338</v>
      </c>
      <c r="I224" s="116" t="s">
        <v>3388</v>
      </c>
      <c r="J224" s="116" t="s">
        <v>2199</v>
      </c>
      <c r="K224" s="116" t="s">
        <v>2371</v>
      </c>
      <c r="L224" s="116" t="s">
        <v>2372</v>
      </c>
      <c r="M224" s="116" t="s">
        <v>2331</v>
      </c>
      <c r="N224" s="116" t="s">
        <v>3389</v>
      </c>
      <c r="O224" s="119"/>
      <c r="P224" s="116">
        <v>4916805</v>
      </c>
      <c r="Q224" s="116" t="s">
        <v>2644</v>
      </c>
      <c r="R224" s="116" t="s">
        <v>2645</v>
      </c>
      <c r="S224" s="116" t="s">
        <v>2850</v>
      </c>
      <c r="T224" s="116">
        <v>572499.63</v>
      </c>
      <c r="U224" s="119"/>
      <c r="V224" s="116" t="s">
        <v>2378</v>
      </c>
      <c r="W224" s="116">
        <v>261502000000000</v>
      </c>
      <c r="X224" s="114">
        <v>46099</v>
      </c>
      <c r="Y224" s="116">
        <v>2020439</v>
      </c>
      <c r="Z224" s="116" t="s">
        <v>3388</v>
      </c>
      <c r="AA224" s="116">
        <v>0.02</v>
      </c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22"/>
      <c r="AN224" s="116" t="s">
        <v>2851</v>
      </c>
      <c r="AO224" s="116" t="s">
        <v>2346</v>
      </c>
      <c r="AP224" s="116" t="s">
        <v>2340</v>
      </c>
    </row>
    <row r="225" spans="1:42">
      <c r="A225" s="113" t="s">
        <v>3390</v>
      </c>
      <c r="B225" s="114">
        <v>46099</v>
      </c>
      <c r="C225" s="115">
        <v>0.661782407407407</v>
      </c>
      <c r="D225" s="114">
        <v>46099</v>
      </c>
      <c r="E225" s="115">
        <v>0.66337962962963</v>
      </c>
      <c r="F225" s="116" t="s">
        <v>3391</v>
      </c>
      <c r="G225" s="114">
        <v>46083</v>
      </c>
      <c r="H225" s="116">
        <v>2567412977</v>
      </c>
      <c r="I225" s="116" t="s">
        <v>3392</v>
      </c>
      <c r="J225" s="116" t="s">
        <v>2199</v>
      </c>
      <c r="K225" s="116" t="s">
        <v>2371</v>
      </c>
      <c r="L225" s="116" t="s">
        <v>2372</v>
      </c>
      <c r="M225" s="116" t="s">
        <v>2331</v>
      </c>
      <c r="N225" s="116" t="s">
        <v>3393</v>
      </c>
      <c r="O225" s="119"/>
      <c r="P225" s="116">
        <v>4894258</v>
      </c>
      <c r="Q225" s="116" t="s">
        <v>2529</v>
      </c>
      <c r="R225" s="116" t="s">
        <v>2435</v>
      </c>
      <c r="S225" s="116" t="s">
        <v>2850</v>
      </c>
      <c r="T225" s="116">
        <v>789399.86</v>
      </c>
      <c r="U225" s="119"/>
      <c r="V225" s="116" t="s">
        <v>2378</v>
      </c>
      <c r="W225" s="116">
        <v>261502000000000</v>
      </c>
      <c r="X225" s="114">
        <v>46099</v>
      </c>
      <c r="Y225" s="116">
        <v>2040209</v>
      </c>
      <c r="Z225" s="116" t="s">
        <v>3392</v>
      </c>
      <c r="AA225" s="116">
        <v>0.04</v>
      </c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22"/>
      <c r="AN225" s="116" t="s">
        <v>2851</v>
      </c>
      <c r="AO225" s="116" t="s">
        <v>2346</v>
      </c>
      <c r="AP225" s="116" t="s">
        <v>2340</v>
      </c>
    </row>
    <row r="226" spans="1:42">
      <c r="A226" s="113" t="s">
        <v>3394</v>
      </c>
      <c r="B226" s="114">
        <v>46099</v>
      </c>
      <c r="C226" s="115">
        <v>0.664525462962963</v>
      </c>
      <c r="D226" s="114">
        <v>46099</v>
      </c>
      <c r="E226" s="115">
        <v>0.666828703703704</v>
      </c>
      <c r="F226" s="116" t="s">
        <v>1030</v>
      </c>
      <c r="G226" s="114">
        <v>46062</v>
      </c>
      <c r="H226" s="116">
        <v>2567044448</v>
      </c>
      <c r="I226" s="116" t="s">
        <v>3395</v>
      </c>
      <c r="J226" s="116" t="s">
        <v>2199</v>
      </c>
      <c r="K226" s="116" t="s">
        <v>2371</v>
      </c>
      <c r="L226" s="116" t="s">
        <v>2372</v>
      </c>
      <c r="M226" s="116" t="s">
        <v>2331</v>
      </c>
      <c r="N226" s="116" t="s">
        <v>3396</v>
      </c>
      <c r="O226" s="119"/>
      <c r="P226" s="116">
        <v>4890202</v>
      </c>
      <c r="Q226" s="116" t="s">
        <v>2759</v>
      </c>
      <c r="R226" s="116" t="s">
        <v>2723</v>
      </c>
      <c r="S226" s="116" t="s">
        <v>3397</v>
      </c>
      <c r="T226" s="116">
        <v>575399.95</v>
      </c>
      <c r="U226" s="116">
        <v>500000</v>
      </c>
      <c r="V226" s="116" t="s">
        <v>2378</v>
      </c>
      <c r="W226" s="116">
        <v>261502000000000</v>
      </c>
      <c r="X226" s="114">
        <v>46099</v>
      </c>
      <c r="Y226" s="116">
        <v>1990989</v>
      </c>
      <c r="Z226" s="116" t="s">
        <v>3395</v>
      </c>
      <c r="AA226" s="116">
        <v>-0.02</v>
      </c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22"/>
      <c r="AN226" s="116" t="s">
        <v>3398</v>
      </c>
      <c r="AO226" s="116" t="s">
        <v>2346</v>
      </c>
      <c r="AP226" s="116" t="s">
        <v>2340</v>
      </c>
    </row>
    <row r="227" spans="1:42">
      <c r="A227" s="113" t="s">
        <v>3399</v>
      </c>
      <c r="B227" s="114">
        <v>46099</v>
      </c>
      <c r="C227" s="115">
        <v>0.665763888888889</v>
      </c>
      <c r="D227" s="114">
        <v>46099</v>
      </c>
      <c r="E227" s="115">
        <v>0.666828703703704</v>
      </c>
      <c r="F227" s="116" t="s">
        <v>3400</v>
      </c>
      <c r="G227" s="114">
        <v>46049</v>
      </c>
      <c r="H227" s="116">
        <v>2566784817</v>
      </c>
      <c r="I227" s="116" t="s">
        <v>3401</v>
      </c>
      <c r="J227" s="116" t="s">
        <v>2226</v>
      </c>
      <c r="K227" s="116" t="s">
        <v>2566</v>
      </c>
      <c r="L227" s="116" t="s">
        <v>2567</v>
      </c>
      <c r="M227" s="116" t="s">
        <v>2331</v>
      </c>
      <c r="N227" s="116" t="s">
        <v>3402</v>
      </c>
      <c r="O227" s="119"/>
      <c r="P227" s="116">
        <v>7827273</v>
      </c>
      <c r="Q227" s="116" t="s">
        <v>2482</v>
      </c>
      <c r="R227" s="116" t="s">
        <v>2435</v>
      </c>
      <c r="S227" s="116" t="s">
        <v>2996</v>
      </c>
      <c r="T227" s="116">
        <v>1155238.43</v>
      </c>
      <c r="U227" s="116">
        <v>600000</v>
      </c>
      <c r="V227" s="116" t="s">
        <v>2570</v>
      </c>
      <c r="W227" s="116">
        <v>261531000000000</v>
      </c>
      <c r="X227" s="114">
        <v>46099</v>
      </c>
      <c r="Y227" s="116">
        <v>1511852</v>
      </c>
      <c r="Z227" s="116" t="s">
        <v>3401</v>
      </c>
      <c r="AA227" s="116">
        <v>-0.01</v>
      </c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22"/>
      <c r="AN227" s="116" t="s">
        <v>2346</v>
      </c>
      <c r="AO227" s="116" t="s">
        <v>2346</v>
      </c>
      <c r="AP227" s="116" t="s">
        <v>2571</v>
      </c>
    </row>
    <row r="228" spans="1:42">
      <c r="A228" s="113" t="s">
        <v>3403</v>
      </c>
      <c r="B228" s="114">
        <v>46099</v>
      </c>
      <c r="C228" s="115">
        <v>0.667094907407407</v>
      </c>
      <c r="D228" s="114">
        <v>46099</v>
      </c>
      <c r="E228" s="115">
        <v>0.670289351851852</v>
      </c>
      <c r="F228" s="116" t="s">
        <v>3404</v>
      </c>
      <c r="G228" s="114">
        <v>46086</v>
      </c>
      <c r="H228" s="116">
        <v>2567438620</v>
      </c>
      <c r="I228" s="116" t="s">
        <v>3031</v>
      </c>
      <c r="J228" s="116" t="s">
        <v>2199</v>
      </c>
      <c r="K228" s="116" t="s">
        <v>2371</v>
      </c>
      <c r="L228" s="116" t="s">
        <v>2372</v>
      </c>
      <c r="M228" s="116" t="s">
        <v>2331</v>
      </c>
      <c r="N228" s="116" t="s">
        <v>3405</v>
      </c>
      <c r="O228" s="119"/>
      <c r="P228" s="116">
        <v>4916063</v>
      </c>
      <c r="Q228" s="116" t="s">
        <v>3024</v>
      </c>
      <c r="R228" s="116" t="s">
        <v>2335</v>
      </c>
      <c r="S228" s="116" t="s">
        <v>2426</v>
      </c>
      <c r="T228" s="116">
        <v>647933.86</v>
      </c>
      <c r="U228" s="119"/>
      <c r="V228" s="116" t="s">
        <v>2378</v>
      </c>
      <c r="W228" s="116">
        <v>261502000000000</v>
      </c>
      <c r="X228" s="114">
        <v>46099</v>
      </c>
      <c r="Y228" s="116">
        <v>1031003</v>
      </c>
      <c r="Z228" s="116" t="s">
        <v>3031</v>
      </c>
      <c r="AA228" s="116">
        <v>0</v>
      </c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22"/>
      <c r="AN228" s="116" t="s">
        <v>3075</v>
      </c>
      <c r="AO228" s="116" t="s">
        <v>2380</v>
      </c>
      <c r="AP228" s="116" t="s">
        <v>2340</v>
      </c>
    </row>
    <row r="229" spans="1:42">
      <c r="A229" s="113" t="s">
        <v>3406</v>
      </c>
      <c r="B229" s="114">
        <v>46099</v>
      </c>
      <c r="C229" s="115">
        <v>0.673217592592593</v>
      </c>
      <c r="D229" s="114">
        <v>46099</v>
      </c>
      <c r="E229" s="115">
        <v>0.673796296296296</v>
      </c>
      <c r="F229" s="116" t="s">
        <v>3407</v>
      </c>
      <c r="G229" s="114">
        <v>46022</v>
      </c>
      <c r="H229" s="116">
        <v>2566378891</v>
      </c>
      <c r="I229" s="116" t="s">
        <v>3408</v>
      </c>
      <c r="J229" s="116" t="s">
        <v>2199</v>
      </c>
      <c r="K229" s="116" t="s">
        <v>2371</v>
      </c>
      <c r="L229" s="116" t="s">
        <v>2372</v>
      </c>
      <c r="M229" s="116" t="s">
        <v>2331</v>
      </c>
      <c r="N229" s="116" t="s">
        <v>3409</v>
      </c>
      <c r="O229" s="119"/>
      <c r="P229" s="116">
        <v>4894344</v>
      </c>
      <c r="Q229" s="116" t="s">
        <v>2529</v>
      </c>
      <c r="R229" s="116" t="s">
        <v>2335</v>
      </c>
      <c r="S229" s="116" t="s">
        <v>3397</v>
      </c>
      <c r="T229" s="116">
        <v>777799.8</v>
      </c>
      <c r="U229" s="116">
        <v>500000</v>
      </c>
      <c r="V229" s="116" t="s">
        <v>2378</v>
      </c>
      <c r="W229" s="116">
        <v>261502000000000</v>
      </c>
      <c r="X229" s="114">
        <v>46099</v>
      </c>
      <c r="Y229" s="116">
        <v>2014122</v>
      </c>
      <c r="Z229" s="116" t="s">
        <v>3408</v>
      </c>
      <c r="AA229" s="116">
        <v>0.03</v>
      </c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22"/>
      <c r="AN229" s="116" t="s">
        <v>3239</v>
      </c>
      <c r="AO229" s="116" t="s">
        <v>2521</v>
      </c>
      <c r="AP229" s="116" t="s">
        <v>2522</v>
      </c>
    </row>
    <row r="230" spans="1:42">
      <c r="A230" s="113" t="s">
        <v>875</v>
      </c>
      <c r="B230" s="114">
        <v>46099</v>
      </c>
      <c r="C230" s="115">
        <v>0.676076388888889</v>
      </c>
      <c r="D230" s="114">
        <v>46099</v>
      </c>
      <c r="E230" s="115">
        <v>0.677233796296296</v>
      </c>
      <c r="F230" s="116" t="s">
        <v>872</v>
      </c>
      <c r="G230" s="114">
        <v>46060</v>
      </c>
      <c r="H230" s="116">
        <v>2567027980</v>
      </c>
      <c r="I230" s="116" t="s">
        <v>876</v>
      </c>
      <c r="J230" s="116" t="s">
        <v>2141</v>
      </c>
      <c r="K230" s="116" t="s">
        <v>2329</v>
      </c>
      <c r="L230" s="116" t="s">
        <v>2330</v>
      </c>
      <c r="M230" s="116" t="s">
        <v>2331</v>
      </c>
      <c r="N230" s="116" t="s">
        <v>3410</v>
      </c>
      <c r="O230" s="119"/>
      <c r="P230" s="116">
        <v>1430696</v>
      </c>
      <c r="Q230" s="116" t="s">
        <v>2343</v>
      </c>
      <c r="R230" s="116" t="s">
        <v>2344</v>
      </c>
      <c r="S230" s="116" t="s">
        <v>2627</v>
      </c>
      <c r="T230" s="116">
        <v>568900.19</v>
      </c>
      <c r="U230" s="116">
        <v>618186</v>
      </c>
      <c r="V230" s="116" t="s">
        <v>2337</v>
      </c>
      <c r="W230" s="116">
        <v>261501000000000</v>
      </c>
      <c r="X230" s="114">
        <v>46100</v>
      </c>
      <c r="Y230" s="116">
        <v>2032101</v>
      </c>
      <c r="Z230" s="116" t="s">
        <v>876</v>
      </c>
      <c r="AA230" s="116">
        <v>-0.02</v>
      </c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22"/>
      <c r="AN230" s="116" t="s">
        <v>2628</v>
      </c>
      <c r="AO230" s="116" t="s">
        <v>2428</v>
      </c>
      <c r="AP230" s="116" t="s">
        <v>2429</v>
      </c>
    </row>
    <row r="231" spans="1:42">
      <c r="A231" s="113" t="s">
        <v>3411</v>
      </c>
      <c r="B231" s="114">
        <v>46099</v>
      </c>
      <c r="C231" s="115">
        <v>0.676134259259259</v>
      </c>
      <c r="D231" s="114">
        <v>46099</v>
      </c>
      <c r="E231" s="115">
        <v>0.677233796296296</v>
      </c>
      <c r="F231" s="116" t="s">
        <v>3412</v>
      </c>
      <c r="G231" s="114">
        <v>46052</v>
      </c>
      <c r="H231" s="116">
        <v>2566873729</v>
      </c>
      <c r="I231" s="116" t="s">
        <v>3413</v>
      </c>
      <c r="J231" s="116" t="s">
        <v>2199</v>
      </c>
      <c r="K231" s="116" t="s">
        <v>2371</v>
      </c>
      <c r="L231" s="116" t="s">
        <v>2372</v>
      </c>
      <c r="M231" s="116" t="s">
        <v>2331</v>
      </c>
      <c r="N231" s="116" t="s">
        <v>3414</v>
      </c>
      <c r="O231" s="119"/>
      <c r="P231" s="116">
        <v>4894177</v>
      </c>
      <c r="Q231" s="116" t="s">
        <v>2759</v>
      </c>
      <c r="R231" s="116" t="s">
        <v>2585</v>
      </c>
      <c r="S231" s="116" t="s">
        <v>2979</v>
      </c>
      <c r="T231" s="116">
        <v>576399.87</v>
      </c>
      <c r="U231" s="116">
        <v>500000</v>
      </c>
      <c r="V231" s="116" t="s">
        <v>2378</v>
      </c>
      <c r="W231" s="116">
        <v>261502000000000</v>
      </c>
      <c r="X231" s="114">
        <v>46099</v>
      </c>
      <c r="Y231" s="116">
        <v>2027051</v>
      </c>
      <c r="Z231" s="116" t="s">
        <v>3413</v>
      </c>
      <c r="AA231" s="116">
        <v>0.02</v>
      </c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22"/>
      <c r="AN231" s="116" t="s">
        <v>2875</v>
      </c>
      <c r="AO231" s="116" t="s">
        <v>2392</v>
      </c>
      <c r="AP231" s="116" t="s">
        <v>2347</v>
      </c>
    </row>
    <row r="232" spans="1:42">
      <c r="A232" s="113" t="s">
        <v>3415</v>
      </c>
      <c r="B232" s="114">
        <v>46099</v>
      </c>
      <c r="C232" s="115">
        <v>0.687569444444444</v>
      </c>
      <c r="D232" s="114">
        <v>46099</v>
      </c>
      <c r="E232" s="115">
        <v>0.687673611111111</v>
      </c>
      <c r="F232" s="116" t="s">
        <v>634</v>
      </c>
      <c r="G232" s="114">
        <v>46098</v>
      </c>
      <c r="H232" s="116">
        <v>2567645616</v>
      </c>
      <c r="I232" s="119"/>
      <c r="J232" s="116" t="s">
        <v>3055</v>
      </c>
      <c r="K232" s="116" t="s">
        <v>3056</v>
      </c>
      <c r="L232" s="116" t="s">
        <v>3057</v>
      </c>
      <c r="M232" s="116" t="s">
        <v>2331</v>
      </c>
      <c r="N232" s="116" t="s">
        <v>3416</v>
      </c>
      <c r="O232" s="119"/>
      <c r="P232" s="116">
        <v>4883062</v>
      </c>
      <c r="Q232" s="116" t="s">
        <v>2759</v>
      </c>
      <c r="R232" s="116" t="s">
        <v>2435</v>
      </c>
      <c r="S232" s="116" t="s">
        <v>3060</v>
      </c>
      <c r="T232" s="116">
        <v>580899.87</v>
      </c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22"/>
      <c r="AN232" s="116" t="s">
        <v>2346</v>
      </c>
      <c r="AO232" s="116" t="s">
        <v>2346</v>
      </c>
      <c r="AP232" s="123"/>
    </row>
    <row r="233" spans="1:42">
      <c r="A233" s="113" t="s">
        <v>3417</v>
      </c>
      <c r="B233" s="114">
        <v>46099</v>
      </c>
      <c r="C233" s="115">
        <v>0.689583333333333</v>
      </c>
      <c r="D233" s="114">
        <v>46099</v>
      </c>
      <c r="E233" s="115">
        <v>0.691168981481482</v>
      </c>
      <c r="F233" s="116" t="s">
        <v>3418</v>
      </c>
      <c r="G233" s="114">
        <v>46095</v>
      </c>
      <c r="H233" s="116">
        <v>2567584998</v>
      </c>
      <c r="I233" s="116" t="s">
        <v>3419</v>
      </c>
      <c r="J233" s="116" t="s">
        <v>2222</v>
      </c>
      <c r="K233" s="116" t="s">
        <v>2357</v>
      </c>
      <c r="L233" s="116" t="s">
        <v>2358</v>
      </c>
      <c r="M233" s="116" t="s">
        <v>2331</v>
      </c>
      <c r="N233" s="116" t="s">
        <v>3420</v>
      </c>
      <c r="O233" s="119"/>
      <c r="P233" s="116">
        <v>7932323</v>
      </c>
      <c r="Q233" s="116" t="s">
        <v>3080</v>
      </c>
      <c r="R233" s="116" t="s">
        <v>2335</v>
      </c>
      <c r="S233" s="116" t="s">
        <v>3265</v>
      </c>
      <c r="T233" s="116">
        <v>1174225.95</v>
      </c>
      <c r="U233" s="116">
        <v>1200000</v>
      </c>
      <c r="V233" s="116" t="s">
        <v>2364</v>
      </c>
      <c r="W233" s="116">
        <v>261534000000000</v>
      </c>
      <c r="X233" s="114">
        <v>46100</v>
      </c>
      <c r="Y233" s="116">
        <v>1990915</v>
      </c>
      <c r="Z233" s="116" t="s">
        <v>3419</v>
      </c>
      <c r="AA233" s="116">
        <v>-0.03</v>
      </c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22"/>
      <c r="AN233" s="116" t="s">
        <v>2647</v>
      </c>
      <c r="AO233" s="116" t="s">
        <v>2636</v>
      </c>
      <c r="AP233" s="116" t="s">
        <v>2367</v>
      </c>
    </row>
    <row r="234" spans="1:42">
      <c r="A234" s="113" t="s">
        <v>881</v>
      </c>
      <c r="B234" s="114">
        <v>46099</v>
      </c>
      <c r="C234" s="115">
        <v>0.710671296296296</v>
      </c>
      <c r="D234" s="114">
        <v>46099</v>
      </c>
      <c r="E234" s="115">
        <v>0.712048611111111</v>
      </c>
      <c r="F234" s="116" t="s">
        <v>877</v>
      </c>
      <c r="G234" s="114">
        <v>46094</v>
      </c>
      <c r="H234" s="116">
        <v>2567583828</v>
      </c>
      <c r="I234" s="116" t="s">
        <v>882</v>
      </c>
      <c r="J234" s="116" t="s">
        <v>2141</v>
      </c>
      <c r="K234" s="116" t="s">
        <v>2329</v>
      </c>
      <c r="L234" s="116" t="s">
        <v>2330</v>
      </c>
      <c r="M234" s="116" t="s">
        <v>2331</v>
      </c>
      <c r="N234" s="116" t="s">
        <v>3421</v>
      </c>
      <c r="O234" s="119"/>
      <c r="P234" s="116" t="s">
        <v>880</v>
      </c>
      <c r="Q234" s="116" t="s">
        <v>2343</v>
      </c>
      <c r="R234" s="116" t="s">
        <v>2344</v>
      </c>
      <c r="S234" s="116" t="s">
        <v>2513</v>
      </c>
      <c r="T234" s="116">
        <v>568900.19</v>
      </c>
      <c r="U234" s="116">
        <v>273000</v>
      </c>
      <c r="V234" s="116" t="s">
        <v>2337</v>
      </c>
      <c r="W234" s="116">
        <v>261501000000000</v>
      </c>
      <c r="X234" s="114">
        <v>46100</v>
      </c>
      <c r="Y234" s="116">
        <v>2044392</v>
      </c>
      <c r="Z234" s="116" t="s">
        <v>882</v>
      </c>
      <c r="AA234" s="116">
        <v>-0.02</v>
      </c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22"/>
      <c r="AN234" s="116" t="s">
        <v>2671</v>
      </c>
      <c r="AO234" s="116" t="s">
        <v>2561</v>
      </c>
      <c r="AP234" s="116" t="s">
        <v>2562</v>
      </c>
    </row>
    <row r="235" spans="1:42">
      <c r="A235" s="113" t="s">
        <v>886</v>
      </c>
      <c r="B235" s="114">
        <v>46099</v>
      </c>
      <c r="C235" s="115">
        <v>0.721446759259259</v>
      </c>
      <c r="D235" s="114">
        <v>46099</v>
      </c>
      <c r="E235" s="115">
        <v>0.722407407407407</v>
      </c>
      <c r="F235" s="116" t="s">
        <v>883</v>
      </c>
      <c r="G235" s="114">
        <v>46083</v>
      </c>
      <c r="H235" s="116">
        <v>2567397863</v>
      </c>
      <c r="I235" s="116" t="s">
        <v>3422</v>
      </c>
      <c r="J235" s="116" t="s">
        <v>2141</v>
      </c>
      <c r="K235" s="116" t="s">
        <v>2329</v>
      </c>
      <c r="L235" s="116" t="s">
        <v>2330</v>
      </c>
      <c r="M235" s="116" t="s">
        <v>2331</v>
      </c>
      <c r="N235" s="116" t="s">
        <v>3423</v>
      </c>
      <c r="O235" s="119"/>
      <c r="P235" s="116">
        <v>9262002</v>
      </c>
      <c r="Q235" s="116" t="s">
        <v>2673</v>
      </c>
      <c r="R235" s="116" t="s">
        <v>2458</v>
      </c>
      <c r="S235" s="116" t="s">
        <v>2908</v>
      </c>
      <c r="T235" s="116">
        <v>643899.59</v>
      </c>
      <c r="U235" s="119"/>
      <c r="V235" s="116" t="s">
        <v>2337</v>
      </c>
      <c r="W235" s="116">
        <v>261501000000000</v>
      </c>
      <c r="X235" s="114">
        <v>46100</v>
      </c>
      <c r="Y235" s="116">
        <v>2039976</v>
      </c>
      <c r="Z235" s="116" t="s">
        <v>3422</v>
      </c>
      <c r="AA235" s="116">
        <v>-0.01</v>
      </c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22"/>
      <c r="AN235" s="116" t="s">
        <v>3424</v>
      </c>
      <c r="AO235" s="116" t="s">
        <v>2351</v>
      </c>
      <c r="AP235" s="116" t="s">
        <v>2347</v>
      </c>
    </row>
    <row r="236" spans="1:42">
      <c r="A236" s="113" t="s">
        <v>3425</v>
      </c>
      <c r="B236" s="114">
        <v>46099</v>
      </c>
      <c r="C236" s="115">
        <v>0.723402777777778</v>
      </c>
      <c r="D236" s="114">
        <v>46099</v>
      </c>
      <c r="E236" s="115">
        <v>0.725844907407407</v>
      </c>
      <c r="F236" s="116" t="s">
        <v>3426</v>
      </c>
      <c r="G236" s="114">
        <v>46099</v>
      </c>
      <c r="H236" s="116">
        <v>2567671874</v>
      </c>
      <c r="I236" s="116" t="s">
        <v>3427</v>
      </c>
      <c r="J236" s="116" t="s">
        <v>2213</v>
      </c>
      <c r="K236" s="116" t="s">
        <v>2454</v>
      </c>
      <c r="L236" s="116" t="s">
        <v>2455</v>
      </c>
      <c r="M236" s="116" t="s">
        <v>2331</v>
      </c>
      <c r="N236" s="116" t="s">
        <v>3428</v>
      </c>
      <c r="O236" s="119"/>
      <c r="P236" s="116" t="s">
        <v>3429</v>
      </c>
      <c r="Q236" s="116" t="s">
        <v>3430</v>
      </c>
      <c r="R236" s="116" t="s">
        <v>2335</v>
      </c>
      <c r="S236" s="116" t="s">
        <v>2826</v>
      </c>
      <c r="T236" s="116">
        <v>976298.03</v>
      </c>
      <c r="U236" s="116">
        <v>985299</v>
      </c>
      <c r="V236" s="116" t="s">
        <v>2460</v>
      </c>
      <c r="W236" s="116">
        <v>261532000000000</v>
      </c>
      <c r="X236" s="114">
        <v>46099</v>
      </c>
      <c r="Y236" s="116">
        <v>2033418</v>
      </c>
      <c r="Z236" s="116" t="s">
        <v>3427</v>
      </c>
      <c r="AA236" s="116">
        <v>-0.01</v>
      </c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22"/>
      <c r="AN236" s="116" t="s">
        <v>3431</v>
      </c>
      <c r="AO236" s="116" t="s">
        <v>2346</v>
      </c>
      <c r="AP236" s="116" t="s">
        <v>2462</v>
      </c>
    </row>
    <row r="237" spans="1:42">
      <c r="A237" s="113" t="s">
        <v>3432</v>
      </c>
      <c r="B237" s="114">
        <v>46099</v>
      </c>
      <c r="C237" s="115">
        <v>0.723784722222222</v>
      </c>
      <c r="D237" s="114">
        <v>46099</v>
      </c>
      <c r="E237" s="115">
        <v>0.725844907407407</v>
      </c>
      <c r="F237" s="116" t="s">
        <v>3433</v>
      </c>
      <c r="G237" s="114">
        <v>46044</v>
      </c>
      <c r="H237" s="116">
        <v>2566731026</v>
      </c>
      <c r="I237" s="116" t="s">
        <v>3434</v>
      </c>
      <c r="J237" s="116" t="s">
        <v>2199</v>
      </c>
      <c r="K237" s="116" t="s">
        <v>2371</v>
      </c>
      <c r="L237" s="116" t="s">
        <v>2372</v>
      </c>
      <c r="M237" s="116" t="s">
        <v>2331</v>
      </c>
      <c r="N237" s="116" t="s">
        <v>3435</v>
      </c>
      <c r="O237" s="119"/>
      <c r="P237" s="116">
        <v>4915838</v>
      </c>
      <c r="Q237" s="116" t="s">
        <v>3024</v>
      </c>
      <c r="R237" s="116" t="s">
        <v>2335</v>
      </c>
      <c r="S237" s="116" t="s">
        <v>2886</v>
      </c>
      <c r="T237" s="116">
        <v>652500.52</v>
      </c>
      <c r="U237" s="116">
        <v>500000</v>
      </c>
      <c r="V237" s="116" t="s">
        <v>2378</v>
      </c>
      <c r="W237" s="116">
        <v>261502000000000</v>
      </c>
      <c r="X237" s="114">
        <v>46099</v>
      </c>
      <c r="Y237" s="116">
        <v>2023403</v>
      </c>
      <c r="Z237" s="116" t="s">
        <v>3434</v>
      </c>
      <c r="AA237" s="116">
        <v>0.03</v>
      </c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22"/>
      <c r="AN237" s="116" t="s">
        <v>2887</v>
      </c>
      <c r="AO237" s="116" t="s">
        <v>2888</v>
      </c>
      <c r="AP237" s="116" t="s">
        <v>2340</v>
      </c>
    </row>
    <row r="238" spans="1:42">
      <c r="A238" s="113" t="s">
        <v>3436</v>
      </c>
      <c r="B238" s="114">
        <v>46099</v>
      </c>
      <c r="C238" s="115">
        <v>0.727013888888889</v>
      </c>
      <c r="D238" s="114">
        <v>46099</v>
      </c>
      <c r="E238" s="115">
        <v>0.729363425925926</v>
      </c>
      <c r="F238" s="116" t="s">
        <v>493</v>
      </c>
      <c r="G238" s="114">
        <v>46053</v>
      </c>
      <c r="H238" s="116">
        <v>2566922853</v>
      </c>
      <c r="I238" s="116" t="s">
        <v>3437</v>
      </c>
      <c r="J238" s="116" t="s">
        <v>2199</v>
      </c>
      <c r="K238" s="116" t="s">
        <v>2371</v>
      </c>
      <c r="L238" s="116" t="s">
        <v>2372</v>
      </c>
      <c r="M238" s="116" t="s">
        <v>2331</v>
      </c>
      <c r="N238" s="116" t="s">
        <v>3438</v>
      </c>
      <c r="O238" s="119"/>
      <c r="P238" s="116">
        <v>4893023</v>
      </c>
      <c r="Q238" s="116" t="s">
        <v>2529</v>
      </c>
      <c r="R238" s="116" t="s">
        <v>2376</v>
      </c>
      <c r="S238" s="116" t="s">
        <v>2886</v>
      </c>
      <c r="T238" s="116">
        <v>776899.68</v>
      </c>
      <c r="U238" s="116">
        <v>500000</v>
      </c>
      <c r="V238" s="116" t="s">
        <v>2378</v>
      </c>
      <c r="W238" s="116">
        <v>261502000000000</v>
      </c>
      <c r="X238" s="114">
        <v>46099</v>
      </c>
      <c r="Y238" s="116">
        <v>2028290</v>
      </c>
      <c r="Z238" s="116" t="s">
        <v>3437</v>
      </c>
      <c r="AA238" s="116">
        <v>0</v>
      </c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22"/>
      <c r="AN238" s="116" t="s">
        <v>2887</v>
      </c>
      <c r="AO238" s="116" t="s">
        <v>2888</v>
      </c>
      <c r="AP238" s="116" t="s">
        <v>2340</v>
      </c>
    </row>
    <row r="239" spans="1:42">
      <c r="A239" s="113" t="s">
        <v>891</v>
      </c>
      <c r="B239" s="114">
        <v>46099</v>
      </c>
      <c r="C239" s="115">
        <v>0.729340277777778</v>
      </c>
      <c r="D239" s="114">
        <v>46099</v>
      </c>
      <c r="E239" s="115">
        <v>0.732847222222222</v>
      </c>
      <c r="F239" s="116" t="s">
        <v>888</v>
      </c>
      <c r="G239" s="114">
        <v>46078</v>
      </c>
      <c r="H239" s="116">
        <v>2567314828</v>
      </c>
      <c r="I239" s="116" t="s">
        <v>3439</v>
      </c>
      <c r="J239" s="116" t="s">
        <v>2141</v>
      </c>
      <c r="K239" s="116" t="s">
        <v>2329</v>
      </c>
      <c r="L239" s="116" t="s">
        <v>2330</v>
      </c>
      <c r="M239" s="116" t="s">
        <v>2331</v>
      </c>
      <c r="N239" s="116" t="s">
        <v>3440</v>
      </c>
      <c r="O239" s="119"/>
      <c r="P239" s="116" t="s">
        <v>890</v>
      </c>
      <c r="Q239" s="116" t="s">
        <v>3441</v>
      </c>
      <c r="R239" s="116" t="s">
        <v>2538</v>
      </c>
      <c r="S239" s="116" t="s">
        <v>2908</v>
      </c>
      <c r="T239" s="116">
        <v>520400.38</v>
      </c>
      <c r="U239" s="116">
        <v>500000</v>
      </c>
      <c r="V239" s="116" t="s">
        <v>2337</v>
      </c>
      <c r="W239" s="116">
        <v>261501000000000</v>
      </c>
      <c r="X239" s="114">
        <v>46100</v>
      </c>
      <c r="Y239" s="116">
        <v>2038137</v>
      </c>
      <c r="Z239" s="116" t="s">
        <v>3439</v>
      </c>
      <c r="AA239" s="116">
        <v>-0.04</v>
      </c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22"/>
      <c r="AN239" s="116" t="s">
        <v>3424</v>
      </c>
      <c r="AO239" s="116" t="s">
        <v>2351</v>
      </c>
      <c r="AP239" s="116" t="s">
        <v>2347</v>
      </c>
    </row>
    <row r="240" spans="1:42">
      <c r="A240" s="113" t="s">
        <v>3442</v>
      </c>
      <c r="B240" s="114">
        <v>46099</v>
      </c>
      <c r="C240" s="115">
        <v>0.736030092592593</v>
      </c>
      <c r="D240" s="114">
        <v>46099</v>
      </c>
      <c r="E240" s="115">
        <v>0.736516203703704</v>
      </c>
      <c r="F240" s="116" t="s">
        <v>3443</v>
      </c>
      <c r="G240" s="114">
        <v>46099</v>
      </c>
      <c r="H240" s="116">
        <v>2567672349</v>
      </c>
      <c r="I240" s="116" t="s">
        <v>3444</v>
      </c>
      <c r="J240" s="116" t="s">
        <v>2213</v>
      </c>
      <c r="K240" s="116" t="s">
        <v>2454</v>
      </c>
      <c r="L240" s="116" t="s">
        <v>2455</v>
      </c>
      <c r="M240" s="116" t="s">
        <v>2331</v>
      </c>
      <c r="N240" s="116" t="s">
        <v>3445</v>
      </c>
      <c r="O240" s="119"/>
      <c r="P240" s="116">
        <v>1425733</v>
      </c>
      <c r="Q240" s="116" t="s">
        <v>2970</v>
      </c>
      <c r="R240" s="116" t="s">
        <v>2538</v>
      </c>
      <c r="S240" s="116" t="s">
        <v>2549</v>
      </c>
      <c r="T240" s="116">
        <v>680899.81</v>
      </c>
      <c r="U240" s="116">
        <v>703900</v>
      </c>
      <c r="V240" s="116" t="s">
        <v>2460</v>
      </c>
      <c r="W240" s="116">
        <v>261532000000000</v>
      </c>
      <c r="X240" s="114">
        <v>46099</v>
      </c>
      <c r="Y240" s="116">
        <v>2046171</v>
      </c>
      <c r="Z240" s="116" t="s">
        <v>3444</v>
      </c>
      <c r="AA240" s="116">
        <v>0.02</v>
      </c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22"/>
      <c r="AN240" s="116" t="s">
        <v>2647</v>
      </c>
      <c r="AO240" s="116" t="s">
        <v>2636</v>
      </c>
      <c r="AP240" s="116" t="s">
        <v>2367</v>
      </c>
    </row>
    <row r="241" spans="1:42">
      <c r="A241" s="113" t="s">
        <v>897</v>
      </c>
      <c r="B241" s="114">
        <v>46099</v>
      </c>
      <c r="C241" s="115">
        <v>0.736099537037037</v>
      </c>
      <c r="D241" s="114">
        <v>46099</v>
      </c>
      <c r="E241" s="115">
        <v>0.736516203703704</v>
      </c>
      <c r="F241" s="116" t="s">
        <v>894</v>
      </c>
      <c r="G241" s="114">
        <v>46093</v>
      </c>
      <c r="H241" s="116">
        <v>2567547876</v>
      </c>
      <c r="I241" s="116" t="s">
        <v>898</v>
      </c>
      <c r="J241" s="116" t="s">
        <v>2141</v>
      </c>
      <c r="K241" s="116" t="s">
        <v>2329</v>
      </c>
      <c r="L241" s="116" t="s">
        <v>2330</v>
      </c>
      <c r="M241" s="116" t="s">
        <v>2331</v>
      </c>
      <c r="N241" s="116" t="s">
        <v>2959</v>
      </c>
      <c r="O241" s="119"/>
      <c r="P241" s="116" t="s">
        <v>896</v>
      </c>
      <c r="Q241" s="116" t="s">
        <v>2559</v>
      </c>
      <c r="R241" s="116" t="s">
        <v>2335</v>
      </c>
      <c r="S241" s="116" t="s">
        <v>2353</v>
      </c>
      <c r="T241" s="116">
        <v>701799.45</v>
      </c>
      <c r="U241" s="116">
        <v>700000</v>
      </c>
      <c r="V241" s="116" t="s">
        <v>2337</v>
      </c>
      <c r="W241" s="116">
        <v>261501000000000</v>
      </c>
      <c r="X241" s="114">
        <v>46100</v>
      </c>
      <c r="Y241" s="116">
        <v>2027231</v>
      </c>
      <c r="Z241" s="116" t="s">
        <v>898</v>
      </c>
      <c r="AA241" s="116">
        <v>0.03</v>
      </c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22"/>
      <c r="AN241" s="116" t="s">
        <v>2960</v>
      </c>
      <c r="AO241" s="116" t="s">
        <v>2346</v>
      </c>
      <c r="AP241" s="116" t="s">
        <v>2593</v>
      </c>
    </row>
    <row r="242" spans="1:42">
      <c r="A242" s="113" t="s">
        <v>3446</v>
      </c>
      <c r="B242" s="114">
        <v>46099</v>
      </c>
      <c r="C242" s="115">
        <v>0.748020833333333</v>
      </c>
      <c r="D242" s="114">
        <v>46099</v>
      </c>
      <c r="E242" s="115">
        <v>0.748831018518519</v>
      </c>
      <c r="F242" s="116" t="s">
        <v>3447</v>
      </c>
      <c r="G242" s="114">
        <v>46032</v>
      </c>
      <c r="H242" s="116">
        <v>2566534657</v>
      </c>
      <c r="I242" s="116" t="s">
        <v>3448</v>
      </c>
      <c r="J242" s="116" t="s">
        <v>2203</v>
      </c>
      <c r="K242" s="116" t="s">
        <v>2526</v>
      </c>
      <c r="L242" s="116" t="s">
        <v>2527</v>
      </c>
      <c r="M242" s="116" t="s">
        <v>2331</v>
      </c>
      <c r="N242" s="116" t="s">
        <v>3449</v>
      </c>
      <c r="O242" s="119"/>
      <c r="P242" s="116">
        <v>4894369</v>
      </c>
      <c r="Q242" s="116" t="s">
        <v>2584</v>
      </c>
      <c r="R242" s="116" t="s">
        <v>2376</v>
      </c>
      <c r="S242" s="116" t="s">
        <v>2531</v>
      </c>
      <c r="T242" s="116">
        <v>861399.63</v>
      </c>
      <c r="U242" s="119"/>
      <c r="V242" s="116" t="s">
        <v>2532</v>
      </c>
      <c r="W242" s="116">
        <v>261536000000000</v>
      </c>
      <c r="X242" s="114">
        <v>46100</v>
      </c>
      <c r="Y242" s="116">
        <v>2018069</v>
      </c>
      <c r="Z242" s="116" t="s">
        <v>3448</v>
      </c>
      <c r="AA242" s="116">
        <v>0.04</v>
      </c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22"/>
      <c r="AN242" s="116" t="s">
        <v>2411</v>
      </c>
      <c r="AO242" s="116" t="s">
        <v>2412</v>
      </c>
      <c r="AP242" s="116" t="s">
        <v>2533</v>
      </c>
    </row>
    <row r="243" spans="1:42">
      <c r="A243" s="113" t="s">
        <v>3450</v>
      </c>
      <c r="B243" s="114">
        <v>46099</v>
      </c>
      <c r="C243" s="115">
        <v>0.749826388888889</v>
      </c>
      <c r="D243" s="114">
        <v>46099</v>
      </c>
      <c r="E243" s="115">
        <v>0.754976851851852</v>
      </c>
      <c r="F243" s="116" t="s">
        <v>3451</v>
      </c>
      <c r="G243" s="114">
        <v>46095</v>
      </c>
      <c r="H243" s="116">
        <v>2567598955</v>
      </c>
      <c r="I243" s="116" t="s">
        <v>3452</v>
      </c>
      <c r="J243" s="116" t="s">
        <v>2222</v>
      </c>
      <c r="K243" s="116" t="s">
        <v>2357</v>
      </c>
      <c r="L243" s="116" t="s">
        <v>2358</v>
      </c>
      <c r="M243" s="116" t="s">
        <v>2331</v>
      </c>
      <c r="N243" s="116" t="s">
        <v>3453</v>
      </c>
      <c r="O243" s="119"/>
      <c r="P243" s="116">
        <v>4531137</v>
      </c>
      <c r="Q243" s="116" t="s">
        <v>3290</v>
      </c>
      <c r="R243" s="116" t="s">
        <v>3123</v>
      </c>
      <c r="S243" s="116" t="s">
        <v>3454</v>
      </c>
      <c r="T243" s="116">
        <v>1261085.17</v>
      </c>
      <c r="U243" s="116">
        <v>1321000</v>
      </c>
      <c r="V243" s="116" t="s">
        <v>2364</v>
      </c>
      <c r="W243" s="116">
        <v>261534000000000</v>
      </c>
      <c r="X243" s="114">
        <v>46100</v>
      </c>
      <c r="Y243" s="116">
        <v>2044823</v>
      </c>
      <c r="Z243" s="116" t="s">
        <v>3452</v>
      </c>
      <c r="AA243" s="116">
        <v>-0.08</v>
      </c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22"/>
      <c r="AN243" s="116" t="s">
        <v>2799</v>
      </c>
      <c r="AO243" s="116" t="s">
        <v>2471</v>
      </c>
      <c r="AP243" s="116" t="s">
        <v>2472</v>
      </c>
    </row>
    <row r="244" spans="1:42">
      <c r="A244" s="113" t="s">
        <v>903</v>
      </c>
      <c r="B244" s="114">
        <v>46099</v>
      </c>
      <c r="C244" s="115">
        <v>0.752708333333333</v>
      </c>
      <c r="D244" s="114">
        <v>46099</v>
      </c>
      <c r="E244" s="115">
        <v>0.754976851851852</v>
      </c>
      <c r="F244" s="116" t="s">
        <v>899</v>
      </c>
      <c r="G244" s="114">
        <v>46099</v>
      </c>
      <c r="H244" s="116">
        <v>2567669378</v>
      </c>
      <c r="I244" s="116" t="s">
        <v>904</v>
      </c>
      <c r="J244" s="116" t="s">
        <v>2141</v>
      </c>
      <c r="K244" s="116" t="s">
        <v>2329</v>
      </c>
      <c r="L244" s="116" t="s">
        <v>2330</v>
      </c>
      <c r="M244" s="116" t="s">
        <v>2331</v>
      </c>
      <c r="N244" s="116" t="s">
        <v>3455</v>
      </c>
      <c r="O244" s="119"/>
      <c r="P244" s="116" t="s">
        <v>902</v>
      </c>
      <c r="Q244" s="116" t="s">
        <v>3430</v>
      </c>
      <c r="R244" s="116" t="s">
        <v>2335</v>
      </c>
      <c r="S244" s="116" t="s">
        <v>2971</v>
      </c>
      <c r="T244" s="116">
        <v>975299.4</v>
      </c>
      <c r="U244" s="116">
        <v>593537</v>
      </c>
      <c r="V244" s="116" t="s">
        <v>2337</v>
      </c>
      <c r="W244" s="116">
        <v>261501000000000</v>
      </c>
      <c r="X244" s="114">
        <v>46100</v>
      </c>
      <c r="Y244" s="116">
        <v>2021625</v>
      </c>
      <c r="Z244" s="116" t="s">
        <v>904</v>
      </c>
      <c r="AA244" s="116">
        <v>-0.03</v>
      </c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22"/>
      <c r="AN244" s="116" t="s">
        <v>2520</v>
      </c>
      <c r="AO244" s="116" t="s">
        <v>2521</v>
      </c>
      <c r="AP244" s="116" t="s">
        <v>2522</v>
      </c>
    </row>
    <row r="245" spans="1:42">
      <c r="A245" s="113" t="s">
        <v>3456</v>
      </c>
      <c r="B245" s="114">
        <v>46099</v>
      </c>
      <c r="C245" s="115">
        <v>0.753576388888889</v>
      </c>
      <c r="D245" s="114">
        <v>46099</v>
      </c>
      <c r="E245" s="115">
        <v>0.754976851851852</v>
      </c>
      <c r="F245" s="116" t="s">
        <v>3457</v>
      </c>
      <c r="G245" s="114">
        <v>46099</v>
      </c>
      <c r="H245" s="116">
        <v>2567674169</v>
      </c>
      <c r="I245" s="116" t="s">
        <v>3458</v>
      </c>
      <c r="J245" s="116" t="s">
        <v>2226</v>
      </c>
      <c r="K245" s="116" t="s">
        <v>2566</v>
      </c>
      <c r="L245" s="116" t="s">
        <v>2567</v>
      </c>
      <c r="M245" s="116" t="s">
        <v>2331</v>
      </c>
      <c r="N245" s="116" t="s">
        <v>3459</v>
      </c>
      <c r="O245" s="119"/>
      <c r="P245" s="116">
        <v>4879273</v>
      </c>
      <c r="Q245" s="116" t="s">
        <v>2405</v>
      </c>
      <c r="R245" s="116" t="s">
        <v>2435</v>
      </c>
      <c r="S245" s="116" t="s">
        <v>2614</v>
      </c>
      <c r="T245" s="116">
        <v>749399.7</v>
      </c>
      <c r="U245" s="116">
        <v>678000</v>
      </c>
      <c r="V245" s="116" t="s">
        <v>2570</v>
      </c>
      <c r="W245" s="116">
        <v>261531000000000</v>
      </c>
      <c r="X245" s="114">
        <v>46099</v>
      </c>
      <c r="Y245" s="116">
        <v>2046335</v>
      </c>
      <c r="Z245" s="116" t="s">
        <v>3458</v>
      </c>
      <c r="AA245" s="116">
        <v>0.03</v>
      </c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22"/>
      <c r="AN245" s="116" t="s">
        <v>2346</v>
      </c>
      <c r="AO245" s="116" t="s">
        <v>2346</v>
      </c>
      <c r="AP245" s="116" t="s">
        <v>2571</v>
      </c>
    </row>
    <row r="246" spans="1:42">
      <c r="A246" s="109" t="s">
        <v>915</v>
      </c>
      <c r="B246" s="110">
        <v>46100</v>
      </c>
      <c r="C246" s="111">
        <v>0.446412037037037</v>
      </c>
      <c r="D246" s="110">
        <v>46100</v>
      </c>
      <c r="E246" s="111">
        <v>0.448553240740741</v>
      </c>
      <c r="F246" s="112" t="s">
        <v>912</v>
      </c>
      <c r="G246" s="110">
        <v>46094</v>
      </c>
      <c r="H246" s="112">
        <v>2567550041</v>
      </c>
      <c r="I246" s="112" t="s">
        <v>916</v>
      </c>
      <c r="J246" s="112" t="s">
        <v>2157</v>
      </c>
      <c r="K246" s="112" t="s">
        <v>2534</v>
      </c>
      <c r="L246" s="112" t="s">
        <v>2535</v>
      </c>
      <c r="M246" s="112" t="s">
        <v>2331</v>
      </c>
      <c r="N246" s="112" t="s">
        <v>3460</v>
      </c>
      <c r="O246" s="118"/>
      <c r="P246" s="112">
        <v>4592708</v>
      </c>
      <c r="Q246" s="112" t="s">
        <v>2745</v>
      </c>
      <c r="R246" s="112" t="s">
        <v>2344</v>
      </c>
      <c r="S246" s="112" t="s">
        <v>3038</v>
      </c>
      <c r="T246" s="112">
        <v>640499.72</v>
      </c>
      <c r="U246" s="112">
        <v>660500</v>
      </c>
      <c r="V246" s="112" t="s">
        <v>2540</v>
      </c>
      <c r="W246" s="112">
        <v>261504000000000</v>
      </c>
      <c r="X246" s="110">
        <v>46100</v>
      </c>
      <c r="Y246" s="112">
        <v>2044221</v>
      </c>
      <c r="Z246" s="112" t="s">
        <v>916</v>
      </c>
      <c r="AA246" s="112">
        <v>0.03</v>
      </c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21"/>
      <c r="AN246" s="112" t="s">
        <v>2838</v>
      </c>
      <c r="AO246" s="112" t="s">
        <v>2542</v>
      </c>
      <c r="AP246" s="112" t="s">
        <v>2543</v>
      </c>
    </row>
    <row r="247" spans="1:42">
      <c r="A247" s="113" t="s">
        <v>3461</v>
      </c>
      <c r="B247" s="114">
        <v>46100</v>
      </c>
      <c r="C247" s="115">
        <v>0.457939814814815</v>
      </c>
      <c r="D247" s="114">
        <v>46100</v>
      </c>
      <c r="E247" s="115">
        <v>0.458877314814815</v>
      </c>
      <c r="F247" s="116" t="s">
        <v>3462</v>
      </c>
      <c r="G247" s="114">
        <v>46084</v>
      </c>
      <c r="H247" s="116">
        <v>2567417112</v>
      </c>
      <c r="I247" s="116" t="s">
        <v>3463</v>
      </c>
      <c r="J247" s="116" t="s">
        <v>3227</v>
      </c>
      <c r="K247" s="116" t="s">
        <v>3228</v>
      </c>
      <c r="L247" s="116" t="s">
        <v>3229</v>
      </c>
      <c r="M247" s="116" t="s">
        <v>2331</v>
      </c>
      <c r="N247" s="116" t="s">
        <v>3464</v>
      </c>
      <c r="O247" s="119"/>
      <c r="P247" s="116">
        <v>4594341</v>
      </c>
      <c r="Q247" s="116" t="s">
        <v>3231</v>
      </c>
      <c r="R247" s="116" t="s">
        <v>2645</v>
      </c>
      <c r="S247" s="116" t="s">
        <v>3232</v>
      </c>
      <c r="T247" s="116">
        <v>549800.6</v>
      </c>
      <c r="U247" s="116">
        <v>500000</v>
      </c>
      <c r="V247" s="116" t="s">
        <v>3233</v>
      </c>
      <c r="W247" s="116">
        <v>261530000000000</v>
      </c>
      <c r="X247" s="114">
        <v>46100</v>
      </c>
      <c r="Y247" s="116">
        <v>1790381</v>
      </c>
      <c r="Z247" s="116" t="s">
        <v>3463</v>
      </c>
      <c r="AA247" s="116">
        <v>0</v>
      </c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22"/>
      <c r="AN247" s="116" t="s">
        <v>3234</v>
      </c>
      <c r="AO247" s="116" t="s">
        <v>3235</v>
      </c>
      <c r="AP247" s="116" t="s">
        <v>2880</v>
      </c>
    </row>
    <row r="248" spans="1:42">
      <c r="A248" s="113" t="s">
        <v>3465</v>
      </c>
      <c r="B248" s="114">
        <v>46100</v>
      </c>
      <c r="C248" s="115">
        <v>0.481886574074074</v>
      </c>
      <c r="D248" s="114">
        <v>46100</v>
      </c>
      <c r="E248" s="115">
        <v>0.483136574074074</v>
      </c>
      <c r="F248" s="116" t="s">
        <v>3466</v>
      </c>
      <c r="G248" s="114">
        <v>46088</v>
      </c>
      <c r="H248" s="116">
        <v>2567476778</v>
      </c>
      <c r="I248" s="116" t="s">
        <v>3467</v>
      </c>
      <c r="J248" s="116" t="s">
        <v>3227</v>
      </c>
      <c r="K248" s="116" t="s">
        <v>3228</v>
      </c>
      <c r="L248" s="116" t="s">
        <v>3229</v>
      </c>
      <c r="M248" s="116" t="s">
        <v>2331</v>
      </c>
      <c r="N248" s="116" t="s">
        <v>3468</v>
      </c>
      <c r="O248" s="119"/>
      <c r="P248" s="116">
        <v>4594073</v>
      </c>
      <c r="Q248" s="116" t="s">
        <v>3231</v>
      </c>
      <c r="R248" s="116" t="s">
        <v>2645</v>
      </c>
      <c r="S248" s="116" t="s">
        <v>3469</v>
      </c>
      <c r="T248" s="116">
        <v>553900.5</v>
      </c>
      <c r="U248" s="116">
        <v>550000</v>
      </c>
      <c r="V248" s="116" t="s">
        <v>3233</v>
      </c>
      <c r="W248" s="116">
        <v>261530000000000</v>
      </c>
      <c r="X248" s="114">
        <v>46100</v>
      </c>
      <c r="Y248" s="116">
        <v>1931793</v>
      </c>
      <c r="Z248" s="116" t="s">
        <v>3467</v>
      </c>
      <c r="AA248" s="116">
        <v>0</v>
      </c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22"/>
      <c r="AN248" s="116" t="s">
        <v>3470</v>
      </c>
      <c r="AO248" s="116" t="s">
        <v>3235</v>
      </c>
      <c r="AP248" s="116" t="s">
        <v>2880</v>
      </c>
    </row>
    <row r="249" spans="1:42">
      <c r="A249" s="113" t="s">
        <v>3471</v>
      </c>
      <c r="B249" s="114">
        <v>46100</v>
      </c>
      <c r="C249" s="115">
        <v>0.491724537037037</v>
      </c>
      <c r="D249" s="114">
        <v>46100</v>
      </c>
      <c r="E249" s="115">
        <v>0.493587962962963</v>
      </c>
      <c r="F249" s="116" t="s">
        <v>3472</v>
      </c>
      <c r="G249" s="114">
        <v>46034</v>
      </c>
      <c r="H249" s="116">
        <v>2566551390</v>
      </c>
      <c r="I249" s="116" t="s">
        <v>3473</v>
      </c>
      <c r="J249" s="116" t="s">
        <v>2222</v>
      </c>
      <c r="K249" s="116" t="s">
        <v>2357</v>
      </c>
      <c r="L249" s="116" t="s">
        <v>2358</v>
      </c>
      <c r="M249" s="116" t="s">
        <v>2331</v>
      </c>
      <c r="N249" s="116" t="s">
        <v>3474</v>
      </c>
      <c r="O249" s="119"/>
      <c r="P249" s="116">
        <v>7803111</v>
      </c>
      <c r="Q249" s="116" t="s">
        <v>2477</v>
      </c>
      <c r="R249" s="116" t="s">
        <v>2376</v>
      </c>
      <c r="S249" s="116" t="s">
        <v>2831</v>
      </c>
      <c r="T249" s="116">
        <v>789499.56</v>
      </c>
      <c r="U249" s="116">
        <v>800000</v>
      </c>
      <c r="V249" s="116" t="s">
        <v>2364</v>
      </c>
      <c r="W249" s="116">
        <v>261534000000000</v>
      </c>
      <c r="X249" s="114">
        <v>46100</v>
      </c>
      <c r="Y249" s="116">
        <v>2018554</v>
      </c>
      <c r="Z249" s="116" t="s">
        <v>3473</v>
      </c>
      <c r="AA249" s="116">
        <v>0.04</v>
      </c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22"/>
      <c r="AN249" s="116" t="s">
        <v>2920</v>
      </c>
      <c r="AO249" s="116" t="s">
        <v>2833</v>
      </c>
      <c r="AP249" s="116" t="s">
        <v>2367</v>
      </c>
    </row>
    <row r="250" spans="1:42">
      <c r="A250" s="113" t="s">
        <v>3475</v>
      </c>
      <c r="B250" s="114">
        <v>46100</v>
      </c>
      <c r="C250" s="115">
        <v>0.496145833333333</v>
      </c>
      <c r="D250" s="114">
        <v>46100</v>
      </c>
      <c r="E250" s="115">
        <v>0.497048611111111</v>
      </c>
      <c r="F250" s="116" t="s">
        <v>3476</v>
      </c>
      <c r="G250" s="114">
        <v>46030</v>
      </c>
      <c r="H250" s="116">
        <v>2566509326</v>
      </c>
      <c r="I250" s="116" t="s">
        <v>3477</v>
      </c>
      <c r="J250" s="116" t="s">
        <v>2226</v>
      </c>
      <c r="K250" s="116" t="s">
        <v>2566</v>
      </c>
      <c r="L250" s="116" t="s">
        <v>2567</v>
      </c>
      <c r="M250" s="116" t="s">
        <v>2331</v>
      </c>
      <c r="N250" s="116" t="s">
        <v>3478</v>
      </c>
      <c r="O250" s="119"/>
      <c r="P250" s="116">
        <v>7803489</v>
      </c>
      <c r="Q250" s="116" t="s">
        <v>3028</v>
      </c>
      <c r="R250" s="116" t="s">
        <v>2585</v>
      </c>
      <c r="S250" s="116" t="s">
        <v>2579</v>
      </c>
      <c r="T250" s="116">
        <v>806900.07</v>
      </c>
      <c r="U250" s="116">
        <v>780000</v>
      </c>
      <c r="V250" s="116" t="s">
        <v>2570</v>
      </c>
      <c r="W250" s="116">
        <v>261531000000000</v>
      </c>
      <c r="X250" s="114">
        <v>46100</v>
      </c>
      <c r="Y250" s="116">
        <v>2017345</v>
      </c>
      <c r="Z250" s="116" t="s">
        <v>3477</v>
      </c>
      <c r="AA250" s="116">
        <v>0.04</v>
      </c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22"/>
      <c r="AN250" s="116" t="s">
        <v>3479</v>
      </c>
      <c r="AO250" s="116" t="s">
        <v>3480</v>
      </c>
      <c r="AP250" s="116" t="s">
        <v>2659</v>
      </c>
    </row>
    <row r="251" spans="1:42">
      <c r="A251" s="113" t="s">
        <v>3481</v>
      </c>
      <c r="B251" s="114">
        <v>46100</v>
      </c>
      <c r="C251" s="115">
        <v>0.501041666666667</v>
      </c>
      <c r="D251" s="114">
        <v>46100</v>
      </c>
      <c r="E251" s="115">
        <v>0.504386574074074</v>
      </c>
      <c r="F251" s="116" t="s">
        <v>3482</v>
      </c>
      <c r="G251" s="114">
        <v>46030</v>
      </c>
      <c r="H251" s="116">
        <v>2566491110</v>
      </c>
      <c r="I251" s="116" t="s">
        <v>3483</v>
      </c>
      <c r="J251" s="116" t="s">
        <v>2226</v>
      </c>
      <c r="K251" s="116" t="s">
        <v>2566</v>
      </c>
      <c r="L251" s="116" t="s">
        <v>2567</v>
      </c>
      <c r="M251" s="116" t="s">
        <v>2331</v>
      </c>
      <c r="N251" s="116" t="s">
        <v>3484</v>
      </c>
      <c r="O251" s="119"/>
      <c r="P251" s="116">
        <v>4897455</v>
      </c>
      <c r="Q251" s="116" t="s">
        <v>2783</v>
      </c>
      <c r="R251" s="116" t="s">
        <v>2376</v>
      </c>
      <c r="S251" s="116" t="s">
        <v>3485</v>
      </c>
      <c r="T251" s="116">
        <v>661899.76</v>
      </c>
      <c r="U251" s="116">
        <v>550000</v>
      </c>
      <c r="V251" s="116" t="s">
        <v>2570</v>
      </c>
      <c r="W251" s="116">
        <v>261531000000000</v>
      </c>
      <c r="X251" s="114">
        <v>46100</v>
      </c>
      <c r="Y251" s="116">
        <v>2016915</v>
      </c>
      <c r="Z251" s="116" t="s">
        <v>3483</v>
      </c>
      <c r="AA251" s="116">
        <v>-0.01</v>
      </c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22"/>
      <c r="AN251" s="116" t="s">
        <v>2346</v>
      </c>
      <c r="AO251" s="116" t="s">
        <v>2346</v>
      </c>
      <c r="AP251" s="116" t="s">
        <v>2659</v>
      </c>
    </row>
    <row r="252" spans="1:42">
      <c r="A252" s="113" t="s">
        <v>3486</v>
      </c>
      <c r="B252" s="114">
        <v>46100</v>
      </c>
      <c r="C252" s="115">
        <v>0.509571759259259</v>
      </c>
      <c r="D252" s="114">
        <v>46100</v>
      </c>
      <c r="E252" s="115">
        <v>0.510983796296296</v>
      </c>
      <c r="F252" s="116" t="s">
        <v>3487</v>
      </c>
      <c r="G252" s="114">
        <v>46092</v>
      </c>
      <c r="H252" s="116">
        <v>2567678435</v>
      </c>
      <c r="I252" s="116" t="s">
        <v>3488</v>
      </c>
      <c r="J252" s="116" t="s">
        <v>2222</v>
      </c>
      <c r="K252" s="116" t="s">
        <v>2357</v>
      </c>
      <c r="L252" s="116" t="s">
        <v>2358</v>
      </c>
      <c r="M252" s="116" t="s">
        <v>2331</v>
      </c>
      <c r="N252" s="116" t="s">
        <v>3489</v>
      </c>
      <c r="O252" s="119"/>
      <c r="P252" s="116">
        <v>4916510</v>
      </c>
      <c r="Q252" s="116" t="s">
        <v>2679</v>
      </c>
      <c r="R252" s="116" t="s">
        <v>2435</v>
      </c>
      <c r="S252" s="116" t="s">
        <v>3345</v>
      </c>
      <c r="T252" s="116">
        <v>445099.63</v>
      </c>
      <c r="U252" s="116">
        <v>400000</v>
      </c>
      <c r="V252" s="116" t="s">
        <v>2364</v>
      </c>
      <c r="W252" s="116">
        <v>261534000000000</v>
      </c>
      <c r="X252" s="114">
        <v>46100</v>
      </c>
      <c r="Y252" s="116">
        <v>2046370</v>
      </c>
      <c r="Z252" s="116" t="s">
        <v>3488</v>
      </c>
      <c r="AA252" s="116">
        <v>-0.01</v>
      </c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22"/>
      <c r="AN252" s="116" t="s">
        <v>3346</v>
      </c>
      <c r="AO252" s="116" t="s">
        <v>2608</v>
      </c>
      <c r="AP252" s="116" t="s">
        <v>2367</v>
      </c>
    </row>
    <row r="253" spans="1:42">
      <c r="A253" s="113" t="s">
        <v>3490</v>
      </c>
      <c r="B253" s="114">
        <v>46100</v>
      </c>
      <c r="C253" s="115">
        <v>0.516979166666667</v>
      </c>
      <c r="D253" s="114">
        <v>46100</v>
      </c>
      <c r="E253" s="115">
        <v>0.517974537037037</v>
      </c>
      <c r="F253" s="116" t="s">
        <v>3491</v>
      </c>
      <c r="G253" s="114">
        <v>46036</v>
      </c>
      <c r="H253" s="116">
        <v>2566596964</v>
      </c>
      <c r="I253" s="116" t="s">
        <v>3492</v>
      </c>
      <c r="J253" s="116" t="s">
        <v>2226</v>
      </c>
      <c r="K253" s="116" t="s">
        <v>2566</v>
      </c>
      <c r="L253" s="116" t="s">
        <v>2567</v>
      </c>
      <c r="M253" s="116" t="s">
        <v>2331</v>
      </c>
      <c r="N253" s="116" t="s">
        <v>3493</v>
      </c>
      <c r="O253" s="119"/>
      <c r="P253" s="116">
        <v>4896884</v>
      </c>
      <c r="Q253" s="116" t="s">
        <v>2584</v>
      </c>
      <c r="R253" s="116" t="s">
        <v>2435</v>
      </c>
      <c r="S253" s="116" t="s">
        <v>2579</v>
      </c>
      <c r="T253" s="116">
        <v>871899.56</v>
      </c>
      <c r="U253" s="116">
        <v>755000</v>
      </c>
      <c r="V253" s="116" t="s">
        <v>2570</v>
      </c>
      <c r="W253" s="116">
        <v>261531000000000</v>
      </c>
      <c r="X253" s="114">
        <v>46100</v>
      </c>
      <c r="Y253" s="116">
        <v>1736920</v>
      </c>
      <c r="Z253" s="116" t="s">
        <v>3492</v>
      </c>
      <c r="AA253" s="116">
        <v>0.01</v>
      </c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22"/>
      <c r="AN253" s="116" t="s">
        <v>2346</v>
      </c>
      <c r="AO253" s="116" t="s">
        <v>2346</v>
      </c>
      <c r="AP253" s="116" t="s">
        <v>2659</v>
      </c>
    </row>
    <row r="254" spans="1:42">
      <c r="A254" s="113" t="s">
        <v>3494</v>
      </c>
      <c r="B254" s="114">
        <v>46100</v>
      </c>
      <c r="C254" s="115">
        <v>0.519675925925926</v>
      </c>
      <c r="D254" s="114">
        <v>46100</v>
      </c>
      <c r="E254" s="115">
        <v>0.53193287037037</v>
      </c>
      <c r="F254" s="116" t="s">
        <v>3495</v>
      </c>
      <c r="G254" s="114">
        <v>46079</v>
      </c>
      <c r="H254" s="116">
        <v>2567331453</v>
      </c>
      <c r="I254" s="116" t="s">
        <v>3496</v>
      </c>
      <c r="J254" s="116" t="s">
        <v>3227</v>
      </c>
      <c r="K254" s="116" t="s">
        <v>3228</v>
      </c>
      <c r="L254" s="116" t="s">
        <v>3229</v>
      </c>
      <c r="M254" s="116" t="s">
        <v>2331</v>
      </c>
      <c r="N254" s="116" t="s">
        <v>3497</v>
      </c>
      <c r="O254" s="119"/>
      <c r="P254" s="116">
        <v>4593619</v>
      </c>
      <c r="Q254" s="116" t="s">
        <v>3231</v>
      </c>
      <c r="R254" s="116" t="s">
        <v>2344</v>
      </c>
      <c r="S254" s="116" t="s">
        <v>3232</v>
      </c>
      <c r="T254" s="116">
        <v>571900.45</v>
      </c>
      <c r="U254" s="116">
        <v>550000</v>
      </c>
      <c r="V254" s="116" t="s">
        <v>3233</v>
      </c>
      <c r="W254" s="116">
        <v>261530000000000</v>
      </c>
      <c r="X254" s="114">
        <v>46100</v>
      </c>
      <c r="Y254" s="116">
        <v>2038750</v>
      </c>
      <c r="Z254" s="116" t="s">
        <v>3496</v>
      </c>
      <c r="AA254" s="116">
        <v>-0.01</v>
      </c>
      <c r="AB254" s="119"/>
      <c r="AC254" s="119"/>
      <c r="AD254" s="119"/>
      <c r="AE254" s="119"/>
      <c r="AF254" s="119"/>
      <c r="AG254" s="119"/>
      <c r="AH254" s="119"/>
      <c r="AI254" s="116" t="s">
        <v>3498</v>
      </c>
      <c r="AJ254" s="114">
        <v>46100</v>
      </c>
      <c r="AK254" s="116" t="s">
        <v>1679</v>
      </c>
      <c r="AL254" s="116">
        <v>261530000000000</v>
      </c>
      <c r="AM254" s="116">
        <v>261530000000000</v>
      </c>
      <c r="AN254" s="116" t="s">
        <v>3326</v>
      </c>
      <c r="AO254" s="116" t="s">
        <v>3296</v>
      </c>
      <c r="AP254" s="116" t="s">
        <v>2880</v>
      </c>
    </row>
    <row r="255" spans="1:42">
      <c r="A255" s="113" t="s">
        <v>3499</v>
      </c>
      <c r="B255" s="114">
        <v>46100</v>
      </c>
      <c r="C255" s="115">
        <v>0.52318287037037</v>
      </c>
      <c r="D255" s="114">
        <v>46100</v>
      </c>
      <c r="E255" s="115">
        <v>0.53193287037037</v>
      </c>
      <c r="F255" s="116" t="s">
        <v>3500</v>
      </c>
      <c r="G255" s="114">
        <v>46034</v>
      </c>
      <c r="H255" s="116">
        <v>2566559862</v>
      </c>
      <c r="I255" s="116" t="s">
        <v>3501</v>
      </c>
      <c r="J255" s="116" t="s">
        <v>2222</v>
      </c>
      <c r="K255" s="116" t="s">
        <v>2357</v>
      </c>
      <c r="L255" s="116" t="s">
        <v>2358</v>
      </c>
      <c r="M255" s="116" t="s">
        <v>2331</v>
      </c>
      <c r="N255" s="116" t="s">
        <v>3502</v>
      </c>
      <c r="O255" s="119"/>
      <c r="P255" s="116">
        <v>7803040</v>
      </c>
      <c r="Q255" s="116" t="s">
        <v>2477</v>
      </c>
      <c r="R255" s="116" t="s">
        <v>2376</v>
      </c>
      <c r="S255" s="116" t="s">
        <v>2710</v>
      </c>
      <c r="T255" s="116">
        <v>798499.5</v>
      </c>
      <c r="U255" s="116">
        <v>700000</v>
      </c>
      <c r="V255" s="116" t="s">
        <v>2364</v>
      </c>
      <c r="W255" s="116">
        <v>261534000000000</v>
      </c>
      <c r="X255" s="114">
        <v>46100</v>
      </c>
      <c r="Y255" s="116">
        <v>2018680</v>
      </c>
      <c r="Z255" s="116" t="s">
        <v>3501</v>
      </c>
      <c r="AA255" s="116">
        <v>-0.01</v>
      </c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22"/>
      <c r="AN255" s="116" t="s">
        <v>2484</v>
      </c>
      <c r="AO255" s="116" t="s">
        <v>2485</v>
      </c>
      <c r="AP255" s="116" t="s">
        <v>2367</v>
      </c>
    </row>
    <row r="256" spans="1:42">
      <c r="A256" s="113" t="s">
        <v>920</v>
      </c>
      <c r="B256" s="114">
        <v>46100</v>
      </c>
      <c r="C256" s="115">
        <v>0.528425925925926</v>
      </c>
      <c r="D256" s="114">
        <v>46100</v>
      </c>
      <c r="E256" s="115">
        <v>0.53193287037037</v>
      </c>
      <c r="F256" s="116" t="s">
        <v>917</v>
      </c>
      <c r="G256" s="114">
        <v>46094</v>
      </c>
      <c r="H256" s="116">
        <v>2567586386</v>
      </c>
      <c r="I256" s="116" t="s">
        <v>921</v>
      </c>
      <c r="J256" s="116" t="s">
        <v>2145</v>
      </c>
      <c r="K256" s="116" t="s">
        <v>2945</v>
      </c>
      <c r="L256" s="116" t="s">
        <v>2946</v>
      </c>
      <c r="M256" s="116" t="s">
        <v>2331</v>
      </c>
      <c r="N256" s="116" t="s">
        <v>3503</v>
      </c>
      <c r="O256" s="119"/>
      <c r="P256" s="116">
        <v>9999363</v>
      </c>
      <c r="Q256" s="116" t="s">
        <v>3504</v>
      </c>
      <c r="R256" s="116" t="s">
        <v>2458</v>
      </c>
      <c r="S256" s="116" t="s">
        <v>2948</v>
      </c>
      <c r="T256" s="116">
        <v>1186245.6</v>
      </c>
      <c r="U256" s="116">
        <v>1251000</v>
      </c>
      <c r="V256" s="116" t="s">
        <v>2949</v>
      </c>
      <c r="W256" s="116">
        <v>261513000000000</v>
      </c>
      <c r="X256" s="114">
        <v>46100</v>
      </c>
      <c r="Y256" s="116">
        <v>2044583</v>
      </c>
      <c r="Z256" s="116" t="s">
        <v>921</v>
      </c>
      <c r="AA256" s="116">
        <v>-0.03</v>
      </c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22"/>
      <c r="AN256" s="116" t="s">
        <v>2909</v>
      </c>
      <c r="AO256" s="116" t="s">
        <v>2346</v>
      </c>
      <c r="AP256" s="116" t="s">
        <v>2686</v>
      </c>
    </row>
    <row r="257" spans="1:42">
      <c r="A257" s="113" t="s">
        <v>3505</v>
      </c>
      <c r="B257" s="114">
        <v>46100</v>
      </c>
      <c r="C257" s="115">
        <v>0.538344907407407</v>
      </c>
      <c r="D257" s="114">
        <v>46100</v>
      </c>
      <c r="E257" s="115">
        <v>0.53869212962963</v>
      </c>
      <c r="F257" s="116" t="s">
        <v>3506</v>
      </c>
      <c r="G257" s="114">
        <v>46029</v>
      </c>
      <c r="H257" s="116">
        <v>2566486847</v>
      </c>
      <c r="I257" s="116" t="s">
        <v>3507</v>
      </c>
      <c r="J257" s="116" t="s">
        <v>2222</v>
      </c>
      <c r="K257" s="116" t="s">
        <v>2357</v>
      </c>
      <c r="L257" s="116" t="s">
        <v>2358</v>
      </c>
      <c r="M257" s="116" t="s">
        <v>2331</v>
      </c>
      <c r="N257" s="116" t="s">
        <v>3508</v>
      </c>
      <c r="O257" s="119"/>
      <c r="P257" s="116">
        <v>7802541</v>
      </c>
      <c r="Q257" s="116" t="s">
        <v>2477</v>
      </c>
      <c r="R257" s="116" t="s">
        <v>2376</v>
      </c>
      <c r="S257" s="116" t="s">
        <v>2724</v>
      </c>
      <c r="T257" s="116">
        <v>796499.55</v>
      </c>
      <c r="U257" s="119"/>
      <c r="V257" s="116" t="s">
        <v>2364</v>
      </c>
      <c r="W257" s="116">
        <v>261534000000000</v>
      </c>
      <c r="X257" s="114">
        <v>46100</v>
      </c>
      <c r="Y257" s="116">
        <v>2017274</v>
      </c>
      <c r="Z257" s="116" t="s">
        <v>3507</v>
      </c>
      <c r="AA257" s="116">
        <v>0.04</v>
      </c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22"/>
      <c r="AN257" s="116" t="s">
        <v>3509</v>
      </c>
      <c r="AO257" s="116" t="s">
        <v>2726</v>
      </c>
      <c r="AP257" s="116" t="s">
        <v>2367</v>
      </c>
    </row>
    <row r="258" spans="1:42">
      <c r="A258" s="113" t="s">
        <v>3510</v>
      </c>
      <c r="B258" s="114">
        <v>46100</v>
      </c>
      <c r="C258" s="115">
        <v>0.545856481481481</v>
      </c>
      <c r="D258" s="114">
        <v>46100</v>
      </c>
      <c r="E258" s="115">
        <v>0.548854166666667</v>
      </c>
      <c r="F258" s="116" t="s">
        <v>3511</v>
      </c>
      <c r="G258" s="114">
        <v>46100</v>
      </c>
      <c r="H258" s="116">
        <v>2567687648</v>
      </c>
      <c r="I258" s="116" t="s">
        <v>3031</v>
      </c>
      <c r="J258" s="116" t="s">
        <v>2226</v>
      </c>
      <c r="K258" s="116" t="s">
        <v>2566</v>
      </c>
      <c r="L258" s="116" t="s">
        <v>2567</v>
      </c>
      <c r="M258" s="116" t="s">
        <v>2331</v>
      </c>
      <c r="N258" s="116" t="s">
        <v>3512</v>
      </c>
      <c r="O258" s="119"/>
      <c r="P258" s="116">
        <v>4889727</v>
      </c>
      <c r="Q258" s="116" t="s">
        <v>2405</v>
      </c>
      <c r="R258" s="116" t="s">
        <v>2376</v>
      </c>
      <c r="S258" s="116" t="s">
        <v>3033</v>
      </c>
      <c r="T258" s="116">
        <v>735446.72</v>
      </c>
      <c r="U258" s="116">
        <v>680000</v>
      </c>
      <c r="V258" s="116" t="s">
        <v>2570</v>
      </c>
      <c r="W258" s="116">
        <v>261531000000000</v>
      </c>
      <c r="X258" s="114">
        <v>46100</v>
      </c>
      <c r="Y258" s="116">
        <v>1031003</v>
      </c>
      <c r="Z258" s="116" t="s">
        <v>3031</v>
      </c>
      <c r="AA258" s="116">
        <v>-0.02</v>
      </c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22"/>
      <c r="AN258" s="116" t="s">
        <v>2346</v>
      </c>
      <c r="AO258" s="116" t="s">
        <v>2346</v>
      </c>
      <c r="AP258" s="116" t="s">
        <v>2659</v>
      </c>
    </row>
    <row r="259" spans="1:42">
      <c r="A259" s="113" t="s">
        <v>926</v>
      </c>
      <c r="B259" s="114">
        <v>46100</v>
      </c>
      <c r="C259" s="115">
        <v>0.547372685185185</v>
      </c>
      <c r="D259" s="114">
        <v>46100</v>
      </c>
      <c r="E259" s="115">
        <v>0.548854166666667</v>
      </c>
      <c r="F259" s="116" t="s">
        <v>923</v>
      </c>
      <c r="G259" s="114">
        <v>46053</v>
      </c>
      <c r="H259" s="116">
        <v>2566911359</v>
      </c>
      <c r="I259" s="116" t="s">
        <v>3513</v>
      </c>
      <c r="J259" s="116" t="s">
        <v>2145</v>
      </c>
      <c r="K259" s="116" t="s">
        <v>2945</v>
      </c>
      <c r="L259" s="116" t="s">
        <v>2946</v>
      </c>
      <c r="M259" s="116" t="s">
        <v>2331</v>
      </c>
      <c r="N259" s="116" t="s">
        <v>3514</v>
      </c>
      <c r="O259" s="119"/>
      <c r="P259" s="116">
        <v>4591470</v>
      </c>
      <c r="Q259" s="116" t="s">
        <v>2891</v>
      </c>
      <c r="R259" s="116" t="s">
        <v>2344</v>
      </c>
      <c r="S259" s="116" t="s">
        <v>3515</v>
      </c>
      <c r="T259" s="116">
        <v>613100.08</v>
      </c>
      <c r="U259" s="116">
        <v>585000</v>
      </c>
      <c r="V259" s="116" t="s">
        <v>2949</v>
      </c>
      <c r="W259" s="116">
        <v>261513000000000</v>
      </c>
      <c r="X259" s="114">
        <v>46100</v>
      </c>
      <c r="Y259" s="116">
        <v>2028375</v>
      </c>
      <c r="Z259" s="116" t="s">
        <v>3513</v>
      </c>
      <c r="AA259" s="116">
        <v>-0.02</v>
      </c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22"/>
      <c r="AN259" s="116" t="s">
        <v>3516</v>
      </c>
      <c r="AO259" s="116" t="s">
        <v>2384</v>
      </c>
      <c r="AP259" s="116" t="s">
        <v>2686</v>
      </c>
    </row>
    <row r="260" spans="1:42">
      <c r="A260" s="113" t="s">
        <v>3517</v>
      </c>
      <c r="B260" s="114">
        <v>46100</v>
      </c>
      <c r="C260" s="115">
        <v>0.575868055555556</v>
      </c>
      <c r="D260" s="114">
        <v>46100</v>
      </c>
      <c r="E260" s="115">
        <v>0.580266203703704</v>
      </c>
      <c r="F260" s="116" t="s">
        <v>521</v>
      </c>
      <c r="G260" s="114">
        <v>46083</v>
      </c>
      <c r="H260" s="116">
        <v>2567402982</v>
      </c>
      <c r="I260" s="116" t="s">
        <v>3518</v>
      </c>
      <c r="J260" s="116" t="s">
        <v>2222</v>
      </c>
      <c r="K260" s="116" t="s">
        <v>2357</v>
      </c>
      <c r="L260" s="116" t="s">
        <v>2358</v>
      </c>
      <c r="M260" s="116" t="s">
        <v>2331</v>
      </c>
      <c r="N260" s="116" t="s">
        <v>3519</v>
      </c>
      <c r="O260" s="119"/>
      <c r="P260" s="116">
        <v>4896932</v>
      </c>
      <c r="Q260" s="116" t="s">
        <v>2759</v>
      </c>
      <c r="R260" s="116" t="s">
        <v>2435</v>
      </c>
      <c r="S260" s="116" t="s">
        <v>2778</v>
      </c>
      <c r="T260" s="116">
        <v>580999.88</v>
      </c>
      <c r="U260" s="116">
        <v>519000</v>
      </c>
      <c r="V260" s="116" t="s">
        <v>2364</v>
      </c>
      <c r="W260" s="116">
        <v>261534000000000</v>
      </c>
      <c r="X260" s="114">
        <v>46100</v>
      </c>
      <c r="Y260" s="116">
        <v>2040019</v>
      </c>
      <c r="Z260" s="116" t="s">
        <v>3518</v>
      </c>
      <c r="AA260" s="116">
        <v>0.01</v>
      </c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22"/>
      <c r="AN260" s="116" t="s">
        <v>2767</v>
      </c>
      <c r="AO260" s="116" t="s">
        <v>2768</v>
      </c>
      <c r="AP260" s="116" t="s">
        <v>2769</v>
      </c>
    </row>
    <row r="261" spans="1:42">
      <c r="A261" s="113" t="s">
        <v>3520</v>
      </c>
      <c r="B261" s="114">
        <v>46100</v>
      </c>
      <c r="C261" s="115">
        <v>0.581631944444444</v>
      </c>
      <c r="D261" s="114">
        <v>46100</v>
      </c>
      <c r="E261" s="115">
        <v>0.583506944444444</v>
      </c>
      <c r="F261" s="116" t="s">
        <v>3521</v>
      </c>
      <c r="G261" s="114">
        <v>46051</v>
      </c>
      <c r="H261" s="116">
        <v>2566848774</v>
      </c>
      <c r="I261" s="116" t="s">
        <v>3522</v>
      </c>
      <c r="J261" s="116" t="s">
        <v>2222</v>
      </c>
      <c r="K261" s="116" t="s">
        <v>2357</v>
      </c>
      <c r="L261" s="116" t="s">
        <v>2358</v>
      </c>
      <c r="M261" s="116" t="s">
        <v>2331</v>
      </c>
      <c r="N261" s="116" t="s">
        <v>3523</v>
      </c>
      <c r="O261" s="119"/>
      <c r="P261" s="116">
        <v>4896216</v>
      </c>
      <c r="Q261" s="116" t="s">
        <v>2783</v>
      </c>
      <c r="R261" s="116" t="s">
        <v>2435</v>
      </c>
      <c r="S261" s="116" t="s">
        <v>2724</v>
      </c>
      <c r="T261" s="116">
        <v>659899.81</v>
      </c>
      <c r="U261" s="119"/>
      <c r="V261" s="116" t="s">
        <v>2364</v>
      </c>
      <c r="W261" s="116">
        <v>261534000000000</v>
      </c>
      <c r="X261" s="114">
        <v>46100</v>
      </c>
      <c r="Y261" s="116">
        <v>2026890</v>
      </c>
      <c r="Z261" s="116" t="s">
        <v>3522</v>
      </c>
      <c r="AA261" s="116">
        <v>0.02</v>
      </c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22"/>
      <c r="AN261" s="116" t="s">
        <v>3509</v>
      </c>
      <c r="AO261" s="116" t="s">
        <v>2726</v>
      </c>
      <c r="AP261" s="116" t="s">
        <v>2367</v>
      </c>
    </row>
    <row r="262" spans="1:42">
      <c r="A262" s="113" t="s">
        <v>3524</v>
      </c>
      <c r="B262" s="114">
        <v>46100</v>
      </c>
      <c r="C262" s="115">
        <v>0.594502314814815</v>
      </c>
      <c r="D262" s="114">
        <v>46100</v>
      </c>
      <c r="E262" s="115">
        <v>0.597488425925926</v>
      </c>
      <c r="F262" s="116" t="s">
        <v>3525</v>
      </c>
      <c r="G262" s="114">
        <v>46071</v>
      </c>
      <c r="H262" s="116">
        <v>2567204521</v>
      </c>
      <c r="I262" s="116" t="s">
        <v>3526</v>
      </c>
      <c r="J262" s="116" t="s">
        <v>2222</v>
      </c>
      <c r="K262" s="116" t="s">
        <v>2357</v>
      </c>
      <c r="L262" s="116" t="s">
        <v>2358</v>
      </c>
      <c r="M262" s="116" t="s">
        <v>2331</v>
      </c>
      <c r="N262" s="116" t="s">
        <v>3527</v>
      </c>
      <c r="O262" s="119"/>
      <c r="P262" s="116">
        <v>4895556</v>
      </c>
      <c r="Q262" s="116" t="s">
        <v>2405</v>
      </c>
      <c r="R262" s="116" t="s">
        <v>2376</v>
      </c>
      <c r="S262" s="116" t="s">
        <v>2753</v>
      </c>
      <c r="T262" s="116">
        <v>747799.62</v>
      </c>
      <c r="U262" s="119"/>
      <c r="V262" s="116" t="s">
        <v>2364</v>
      </c>
      <c r="W262" s="116">
        <v>261534000000000</v>
      </c>
      <c r="X262" s="114">
        <v>46100</v>
      </c>
      <c r="Y262" s="116">
        <v>2035805</v>
      </c>
      <c r="Z262" s="116" t="s">
        <v>3526</v>
      </c>
      <c r="AA262" s="116">
        <v>-0.03</v>
      </c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22"/>
      <c r="AN262" s="116" t="s">
        <v>2832</v>
      </c>
      <c r="AO262" s="116" t="s">
        <v>2833</v>
      </c>
      <c r="AP262" s="116" t="s">
        <v>2367</v>
      </c>
    </row>
    <row r="263" spans="1:42">
      <c r="A263" s="113" t="s">
        <v>3528</v>
      </c>
      <c r="B263" s="114">
        <v>46100</v>
      </c>
      <c r="C263" s="115">
        <v>0.594837962962963</v>
      </c>
      <c r="D263" s="114">
        <v>46100</v>
      </c>
      <c r="E263" s="115">
        <v>0.597488425925926</v>
      </c>
      <c r="F263" s="116" t="s">
        <v>3495</v>
      </c>
      <c r="G263" s="114">
        <v>46079</v>
      </c>
      <c r="H263" s="116">
        <v>2567331453</v>
      </c>
      <c r="I263" s="116" t="s">
        <v>3496</v>
      </c>
      <c r="J263" s="116" t="s">
        <v>3227</v>
      </c>
      <c r="K263" s="116" t="s">
        <v>3228</v>
      </c>
      <c r="L263" s="116" t="s">
        <v>3229</v>
      </c>
      <c r="M263" s="116" t="s">
        <v>2331</v>
      </c>
      <c r="N263" s="116" t="s">
        <v>3497</v>
      </c>
      <c r="O263" s="119"/>
      <c r="P263" s="116">
        <v>4593619</v>
      </c>
      <c r="Q263" s="116" t="s">
        <v>3231</v>
      </c>
      <c r="R263" s="116" t="s">
        <v>2344</v>
      </c>
      <c r="S263" s="116" t="s">
        <v>3232</v>
      </c>
      <c r="T263" s="116">
        <v>571900.45</v>
      </c>
      <c r="U263" s="119"/>
      <c r="V263" s="116" t="s">
        <v>3233</v>
      </c>
      <c r="W263" s="116">
        <v>261530000000000</v>
      </c>
      <c r="X263" s="114">
        <v>46100</v>
      </c>
      <c r="Y263" s="116">
        <v>2038750</v>
      </c>
      <c r="Z263" s="116" t="s">
        <v>3496</v>
      </c>
      <c r="AA263" s="116">
        <v>-0.01</v>
      </c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22"/>
      <c r="AN263" s="116" t="s">
        <v>3326</v>
      </c>
      <c r="AO263" s="116" t="s">
        <v>3296</v>
      </c>
      <c r="AP263" s="116" t="s">
        <v>2880</v>
      </c>
    </row>
    <row r="264" spans="1:42">
      <c r="A264" s="113" t="s">
        <v>3529</v>
      </c>
      <c r="B264" s="114">
        <v>46100</v>
      </c>
      <c r="C264" s="115">
        <v>0.606736111111111</v>
      </c>
      <c r="D264" s="114">
        <v>46100</v>
      </c>
      <c r="E264" s="115">
        <v>0.611168981481481</v>
      </c>
      <c r="F264" s="116" t="s">
        <v>1051</v>
      </c>
      <c r="G264" s="114">
        <v>46093</v>
      </c>
      <c r="H264" s="116">
        <v>2567565319</v>
      </c>
      <c r="I264" s="116" t="s">
        <v>1056</v>
      </c>
      <c r="J264" s="116" t="s">
        <v>2141</v>
      </c>
      <c r="K264" s="116" t="s">
        <v>2329</v>
      </c>
      <c r="L264" s="116" t="s">
        <v>2330</v>
      </c>
      <c r="M264" s="116" t="s">
        <v>2331</v>
      </c>
      <c r="N264" s="116" t="s">
        <v>3530</v>
      </c>
      <c r="O264" s="119"/>
      <c r="P264" s="116" t="s">
        <v>1054</v>
      </c>
      <c r="Q264" s="116" t="s">
        <v>2548</v>
      </c>
      <c r="R264" s="116" t="s">
        <v>2344</v>
      </c>
      <c r="S264" s="116" t="s">
        <v>2627</v>
      </c>
      <c r="T264" s="116">
        <v>476900.38</v>
      </c>
      <c r="U264" s="119"/>
      <c r="V264" s="116" t="s">
        <v>2337</v>
      </c>
      <c r="W264" s="116">
        <v>261501000000000</v>
      </c>
      <c r="X264" s="114">
        <v>46100</v>
      </c>
      <c r="Y264" s="116">
        <v>1676689</v>
      </c>
      <c r="Z264" s="116" t="s">
        <v>1056</v>
      </c>
      <c r="AA264" s="116">
        <v>-0.06</v>
      </c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22"/>
      <c r="AN264" s="116" t="s">
        <v>2628</v>
      </c>
      <c r="AO264" s="116" t="s">
        <v>2428</v>
      </c>
      <c r="AP264" s="116" t="s">
        <v>2429</v>
      </c>
    </row>
    <row r="265" spans="1:42">
      <c r="A265" s="113" t="s">
        <v>3531</v>
      </c>
      <c r="B265" s="114">
        <v>46100</v>
      </c>
      <c r="C265" s="115">
        <v>0.611006944444444</v>
      </c>
      <c r="D265" s="114">
        <v>46100</v>
      </c>
      <c r="E265" s="115">
        <v>0.611168981481481</v>
      </c>
      <c r="F265" s="116" t="s">
        <v>3532</v>
      </c>
      <c r="G265" s="114">
        <v>46094</v>
      </c>
      <c r="H265" s="116">
        <v>2567563866</v>
      </c>
      <c r="I265" s="116" t="s">
        <v>3533</v>
      </c>
      <c r="J265" s="116" t="s">
        <v>2203</v>
      </c>
      <c r="K265" s="116" t="s">
        <v>2526</v>
      </c>
      <c r="L265" s="116" t="s">
        <v>2527</v>
      </c>
      <c r="M265" s="116" t="s">
        <v>2331</v>
      </c>
      <c r="N265" s="116" t="s">
        <v>3534</v>
      </c>
      <c r="O265" s="119"/>
      <c r="P265" s="116">
        <v>4869735</v>
      </c>
      <c r="Q265" s="116" t="s">
        <v>2702</v>
      </c>
      <c r="R265" s="116" t="s">
        <v>2723</v>
      </c>
      <c r="S265" s="116" t="s">
        <v>3535</v>
      </c>
      <c r="T265" s="116">
        <v>687800.02</v>
      </c>
      <c r="U265" s="116">
        <v>500000</v>
      </c>
      <c r="V265" s="116" t="s">
        <v>2532</v>
      </c>
      <c r="W265" s="116">
        <v>261536000000000</v>
      </c>
      <c r="X265" s="114">
        <v>46100</v>
      </c>
      <c r="Y265" s="116">
        <v>2044230</v>
      </c>
      <c r="Z265" s="116" t="s">
        <v>3533</v>
      </c>
      <c r="AA265" s="116">
        <v>0.03</v>
      </c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22"/>
      <c r="AN265" s="116" t="s">
        <v>3536</v>
      </c>
      <c r="AO265" s="116" t="s">
        <v>3296</v>
      </c>
      <c r="AP265" s="116" t="s">
        <v>2413</v>
      </c>
    </row>
    <row r="266" spans="1:42">
      <c r="A266" s="113" t="s">
        <v>3537</v>
      </c>
      <c r="B266" s="114">
        <v>46100</v>
      </c>
      <c r="C266" s="115">
        <v>0.621296296296296</v>
      </c>
      <c r="D266" s="114">
        <v>46100</v>
      </c>
      <c r="E266" s="115">
        <v>0.621898148148148</v>
      </c>
      <c r="F266" s="116" t="s">
        <v>3538</v>
      </c>
      <c r="G266" s="114">
        <v>46059</v>
      </c>
      <c r="H266" s="116">
        <v>2567003136</v>
      </c>
      <c r="I266" s="116" t="s">
        <v>3539</v>
      </c>
      <c r="J266" s="116" t="s">
        <v>2222</v>
      </c>
      <c r="K266" s="116" t="s">
        <v>2357</v>
      </c>
      <c r="L266" s="116" t="s">
        <v>2358</v>
      </c>
      <c r="M266" s="116" t="s">
        <v>2331</v>
      </c>
      <c r="N266" s="116" t="s">
        <v>3540</v>
      </c>
      <c r="O266" s="119"/>
      <c r="P266" s="116">
        <v>4895838</v>
      </c>
      <c r="Q266" s="116" t="s">
        <v>2529</v>
      </c>
      <c r="R266" s="116" t="s">
        <v>2376</v>
      </c>
      <c r="S266" s="116" t="s">
        <v>2634</v>
      </c>
      <c r="T266" s="116">
        <v>779899.74</v>
      </c>
      <c r="U266" s="119"/>
      <c r="V266" s="116" t="s">
        <v>2364</v>
      </c>
      <c r="W266" s="116">
        <v>261534000000000</v>
      </c>
      <c r="X266" s="114">
        <v>46100</v>
      </c>
      <c r="Y266" s="116">
        <v>2031488</v>
      </c>
      <c r="Z266" s="116" t="s">
        <v>3539</v>
      </c>
      <c r="AA266" s="116">
        <v>0.04</v>
      </c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22"/>
      <c r="AN266" s="116" t="s">
        <v>3200</v>
      </c>
      <c r="AO266" s="116" t="s">
        <v>2346</v>
      </c>
      <c r="AP266" s="116" t="s">
        <v>2462</v>
      </c>
    </row>
    <row r="267" spans="1:42">
      <c r="A267" s="113" t="s">
        <v>3541</v>
      </c>
      <c r="B267" s="114">
        <v>46100</v>
      </c>
      <c r="C267" s="115">
        <v>0.632268518518519</v>
      </c>
      <c r="D267" s="114">
        <v>46100</v>
      </c>
      <c r="E267" s="115">
        <v>0.632372685185185</v>
      </c>
      <c r="F267" s="116" t="s">
        <v>3542</v>
      </c>
      <c r="G267" s="114">
        <v>46085</v>
      </c>
      <c r="H267" s="116">
        <v>2567429113</v>
      </c>
      <c r="I267" s="116" t="s">
        <v>3543</v>
      </c>
      <c r="J267" s="116" t="s">
        <v>2199</v>
      </c>
      <c r="K267" s="116" t="s">
        <v>2371</v>
      </c>
      <c r="L267" s="116" t="s">
        <v>2372</v>
      </c>
      <c r="M267" s="116" t="s">
        <v>2331</v>
      </c>
      <c r="N267" s="116" t="s">
        <v>3544</v>
      </c>
      <c r="O267" s="119"/>
      <c r="P267" s="116">
        <v>4532594</v>
      </c>
      <c r="Q267" s="116" t="s">
        <v>2425</v>
      </c>
      <c r="R267" s="116" t="s">
        <v>2376</v>
      </c>
      <c r="S267" s="116" t="s">
        <v>2449</v>
      </c>
      <c r="T267" s="116">
        <v>1334412.2</v>
      </c>
      <c r="U267" s="116">
        <v>500000</v>
      </c>
      <c r="V267" s="116" t="s">
        <v>2378</v>
      </c>
      <c r="W267" s="116">
        <v>261502000000000</v>
      </c>
      <c r="X267" s="114">
        <v>46100</v>
      </c>
      <c r="Y267" s="116">
        <v>2040746</v>
      </c>
      <c r="Z267" s="116" t="s">
        <v>3543</v>
      </c>
      <c r="AA267" s="116">
        <v>-0.01</v>
      </c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22"/>
      <c r="AN267" s="116" t="s">
        <v>2450</v>
      </c>
      <c r="AO267" s="116" t="s">
        <v>2443</v>
      </c>
      <c r="AP267" s="116" t="s">
        <v>2340</v>
      </c>
    </row>
    <row r="268" spans="1:42">
      <c r="A268" s="113" t="s">
        <v>3545</v>
      </c>
      <c r="B268" s="114">
        <v>46100</v>
      </c>
      <c r="C268" s="115">
        <v>0.636631944444444</v>
      </c>
      <c r="D268" s="114">
        <v>46100</v>
      </c>
      <c r="E268" s="115">
        <v>0.639236111111111</v>
      </c>
      <c r="F268" s="116" t="s">
        <v>3546</v>
      </c>
      <c r="G268" s="114">
        <v>46086</v>
      </c>
      <c r="H268" s="116">
        <v>2567448931</v>
      </c>
      <c r="I268" s="116" t="s">
        <v>3547</v>
      </c>
      <c r="J268" s="116" t="s">
        <v>2199</v>
      </c>
      <c r="K268" s="116" t="s">
        <v>2371</v>
      </c>
      <c r="L268" s="116" t="s">
        <v>2372</v>
      </c>
      <c r="M268" s="116" t="s">
        <v>2331</v>
      </c>
      <c r="N268" s="116" t="s">
        <v>3548</v>
      </c>
      <c r="O268" s="119"/>
      <c r="P268" s="116">
        <v>4887569</v>
      </c>
      <c r="Q268" s="116" t="s">
        <v>2584</v>
      </c>
      <c r="R268" s="116" t="s">
        <v>2585</v>
      </c>
      <c r="S268" s="116" t="s">
        <v>2449</v>
      </c>
      <c r="T268" s="116">
        <v>880999.49</v>
      </c>
      <c r="U268" s="119"/>
      <c r="V268" s="116" t="s">
        <v>2378</v>
      </c>
      <c r="W268" s="116">
        <v>261502000000000</v>
      </c>
      <c r="X268" s="114">
        <v>46100</v>
      </c>
      <c r="Y268" s="116">
        <v>2046509</v>
      </c>
      <c r="Z268" s="116" t="s">
        <v>3547</v>
      </c>
      <c r="AA268" s="116">
        <v>0.02</v>
      </c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22"/>
      <c r="AN268" s="116" t="s">
        <v>2450</v>
      </c>
      <c r="AO268" s="116" t="s">
        <v>2443</v>
      </c>
      <c r="AP268" s="116" t="s">
        <v>2340</v>
      </c>
    </row>
    <row r="269" spans="1:42">
      <c r="A269" s="113" t="s">
        <v>978</v>
      </c>
      <c r="B269" s="114">
        <v>46100</v>
      </c>
      <c r="C269" s="115">
        <v>0.641215277777778</v>
      </c>
      <c r="D269" s="114">
        <v>46100</v>
      </c>
      <c r="E269" s="115">
        <v>0.64318287037037</v>
      </c>
      <c r="F269" s="116" t="s">
        <v>976</v>
      </c>
      <c r="G269" s="114">
        <v>46084</v>
      </c>
      <c r="H269" s="116">
        <v>2567417374</v>
      </c>
      <c r="I269" s="116" t="s">
        <v>979</v>
      </c>
      <c r="J269" s="116" t="s">
        <v>2168</v>
      </c>
      <c r="K269" s="116" t="s">
        <v>2760</v>
      </c>
      <c r="L269" s="116" t="s">
        <v>2761</v>
      </c>
      <c r="M269" s="116" t="s">
        <v>2331</v>
      </c>
      <c r="N269" s="116" t="s">
        <v>3549</v>
      </c>
      <c r="O269" s="119"/>
      <c r="P269" s="116">
        <v>1427335</v>
      </c>
      <c r="Q269" s="116" t="s">
        <v>2537</v>
      </c>
      <c r="R269" s="116" t="s">
        <v>2376</v>
      </c>
      <c r="S269" s="116" t="s">
        <v>3096</v>
      </c>
      <c r="T269" s="116">
        <v>431899.64</v>
      </c>
      <c r="U269" s="116">
        <v>301700</v>
      </c>
      <c r="V269" s="116" t="s">
        <v>2766</v>
      </c>
      <c r="W269" s="116">
        <v>261518000000000</v>
      </c>
      <c r="X269" s="114">
        <v>46100</v>
      </c>
      <c r="Y269" s="116">
        <v>2040489</v>
      </c>
      <c r="Z269" s="116" t="s">
        <v>979</v>
      </c>
      <c r="AA269" s="116">
        <v>-0.03</v>
      </c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22"/>
      <c r="AN269" s="116" t="s">
        <v>3097</v>
      </c>
      <c r="AO269" s="116" t="s">
        <v>2768</v>
      </c>
      <c r="AP269" s="116" t="s">
        <v>2769</v>
      </c>
    </row>
    <row r="270" spans="1:42">
      <c r="A270" s="113" t="s">
        <v>3550</v>
      </c>
      <c r="B270" s="114">
        <v>46100</v>
      </c>
      <c r="C270" s="115">
        <v>0.642013888888889</v>
      </c>
      <c r="D270" s="114">
        <v>46100</v>
      </c>
      <c r="E270" s="115">
        <v>0.64318287037037</v>
      </c>
      <c r="F270" s="116" t="s">
        <v>1198</v>
      </c>
      <c r="G270" s="114">
        <v>46042</v>
      </c>
      <c r="H270" s="116">
        <v>2566688577</v>
      </c>
      <c r="I270" s="116" t="s">
        <v>3551</v>
      </c>
      <c r="J270" s="116" t="s">
        <v>2199</v>
      </c>
      <c r="K270" s="116" t="s">
        <v>2371</v>
      </c>
      <c r="L270" s="116" t="s">
        <v>2372</v>
      </c>
      <c r="M270" s="116" t="s">
        <v>2331</v>
      </c>
      <c r="N270" s="116" t="s">
        <v>3552</v>
      </c>
      <c r="O270" s="119"/>
      <c r="P270" s="116">
        <v>4889875</v>
      </c>
      <c r="Q270" s="116" t="s">
        <v>2702</v>
      </c>
      <c r="R270" s="116" t="s">
        <v>2435</v>
      </c>
      <c r="S270" s="116" t="s">
        <v>3092</v>
      </c>
      <c r="T270" s="116">
        <v>683500.03</v>
      </c>
      <c r="U270" s="116">
        <v>500000</v>
      </c>
      <c r="V270" s="116" t="s">
        <v>2378</v>
      </c>
      <c r="W270" s="116">
        <v>261502000000000</v>
      </c>
      <c r="X270" s="114">
        <v>46100</v>
      </c>
      <c r="Y270" s="116">
        <v>2022664</v>
      </c>
      <c r="Z270" s="116" t="s">
        <v>3551</v>
      </c>
      <c r="AA270" s="116">
        <v>0</v>
      </c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22"/>
      <c r="AN270" s="116" t="s">
        <v>3093</v>
      </c>
      <c r="AO270" s="116" t="s">
        <v>2443</v>
      </c>
      <c r="AP270" s="116" t="s">
        <v>2340</v>
      </c>
    </row>
    <row r="271" spans="1:42">
      <c r="A271" s="113" t="s">
        <v>3553</v>
      </c>
      <c r="B271" s="114">
        <v>46100</v>
      </c>
      <c r="C271" s="115">
        <v>0.645011574074074</v>
      </c>
      <c r="D271" s="114">
        <v>46100</v>
      </c>
      <c r="E271" s="115">
        <v>0.646145833333333</v>
      </c>
      <c r="F271" s="116" t="s">
        <v>3554</v>
      </c>
      <c r="G271" s="114">
        <v>46010</v>
      </c>
      <c r="H271" s="116">
        <v>2566091910</v>
      </c>
      <c r="I271" s="116" t="s">
        <v>3555</v>
      </c>
      <c r="J271" s="116" t="s">
        <v>2199</v>
      </c>
      <c r="K271" s="116" t="s">
        <v>2371</v>
      </c>
      <c r="L271" s="116" t="s">
        <v>2372</v>
      </c>
      <c r="M271" s="116" t="s">
        <v>2331</v>
      </c>
      <c r="N271" s="116" t="s">
        <v>3556</v>
      </c>
      <c r="O271" s="119"/>
      <c r="P271" s="116">
        <v>7801634</v>
      </c>
      <c r="Q271" s="116" t="s">
        <v>2954</v>
      </c>
      <c r="R271" s="116" t="s">
        <v>2435</v>
      </c>
      <c r="S271" s="116" t="s">
        <v>2426</v>
      </c>
      <c r="T271" s="116">
        <v>832499.65</v>
      </c>
      <c r="U271" s="116">
        <v>500000</v>
      </c>
      <c r="V271" s="116" t="s">
        <v>2378</v>
      </c>
      <c r="W271" s="116">
        <v>261502000000000</v>
      </c>
      <c r="X271" s="114">
        <v>46100</v>
      </c>
      <c r="Y271" s="116">
        <v>2008950</v>
      </c>
      <c r="Z271" s="116" t="s">
        <v>3555</v>
      </c>
      <c r="AA271" s="116">
        <v>-0.01</v>
      </c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22"/>
      <c r="AN271" s="116" t="s">
        <v>3075</v>
      </c>
      <c r="AO271" s="116" t="s">
        <v>2380</v>
      </c>
      <c r="AP271" s="116" t="s">
        <v>2340</v>
      </c>
    </row>
    <row r="272" spans="1:42">
      <c r="A272" s="113" t="s">
        <v>3557</v>
      </c>
      <c r="B272" s="114">
        <v>46100</v>
      </c>
      <c r="C272" s="115">
        <v>0.649571759259259</v>
      </c>
      <c r="D272" s="114">
        <v>46100</v>
      </c>
      <c r="E272" s="115">
        <v>0.65318287037037</v>
      </c>
      <c r="F272" s="116" t="s">
        <v>3558</v>
      </c>
      <c r="G272" s="114">
        <v>46042</v>
      </c>
      <c r="H272" s="116">
        <v>2566686128</v>
      </c>
      <c r="I272" s="116" t="s">
        <v>3559</v>
      </c>
      <c r="J272" s="116" t="s">
        <v>2199</v>
      </c>
      <c r="K272" s="116" t="s">
        <v>2371</v>
      </c>
      <c r="L272" s="116" t="s">
        <v>2372</v>
      </c>
      <c r="M272" s="116" t="s">
        <v>2331</v>
      </c>
      <c r="N272" s="116" t="s">
        <v>3560</v>
      </c>
      <c r="O272" s="119"/>
      <c r="P272" s="116">
        <v>7801282</v>
      </c>
      <c r="Q272" s="116" t="s">
        <v>2477</v>
      </c>
      <c r="R272" s="116" t="s">
        <v>2435</v>
      </c>
      <c r="S272" s="116" t="s">
        <v>2740</v>
      </c>
      <c r="T272" s="116">
        <v>786499.5</v>
      </c>
      <c r="U272" s="119"/>
      <c r="V272" s="116" t="s">
        <v>2378</v>
      </c>
      <c r="W272" s="116">
        <v>261502000000000</v>
      </c>
      <c r="X272" s="114">
        <v>46100</v>
      </c>
      <c r="Y272" s="116">
        <v>2021747</v>
      </c>
      <c r="Z272" s="116" t="s">
        <v>3559</v>
      </c>
      <c r="AA272" s="116">
        <v>-0.01</v>
      </c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22"/>
      <c r="AN272" s="116" t="s">
        <v>2427</v>
      </c>
      <c r="AO272" s="116" t="s">
        <v>2428</v>
      </c>
      <c r="AP272" s="116" t="s">
        <v>2429</v>
      </c>
    </row>
    <row r="273" spans="1:42">
      <c r="A273" s="113" t="s">
        <v>3561</v>
      </c>
      <c r="B273" s="114">
        <v>46100</v>
      </c>
      <c r="C273" s="115">
        <v>0.656006944444444</v>
      </c>
      <c r="D273" s="114">
        <v>46100</v>
      </c>
      <c r="E273" s="115">
        <v>0.65662037037037</v>
      </c>
      <c r="F273" s="116" t="s">
        <v>3562</v>
      </c>
      <c r="G273" s="114">
        <v>46100</v>
      </c>
      <c r="H273" s="116">
        <v>2567673876</v>
      </c>
      <c r="I273" s="116" t="s">
        <v>3563</v>
      </c>
      <c r="J273" s="116" t="s">
        <v>2199</v>
      </c>
      <c r="K273" s="116" t="s">
        <v>2371</v>
      </c>
      <c r="L273" s="116" t="s">
        <v>2372</v>
      </c>
      <c r="M273" s="116" t="s">
        <v>2331</v>
      </c>
      <c r="N273" s="116" t="s">
        <v>3564</v>
      </c>
      <c r="O273" s="119"/>
      <c r="P273" s="116">
        <v>4893217</v>
      </c>
      <c r="Q273" s="116" t="s">
        <v>2584</v>
      </c>
      <c r="R273" s="116" t="s">
        <v>2435</v>
      </c>
      <c r="S273" s="116" t="s">
        <v>2886</v>
      </c>
      <c r="T273" s="116">
        <v>867784.46</v>
      </c>
      <c r="U273" s="119"/>
      <c r="V273" s="116" t="s">
        <v>2378</v>
      </c>
      <c r="W273" s="116">
        <v>261502000000000</v>
      </c>
      <c r="X273" s="114">
        <v>46100</v>
      </c>
      <c r="Y273" s="116">
        <v>2046457</v>
      </c>
      <c r="Z273" s="116" t="s">
        <v>3563</v>
      </c>
      <c r="AA273" s="116">
        <v>0</v>
      </c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22"/>
      <c r="AN273" s="116" t="s">
        <v>3357</v>
      </c>
      <c r="AO273" s="116" t="s">
        <v>2888</v>
      </c>
      <c r="AP273" s="116" t="s">
        <v>2340</v>
      </c>
    </row>
    <row r="274" spans="1:42">
      <c r="A274" s="113" t="s">
        <v>3565</v>
      </c>
      <c r="B274" s="114">
        <v>46100</v>
      </c>
      <c r="C274" s="115">
        <v>0.659895833333333</v>
      </c>
      <c r="D274" s="114">
        <v>46100</v>
      </c>
      <c r="E274" s="115">
        <v>0.660104166666667</v>
      </c>
      <c r="F274" s="116" t="s">
        <v>1324</v>
      </c>
      <c r="G274" s="114">
        <v>46049</v>
      </c>
      <c r="H274" s="116">
        <v>2566800545</v>
      </c>
      <c r="I274" s="116" t="s">
        <v>3566</v>
      </c>
      <c r="J274" s="116" t="s">
        <v>2199</v>
      </c>
      <c r="K274" s="116" t="s">
        <v>2371</v>
      </c>
      <c r="L274" s="116" t="s">
        <v>2372</v>
      </c>
      <c r="M274" s="116" t="s">
        <v>2331</v>
      </c>
      <c r="N274" s="116" t="s">
        <v>3567</v>
      </c>
      <c r="O274" s="119"/>
      <c r="P274" s="116">
        <v>4894408</v>
      </c>
      <c r="Q274" s="116" t="s">
        <v>2759</v>
      </c>
      <c r="R274" s="116" t="s">
        <v>2435</v>
      </c>
      <c r="S274" s="116" t="s">
        <v>2926</v>
      </c>
      <c r="T274" s="116">
        <v>573399.97</v>
      </c>
      <c r="U274" s="116">
        <v>500000</v>
      </c>
      <c r="V274" s="116" t="s">
        <v>2378</v>
      </c>
      <c r="W274" s="116">
        <v>261502000000000</v>
      </c>
      <c r="X274" s="114">
        <v>46100</v>
      </c>
      <c r="Y274" s="116">
        <v>2025569</v>
      </c>
      <c r="Z274" s="116" t="s">
        <v>3566</v>
      </c>
      <c r="AA274" s="116">
        <v>-0.01</v>
      </c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22"/>
      <c r="AN274" s="116" t="s">
        <v>2887</v>
      </c>
      <c r="AO274" s="116" t="s">
        <v>2888</v>
      </c>
      <c r="AP274" s="116" t="s">
        <v>2340</v>
      </c>
    </row>
    <row r="275" spans="1:42">
      <c r="A275" s="113" t="s">
        <v>3568</v>
      </c>
      <c r="B275" s="114">
        <v>46100</v>
      </c>
      <c r="C275" s="115">
        <v>0.669340277777778</v>
      </c>
      <c r="D275" s="114">
        <v>46100</v>
      </c>
      <c r="E275" s="115">
        <v>0.670543981481482</v>
      </c>
      <c r="F275" s="116" t="s">
        <v>641</v>
      </c>
      <c r="G275" s="114">
        <v>46008</v>
      </c>
      <c r="H275" s="116">
        <v>2566047164</v>
      </c>
      <c r="I275" s="116" t="s">
        <v>3569</v>
      </c>
      <c r="J275" s="116" t="s">
        <v>3055</v>
      </c>
      <c r="K275" s="116" t="s">
        <v>3056</v>
      </c>
      <c r="L275" s="116" t="s">
        <v>3057</v>
      </c>
      <c r="M275" s="116" t="s">
        <v>2331</v>
      </c>
      <c r="N275" s="116" t="s">
        <v>3570</v>
      </c>
      <c r="O275" s="119"/>
      <c r="P275" s="116">
        <v>7933503</v>
      </c>
      <c r="Q275" s="116" t="s">
        <v>3080</v>
      </c>
      <c r="R275" s="116" t="s">
        <v>3081</v>
      </c>
      <c r="S275" s="116" t="s">
        <v>3571</v>
      </c>
      <c r="T275" s="116">
        <v>1181396.97</v>
      </c>
      <c r="U275" s="116">
        <v>800000</v>
      </c>
      <c r="V275" s="116" t="s">
        <v>3061</v>
      </c>
      <c r="W275" s="116">
        <v>261538000000000</v>
      </c>
      <c r="X275" s="114">
        <v>46100</v>
      </c>
      <c r="Y275" s="116">
        <v>2008008</v>
      </c>
      <c r="Z275" s="116" t="s">
        <v>3569</v>
      </c>
      <c r="AA275" s="116">
        <v>-0.04</v>
      </c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22"/>
      <c r="AN275" s="116" t="s">
        <v>2346</v>
      </c>
      <c r="AO275" s="116" t="s">
        <v>2346</v>
      </c>
      <c r="AP275" s="116" t="s">
        <v>2557</v>
      </c>
    </row>
    <row r="276" spans="1:42">
      <c r="A276" s="113" t="s">
        <v>3572</v>
      </c>
      <c r="B276" s="114">
        <v>46100</v>
      </c>
      <c r="C276" s="115">
        <v>0.676122685185185</v>
      </c>
      <c r="D276" s="114">
        <v>46100</v>
      </c>
      <c r="E276" s="115">
        <v>0.677384259259259</v>
      </c>
      <c r="F276" s="116" t="s">
        <v>3573</v>
      </c>
      <c r="G276" s="114">
        <v>46081</v>
      </c>
      <c r="H276" s="116">
        <v>2567374458</v>
      </c>
      <c r="I276" s="116" t="s">
        <v>3574</v>
      </c>
      <c r="J276" s="116" t="s">
        <v>2222</v>
      </c>
      <c r="K276" s="116" t="s">
        <v>2357</v>
      </c>
      <c r="L276" s="116" t="s">
        <v>2358</v>
      </c>
      <c r="M276" s="116" t="s">
        <v>2331</v>
      </c>
      <c r="N276" s="116" t="s">
        <v>3575</v>
      </c>
      <c r="O276" s="119"/>
      <c r="P276" s="116">
        <v>4890095</v>
      </c>
      <c r="Q276" s="116" t="s">
        <v>2702</v>
      </c>
      <c r="R276" s="116" t="s">
        <v>2585</v>
      </c>
      <c r="S276" s="116" t="s">
        <v>2634</v>
      </c>
      <c r="T276" s="116">
        <v>701400.03</v>
      </c>
      <c r="U276" s="116">
        <v>652000</v>
      </c>
      <c r="V276" s="116" t="s">
        <v>2364</v>
      </c>
      <c r="W276" s="116">
        <v>261534000000000</v>
      </c>
      <c r="X276" s="114">
        <v>46100</v>
      </c>
      <c r="Y276" s="116">
        <v>2039269</v>
      </c>
      <c r="Z276" s="116" t="s">
        <v>3574</v>
      </c>
      <c r="AA276" s="116">
        <v>-0.01</v>
      </c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22"/>
      <c r="AN276" s="116" t="s">
        <v>3576</v>
      </c>
      <c r="AO276" s="116" t="s">
        <v>2346</v>
      </c>
      <c r="AP276" s="116" t="s">
        <v>2462</v>
      </c>
    </row>
    <row r="277" spans="1:42">
      <c r="A277" s="113" t="s">
        <v>3577</v>
      </c>
      <c r="B277" s="114">
        <v>46100</v>
      </c>
      <c r="C277" s="115">
        <v>0.684467592592593</v>
      </c>
      <c r="D277" s="114">
        <v>46100</v>
      </c>
      <c r="E277" s="115">
        <v>0.687789351851852</v>
      </c>
      <c r="F277" s="116" t="s">
        <v>3578</v>
      </c>
      <c r="G277" s="114">
        <v>46041</v>
      </c>
      <c r="H277" s="116">
        <v>2566671886</v>
      </c>
      <c r="I277" s="116" t="s">
        <v>3579</v>
      </c>
      <c r="J277" s="116" t="s">
        <v>2199</v>
      </c>
      <c r="K277" s="116" t="s">
        <v>2371</v>
      </c>
      <c r="L277" s="116" t="s">
        <v>2372</v>
      </c>
      <c r="M277" s="116" t="s">
        <v>2331</v>
      </c>
      <c r="N277" s="116" t="s">
        <v>3580</v>
      </c>
      <c r="O277" s="119"/>
      <c r="P277" s="116">
        <v>4892961</v>
      </c>
      <c r="Q277" s="116" t="s">
        <v>2759</v>
      </c>
      <c r="R277" s="116" t="s">
        <v>2585</v>
      </c>
      <c r="S277" s="116" t="s">
        <v>2600</v>
      </c>
      <c r="T277" s="116">
        <v>561799.94</v>
      </c>
      <c r="U277" s="116">
        <v>500000</v>
      </c>
      <c r="V277" s="116" t="s">
        <v>2378</v>
      </c>
      <c r="W277" s="116">
        <v>261502000000000</v>
      </c>
      <c r="X277" s="114">
        <v>46100</v>
      </c>
      <c r="Y277" s="116">
        <v>2021724</v>
      </c>
      <c r="Z277" s="116" t="s">
        <v>3579</v>
      </c>
      <c r="AA277" s="116">
        <v>0.01</v>
      </c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22"/>
      <c r="AN277" s="116" t="s">
        <v>3359</v>
      </c>
      <c r="AO277" s="116" t="s">
        <v>2542</v>
      </c>
      <c r="AP277" s="116" t="s">
        <v>2543</v>
      </c>
    </row>
    <row r="278" spans="1:42">
      <c r="A278" s="113" t="s">
        <v>3581</v>
      </c>
      <c r="B278" s="114">
        <v>46100</v>
      </c>
      <c r="C278" s="115">
        <v>0.707662037037037</v>
      </c>
      <c r="D278" s="114">
        <v>46100</v>
      </c>
      <c r="E278" s="115">
        <v>0.70875</v>
      </c>
      <c r="F278" s="116" t="s">
        <v>3582</v>
      </c>
      <c r="G278" s="114">
        <v>46098</v>
      </c>
      <c r="H278" s="116">
        <v>2567647259</v>
      </c>
      <c r="I278" s="116" t="s">
        <v>3583</v>
      </c>
      <c r="J278" s="116" t="s">
        <v>2203</v>
      </c>
      <c r="K278" s="116" t="s">
        <v>2526</v>
      </c>
      <c r="L278" s="116" t="s">
        <v>2527</v>
      </c>
      <c r="M278" s="116" t="s">
        <v>2331</v>
      </c>
      <c r="N278" s="116" t="s">
        <v>3584</v>
      </c>
      <c r="O278" s="119"/>
      <c r="P278" s="116">
        <v>4893268</v>
      </c>
      <c r="Q278" s="116" t="s">
        <v>2702</v>
      </c>
      <c r="R278" s="116" t="s">
        <v>2335</v>
      </c>
      <c r="S278" s="116" t="s">
        <v>2804</v>
      </c>
      <c r="T278" s="116">
        <v>704899.91</v>
      </c>
      <c r="U278" s="116">
        <v>500000</v>
      </c>
      <c r="V278" s="116" t="s">
        <v>2532</v>
      </c>
      <c r="W278" s="116">
        <v>261536000000000</v>
      </c>
      <c r="X278" s="114">
        <v>46100</v>
      </c>
      <c r="Y278" s="116">
        <v>2045769</v>
      </c>
      <c r="Z278" s="116" t="s">
        <v>3583</v>
      </c>
      <c r="AA278" s="116">
        <v>0</v>
      </c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22"/>
      <c r="AN278" s="116" t="s">
        <v>2805</v>
      </c>
      <c r="AO278" s="116" t="s">
        <v>2668</v>
      </c>
      <c r="AP278" s="116" t="s">
        <v>2533</v>
      </c>
    </row>
    <row r="279" spans="1:42">
      <c r="A279" s="113" t="s">
        <v>932</v>
      </c>
      <c r="B279" s="114">
        <v>46100</v>
      </c>
      <c r="C279" s="115">
        <v>0.707719907407407</v>
      </c>
      <c r="D279" s="114">
        <v>46100</v>
      </c>
      <c r="E279" s="115">
        <v>0.70875</v>
      </c>
      <c r="F279" s="116" t="s">
        <v>928</v>
      </c>
      <c r="G279" s="114">
        <v>46100</v>
      </c>
      <c r="H279" s="116">
        <v>2567692920</v>
      </c>
      <c r="I279" s="116" t="s">
        <v>933</v>
      </c>
      <c r="J279" s="116" t="s">
        <v>2141</v>
      </c>
      <c r="K279" s="116" t="s">
        <v>2329</v>
      </c>
      <c r="L279" s="116" t="s">
        <v>2330</v>
      </c>
      <c r="M279" s="116" t="s">
        <v>2331</v>
      </c>
      <c r="N279" s="116" t="s">
        <v>3585</v>
      </c>
      <c r="O279" s="119"/>
      <c r="P279" s="116" t="s">
        <v>931</v>
      </c>
      <c r="Q279" s="116" t="s">
        <v>2731</v>
      </c>
      <c r="R279" s="116" t="s">
        <v>2344</v>
      </c>
      <c r="S279" s="116" t="s">
        <v>2971</v>
      </c>
      <c r="T279" s="116">
        <v>570900.7</v>
      </c>
      <c r="U279" s="116">
        <v>449410</v>
      </c>
      <c r="V279" s="116" t="s">
        <v>2337</v>
      </c>
      <c r="W279" s="116">
        <v>261501000000000</v>
      </c>
      <c r="X279" s="114">
        <v>46100</v>
      </c>
      <c r="Y279" s="116">
        <v>2026360</v>
      </c>
      <c r="Z279" s="116" t="s">
        <v>933</v>
      </c>
      <c r="AA279" s="116">
        <v>0.02</v>
      </c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22"/>
      <c r="AN279" s="116" t="s">
        <v>3586</v>
      </c>
      <c r="AO279" s="116" t="s">
        <v>2521</v>
      </c>
      <c r="AP279" s="116" t="s">
        <v>2522</v>
      </c>
    </row>
    <row r="280" spans="1:42">
      <c r="A280" s="113" t="s">
        <v>939</v>
      </c>
      <c r="B280" s="114">
        <v>46100</v>
      </c>
      <c r="C280" s="115">
        <v>0.709965277777778</v>
      </c>
      <c r="D280" s="114">
        <v>46100</v>
      </c>
      <c r="E280" s="115">
        <v>0.712175925925926</v>
      </c>
      <c r="F280" s="116" t="s">
        <v>935</v>
      </c>
      <c r="G280" s="114">
        <v>46097</v>
      </c>
      <c r="H280" s="116">
        <v>2567637892</v>
      </c>
      <c r="I280" s="116" t="s">
        <v>940</v>
      </c>
      <c r="J280" s="116" t="s">
        <v>2141</v>
      </c>
      <c r="K280" s="116" t="s">
        <v>2329</v>
      </c>
      <c r="L280" s="116" t="s">
        <v>2330</v>
      </c>
      <c r="M280" s="116" t="s">
        <v>2331</v>
      </c>
      <c r="N280" s="116" t="s">
        <v>3587</v>
      </c>
      <c r="O280" s="119"/>
      <c r="P280" s="116" t="s">
        <v>938</v>
      </c>
      <c r="Q280" s="116" t="s">
        <v>2343</v>
      </c>
      <c r="R280" s="116" t="s">
        <v>2344</v>
      </c>
      <c r="S280" s="116" t="s">
        <v>3588</v>
      </c>
      <c r="T280" s="116">
        <v>568900.19</v>
      </c>
      <c r="U280" s="116">
        <v>512500</v>
      </c>
      <c r="V280" s="116" t="s">
        <v>2337</v>
      </c>
      <c r="W280" s="116">
        <v>261501000000000</v>
      </c>
      <c r="X280" s="114">
        <v>46100</v>
      </c>
      <c r="Y280" s="116">
        <v>2045831</v>
      </c>
      <c r="Z280" s="116" t="s">
        <v>940</v>
      </c>
      <c r="AA280" s="116">
        <v>-0.02</v>
      </c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22"/>
      <c r="AN280" s="116" t="s">
        <v>3589</v>
      </c>
      <c r="AO280" s="116" t="s">
        <v>2561</v>
      </c>
      <c r="AP280" s="116" t="s">
        <v>2562</v>
      </c>
    </row>
    <row r="281" spans="1:42">
      <c r="A281" s="113" t="s">
        <v>945</v>
      </c>
      <c r="B281" s="114">
        <v>46100</v>
      </c>
      <c r="C281" s="115">
        <v>0.710300925925926</v>
      </c>
      <c r="D281" s="114">
        <v>46100</v>
      </c>
      <c r="E281" s="115">
        <v>0.712175925925926</v>
      </c>
      <c r="F281" s="116" t="s">
        <v>941</v>
      </c>
      <c r="G281" s="114">
        <v>46100</v>
      </c>
      <c r="H281" s="116">
        <v>2567692716</v>
      </c>
      <c r="I281" s="116" t="s">
        <v>946</v>
      </c>
      <c r="J281" s="116" t="s">
        <v>2141</v>
      </c>
      <c r="K281" s="116" t="s">
        <v>2329</v>
      </c>
      <c r="L281" s="116" t="s">
        <v>2330</v>
      </c>
      <c r="M281" s="116" t="s">
        <v>2331</v>
      </c>
      <c r="N281" s="116" t="s">
        <v>3590</v>
      </c>
      <c r="O281" s="119"/>
      <c r="P281" s="116" t="s">
        <v>944</v>
      </c>
      <c r="Q281" s="116" t="s">
        <v>2548</v>
      </c>
      <c r="R281" s="116" t="s">
        <v>2458</v>
      </c>
      <c r="S281" s="116" t="s">
        <v>2353</v>
      </c>
      <c r="T281" s="116">
        <v>476900.38</v>
      </c>
      <c r="U281" s="116">
        <v>400000</v>
      </c>
      <c r="V281" s="116" t="s">
        <v>2337</v>
      </c>
      <c r="W281" s="116">
        <v>261501000000000</v>
      </c>
      <c r="X281" s="114">
        <v>46100</v>
      </c>
      <c r="Y281" s="116">
        <v>2037609</v>
      </c>
      <c r="Z281" s="116" t="s">
        <v>946</v>
      </c>
      <c r="AA281" s="116">
        <v>-0.06</v>
      </c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22"/>
      <c r="AN281" s="116" t="s">
        <v>3591</v>
      </c>
      <c r="AO281" s="116" t="s">
        <v>2773</v>
      </c>
      <c r="AP281" s="116" t="s">
        <v>2593</v>
      </c>
    </row>
    <row r="282" spans="1:42">
      <c r="A282" s="113" t="s">
        <v>3592</v>
      </c>
      <c r="B282" s="114">
        <v>46100</v>
      </c>
      <c r="C282" s="115">
        <v>0.72087962962963</v>
      </c>
      <c r="D282" s="114">
        <v>46100</v>
      </c>
      <c r="E282" s="115">
        <v>0.722638888888889</v>
      </c>
      <c r="F282" s="116" t="s">
        <v>1290</v>
      </c>
      <c r="G282" s="114">
        <v>46049</v>
      </c>
      <c r="H282" s="116">
        <v>2566801158</v>
      </c>
      <c r="I282" s="116" t="s">
        <v>3593</v>
      </c>
      <c r="J282" s="116" t="s">
        <v>2207</v>
      </c>
      <c r="K282" s="116" t="s">
        <v>2662</v>
      </c>
      <c r="L282" s="116" t="s">
        <v>2663</v>
      </c>
      <c r="M282" s="116" t="s">
        <v>2331</v>
      </c>
      <c r="N282" s="116" t="s">
        <v>3594</v>
      </c>
      <c r="O282" s="119"/>
      <c r="P282" s="116">
        <v>4893500</v>
      </c>
      <c r="Q282" s="116" t="s">
        <v>2702</v>
      </c>
      <c r="R282" s="116" t="s">
        <v>2585</v>
      </c>
      <c r="S282" s="116" t="s">
        <v>2665</v>
      </c>
      <c r="T282" s="116">
        <v>701400.03</v>
      </c>
      <c r="U282" s="116">
        <v>500000</v>
      </c>
      <c r="V282" s="116" t="s">
        <v>2666</v>
      </c>
      <c r="W282" s="116">
        <v>261537000000000</v>
      </c>
      <c r="X282" s="114">
        <v>46100</v>
      </c>
      <c r="Y282" s="116">
        <v>2024004</v>
      </c>
      <c r="Z282" s="116" t="s">
        <v>3593</v>
      </c>
      <c r="AA282" s="116">
        <v>0</v>
      </c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22"/>
      <c r="AN282" s="116" t="s">
        <v>2591</v>
      </c>
      <c r="AO282" s="116" t="s">
        <v>2592</v>
      </c>
      <c r="AP282" s="116" t="s">
        <v>2669</v>
      </c>
    </row>
    <row r="283" spans="1:42">
      <c r="A283" s="113" t="s">
        <v>3595</v>
      </c>
      <c r="B283" s="114">
        <v>46100</v>
      </c>
      <c r="C283" s="115">
        <v>0.733333333333333</v>
      </c>
      <c r="D283" s="114">
        <v>46100</v>
      </c>
      <c r="E283" s="115">
        <v>0.758634259259259</v>
      </c>
      <c r="F283" s="116" t="s">
        <v>404</v>
      </c>
      <c r="G283" s="114">
        <v>46052</v>
      </c>
      <c r="H283" s="116">
        <v>2566872615</v>
      </c>
      <c r="I283" s="116" t="s">
        <v>3596</v>
      </c>
      <c r="J283" s="116" t="s">
        <v>2199</v>
      </c>
      <c r="K283" s="116" t="s">
        <v>2371</v>
      </c>
      <c r="L283" s="116" t="s">
        <v>2372</v>
      </c>
      <c r="M283" s="116" t="s">
        <v>2331</v>
      </c>
      <c r="N283" s="116" t="s">
        <v>3597</v>
      </c>
      <c r="O283" s="119"/>
      <c r="P283" s="116">
        <v>4888231</v>
      </c>
      <c r="Q283" s="116" t="s">
        <v>2405</v>
      </c>
      <c r="R283" s="116" t="s">
        <v>2376</v>
      </c>
      <c r="S283" s="116" t="s">
        <v>2426</v>
      </c>
      <c r="T283" s="116">
        <v>749899.57</v>
      </c>
      <c r="U283" s="116">
        <v>500000</v>
      </c>
      <c r="V283" s="116" t="s">
        <v>2378</v>
      </c>
      <c r="W283" s="116">
        <v>261502000000000</v>
      </c>
      <c r="X283" s="114">
        <v>46100</v>
      </c>
      <c r="Y283" s="116">
        <v>2006688</v>
      </c>
      <c r="Z283" s="116" t="s">
        <v>3596</v>
      </c>
      <c r="AA283" s="116">
        <v>0.02</v>
      </c>
      <c r="AB283" s="119"/>
      <c r="AC283" s="119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22"/>
      <c r="AN283" s="116" t="s">
        <v>2427</v>
      </c>
      <c r="AO283" s="116" t="s">
        <v>2428</v>
      </c>
      <c r="AP283" s="116" t="s">
        <v>2429</v>
      </c>
    </row>
    <row r="284" spans="1:42">
      <c r="A284" s="113" t="s">
        <v>3598</v>
      </c>
      <c r="B284" s="114">
        <v>46100</v>
      </c>
      <c r="C284" s="115">
        <v>0.736574074074074</v>
      </c>
      <c r="D284" s="114">
        <v>46100</v>
      </c>
      <c r="E284" s="115">
        <v>0.758634259259259</v>
      </c>
      <c r="F284" s="116" t="s">
        <v>3599</v>
      </c>
      <c r="G284" s="114">
        <v>46045</v>
      </c>
      <c r="H284" s="116">
        <v>2566735849</v>
      </c>
      <c r="I284" s="119"/>
      <c r="J284" s="116" t="s">
        <v>2203</v>
      </c>
      <c r="K284" s="116" t="s">
        <v>2526</v>
      </c>
      <c r="L284" s="116" t="s">
        <v>2527</v>
      </c>
      <c r="M284" s="116" t="s">
        <v>2331</v>
      </c>
      <c r="N284" s="116" t="s">
        <v>3600</v>
      </c>
      <c r="O284" s="119"/>
      <c r="P284" s="116">
        <v>4896571</v>
      </c>
      <c r="Q284" s="116" t="s">
        <v>2759</v>
      </c>
      <c r="R284" s="116" t="s">
        <v>2435</v>
      </c>
      <c r="S284" s="116" t="s">
        <v>2531</v>
      </c>
      <c r="T284" s="116">
        <v>578899.83</v>
      </c>
      <c r="U284" s="116">
        <v>500000</v>
      </c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22"/>
      <c r="AN284" s="116" t="s">
        <v>2346</v>
      </c>
      <c r="AO284" s="116" t="s">
        <v>2346</v>
      </c>
      <c r="AP284" s="123"/>
    </row>
    <row r="285" spans="1:42">
      <c r="A285" s="113" t="s">
        <v>3601</v>
      </c>
      <c r="B285" s="114">
        <v>46100</v>
      </c>
      <c r="C285" s="115">
        <v>0.736782407407407</v>
      </c>
      <c r="D285" s="114">
        <v>46100</v>
      </c>
      <c r="E285" s="115">
        <v>0.758634259259259</v>
      </c>
      <c r="F285" s="116" t="s">
        <v>3602</v>
      </c>
      <c r="G285" s="114">
        <v>45993</v>
      </c>
      <c r="H285" s="116">
        <v>2565764974</v>
      </c>
      <c r="I285" s="116" t="s">
        <v>3603</v>
      </c>
      <c r="J285" s="116" t="s">
        <v>2199</v>
      </c>
      <c r="K285" s="116" t="s">
        <v>2371</v>
      </c>
      <c r="L285" s="116" t="s">
        <v>2372</v>
      </c>
      <c r="M285" s="116" t="s">
        <v>2331</v>
      </c>
      <c r="N285" s="116" t="s">
        <v>3604</v>
      </c>
      <c r="O285" s="119"/>
      <c r="P285" s="116">
        <v>7799787</v>
      </c>
      <c r="Q285" s="116" t="s">
        <v>2954</v>
      </c>
      <c r="R285" s="116" t="s">
        <v>2335</v>
      </c>
      <c r="S285" s="116" t="s">
        <v>3082</v>
      </c>
      <c r="T285" s="116">
        <v>844999.68</v>
      </c>
      <c r="U285" s="116">
        <v>500000</v>
      </c>
      <c r="V285" s="116" t="s">
        <v>2378</v>
      </c>
      <c r="W285" s="116">
        <v>261502000000000</v>
      </c>
      <c r="X285" s="114">
        <v>46100</v>
      </c>
      <c r="Y285" s="116">
        <v>1997062</v>
      </c>
      <c r="Z285" s="116" t="s">
        <v>3603</v>
      </c>
      <c r="AA285" s="116">
        <v>0.04</v>
      </c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22"/>
      <c r="AN285" s="116" t="s">
        <v>3156</v>
      </c>
      <c r="AO285" s="116" t="s">
        <v>2542</v>
      </c>
      <c r="AP285" s="116" t="s">
        <v>2543</v>
      </c>
    </row>
    <row r="286" spans="1:42">
      <c r="A286" s="113" t="s">
        <v>3605</v>
      </c>
      <c r="B286" s="114">
        <v>46100</v>
      </c>
      <c r="C286" s="115">
        <v>0.738148148148148</v>
      </c>
      <c r="D286" s="114">
        <v>46100</v>
      </c>
      <c r="E286" s="115">
        <v>0.758634259259259</v>
      </c>
      <c r="F286" s="116" t="s">
        <v>3606</v>
      </c>
      <c r="G286" s="114">
        <v>46084</v>
      </c>
      <c r="H286" s="116">
        <v>2567418430</v>
      </c>
      <c r="I286" s="116" t="s">
        <v>3607</v>
      </c>
      <c r="J286" s="116" t="s">
        <v>2199</v>
      </c>
      <c r="K286" s="116" t="s">
        <v>2371</v>
      </c>
      <c r="L286" s="116" t="s">
        <v>2372</v>
      </c>
      <c r="M286" s="116" t="s">
        <v>2331</v>
      </c>
      <c r="N286" s="116" t="s">
        <v>3608</v>
      </c>
      <c r="O286" s="119"/>
      <c r="P286" s="116">
        <v>7800940</v>
      </c>
      <c r="Q286" s="116" t="s">
        <v>2477</v>
      </c>
      <c r="R286" s="116" t="s">
        <v>2335</v>
      </c>
      <c r="S286" s="116" t="s">
        <v>2426</v>
      </c>
      <c r="T286" s="116">
        <v>796499.55</v>
      </c>
      <c r="U286" s="119"/>
      <c r="V286" s="116" t="s">
        <v>2378</v>
      </c>
      <c r="W286" s="116">
        <v>261502000000000</v>
      </c>
      <c r="X286" s="114">
        <v>46100</v>
      </c>
      <c r="Y286" s="116">
        <v>2040202</v>
      </c>
      <c r="Z286" s="116" t="s">
        <v>3607</v>
      </c>
      <c r="AA286" s="116">
        <v>0.04</v>
      </c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22"/>
      <c r="AN286" s="116" t="s">
        <v>2541</v>
      </c>
      <c r="AO286" s="116" t="s">
        <v>2542</v>
      </c>
      <c r="AP286" s="116" t="s">
        <v>2543</v>
      </c>
    </row>
    <row r="287" spans="1:42">
      <c r="A287" s="113" t="s">
        <v>3609</v>
      </c>
      <c r="B287" s="114">
        <v>46100</v>
      </c>
      <c r="C287" s="115">
        <v>0.740763888888889</v>
      </c>
      <c r="D287" s="114">
        <v>46100</v>
      </c>
      <c r="E287" s="115">
        <v>0.758634259259259</v>
      </c>
      <c r="F287" s="116" t="s">
        <v>3283</v>
      </c>
      <c r="G287" s="114">
        <v>46073</v>
      </c>
      <c r="H287" s="116">
        <v>2567241563</v>
      </c>
      <c r="I287" s="116" t="s">
        <v>3284</v>
      </c>
      <c r="J287" s="116" t="s">
        <v>2199</v>
      </c>
      <c r="K287" s="116" t="s">
        <v>2371</v>
      </c>
      <c r="L287" s="116" t="s">
        <v>2372</v>
      </c>
      <c r="M287" s="116" t="s">
        <v>2331</v>
      </c>
      <c r="N287" s="116" t="s">
        <v>3285</v>
      </c>
      <c r="O287" s="119"/>
      <c r="P287" s="116">
        <v>4878704</v>
      </c>
      <c r="Q287" s="116" t="s">
        <v>2702</v>
      </c>
      <c r="R287" s="116" t="s">
        <v>2530</v>
      </c>
      <c r="S287" s="116" t="s">
        <v>2856</v>
      </c>
      <c r="T287" s="116">
        <v>691799.99</v>
      </c>
      <c r="U287" s="116">
        <v>500000</v>
      </c>
      <c r="V287" s="116" t="s">
        <v>2378</v>
      </c>
      <c r="W287" s="116">
        <v>261502000000000</v>
      </c>
      <c r="X287" s="114">
        <v>46100</v>
      </c>
      <c r="Y287" s="116">
        <v>2036616</v>
      </c>
      <c r="Z287" s="116" t="s">
        <v>3284</v>
      </c>
      <c r="AA287" s="116">
        <v>-0.01</v>
      </c>
      <c r="AB287" s="119"/>
      <c r="AC287" s="119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22"/>
      <c r="AN287" s="116" t="s">
        <v>2857</v>
      </c>
      <c r="AO287" s="116" t="s">
        <v>2380</v>
      </c>
      <c r="AP287" s="116" t="s">
        <v>2340</v>
      </c>
    </row>
    <row r="288" spans="1:42">
      <c r="A288" s="113" t="s">
        <v>951</v>
      </c>
      <c r="B288" s="114">
        <v>46100</v>
      </c>
      <c r="C288" s="115">
        <v>0.742048611111111</v>
      </c>
      <c r="D288" s="114">
        <v>46100</v>
      </c>
      <c r="E288" s="115">
        <v>0.758634259259259</v>
      </c>
      <c r="F288" s="116" t="s">
        <v>947</v>
      </c>
      <c r="G288" s="114">
        <v>46090</v>
      </c>
      <c r="H288" s="116">
        <v>2567546544</v>
      </c>
      <c r="I288" s="119"/>
      <c r="J288" s="116" t="s">
        <v>2141</v>
      </c>
      <c r="K288" s="116" t="s">
        <v>2329</v>
      </c>
      <c r="L288" s="116" t="s">
        <v>2330</v>
      </c>
      <c r="M288" s="116" t="s">
        <v>2331</v>
      </c>
      <c r="N288" s="116" t="s">
        <v>2817</v>
      </c>
      <c r="O288" s="119"/>
      <c r="P288" s="116" t="s">
        <v>950</v>
      </c>
      <c r="Q288" s="116" t="s">
        <v>2343</v>
      </c>
      <c r="R288" s="116" t="s">
        <v>2344</v>
      </c>
      <c r="S288" s="116" t="s">
        <v>2519</v>
      </c>
      <c r="T288" s="116">
        <v>572900.17</v>
      </c>
      <c r="U288" s="116">
        <v>500000</v>
      </c>
      <c r="V288" s="119"/>
      <c r="W288" s="119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22"/>
      <c r="AN288" s="116" t="s">
        <v>2346</v>
      </c>
      <c r="AO288" s="116" t="s">
        <v>2346</v>
      </c>
      <c r="AP288" s="123"/>
    </row>
    <row r="289" spans="1:42">
      <c r="A289" s="113" t="s">
        <v>3610</v>
      </c>
      <c r="B289" s="114">
        <v>46100</v>
      </c>
      <c r="C289" s="115">
        <v>0.746238425925926</v>
      </c>
      <c r="D289" s="114">
        <v>46100</v>
      </c>
      <c r="E289" s="115">
        <v>0.758634259259259</v>
      </c>
      <c r="F289" s="116" t="s">
        <v>3611</v>
      </c>
      <c r="G289" s="114">
        <v>46060</v>
      </c>
      <c r="H289" s="116">
        <v>2567023254</v>
      </c>
      <c r="I289" s="119"/>
      <c r="J289" s="116" t="s">
        <v>2213</v>
      </c>
      <c r="K289" s="116" t="s">
        <v>2454</v>
      </c>
      <c r="L289" s="116" t="s">
        <v>2455</v>
      </c>
      <c r="M289" s="116" t="s">
        <v>2331</v>
      </c>
      <c r="N289" s="116" t="s">
        <v>3612</v>
      </c>
      <c r="O289" s="119"/>
      <c r="P289" s="116">
        <v>1431970</v>
      </c>
      <c r="Q289" s="116" t="s">
        <v>2343</v>
      </c>
      <c r="R289" s="116" t="s">
        <v>2344</v>
      </c>
      <c r="S289" s="116" t="s">
        <v>3315</v>
      </c>
      <c r="T289" s="116">
        <v>573898.99</v>
      </c>
      <c r="U289" s="116">
        <v>628169</v>
      </c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22"/>
      <c r="AN289" s="116" t="s">
        <v>2346</v>
      </c>
      <c r="AO289" s="116" t="s">
        <v>2346</v>
      </c>
      <c r="AP289" s="123"/>
    </row>
    <row r="290" spans="1:42">
      <c r="A290" s="113" t="s">
        <v>967</v>
      </c>
      <c r="B290" s="114">
        <v>46100</v>
      </c>
      <c r="C290" s="115">
        <v>0.759328703703704</v>
      </c>
      <c r="D290" s="114">
        <v>46100</v>
      </c>
      <c r="E290" s="115">
        <v>0.761168981481481</v>
      </c>
      <c r="F290" s="116" t="s">
        <v>964</v>
      </c>
      <c r="G290" s="114">
        <v>46092</v>
      </c>
      <c r="H290" s="116">
        <v>2567545752</v>
      </c>
      <c r="I290" s="119"/>
      <c r="J290" s="116" t="s">
        <v>2151</v>
      </c>
      <c r="K290" s="116" t="s">
        <v>2414</v>
      </c>
      <c r="L290" s="116" t="s">
        <v>2415</v>
      </c>
      <c r="M290" s="116" t="s">
        <v>2331</v>
      </c>
      <c r="N290" s="116" t="s">
        <v>3613</v>
      </c>
      <c r="O290" s="119"/>
      <c r="P290" s="116">
        <v>1428443</v>
      </c>
      <c r="Q290" s="116" t="s">
        <v>2343</v>
      </c>
      <c r="R290" s="116" t="s">
        <v>2344</v>
      </c>
      <c r="S290" s="116" t="s">
        <v>3614</v>
      </c>
      <c r="T290" s="116">
        <v>572900.17</v>
      </c>
      <c r="U290" s="116">
        <v>547351</v>
      </c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22"/>
      <c r="AN290" s="116" t="s">
        <v>2346</v>
      </c>
      <c r="AO290" s="116" t="s">
        <v>2346</v>
      </c>
      <c r="AP290" s="123"/>
    </row>
    <row r="291" spans="1:42">
      <c r="A291" s="113" t="s">
        <v>974</v>
      </c>
      <c r="B291" s="114">
        <v>46100</v>
      </c>
      <c r="C291" s="115">
        <v>0.765949074074074</v>
      </c>
      <c r="D291" s="114">
        <v>46100</v>
      </c>
      <c r="E291" s="115">
        <v>0.768194444444444</v>
      </c>
      <c r="F291" s="116" t="s">
        <v>970</v>
      </c>
      <c r="G291" s="114">
        <v>46086</v>
      </c>
      <c r="H291" s="116">
        <v>2567446156</v>
      </c>
      <c r="I291" s="119"/>
      <c r="J291" s="116" t="s">
        <v>2181</v>
      </c>
      <c r="K291" s="116" t="s">
        <v>3615</v>
      </c>
      <c r="L291" s="116" t="s">
        <v>3616</v>
      </c>
      <c r="M291" s="116" t="s">
        <v>2331</v>
      </c>
      <c r="N291" s="116" t="s">
        <v>3617</v>
      </c>
      <c r="O291" s="119"/>
      <c r="P291" s="116" t="s">
        <v>973</v>
      </c>
      <c r="Q291" s="116" t="s">
        <v>2343</v>
      </c>
      <c r="R291" s="116" t="s">
        <v>2344</v>
      </c>
      <c r="S291" s="116" t="s">
        <v>3618</v>
      </c>
      <c r="T291" s="116">
        <v>570900.18</v>
      </c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22"/>
      <c r="AN291" s="116" t="s">
        <v>2346</v>
      </c>
      <c r="AO291" s="116" t="s">
        <v>2346</v>
      </c>
      <c r="AP291" s="123"/>
    </row>
    <row r="292" spans="1:42">
      <c r="A292" s="113" t="s">
        <v>956</v>
      </c>
      <c r="B292" s="114">
        <v>46100</v>
      </c>
      <c r="C292" s="115">
        <v>0.769236111111111</v>
      </c>
      <c r="D292" s="114">
        <v>46100</v>
      </c>
      <c r="E292" s="115">
        <v>0.770659722222222</v>
      </c>
      <c r="F292" s="116" t="s">
        <v>953</v>
      </c>
      <c r="G292" s="114">
        <v>46100</v>
      </c>
      <c r="H292" s="116">
        <v>2567700889</v>
      </c>
      <c r="I292" s="119"/>
      <c r="J292" s="116" t="s">
        <v>2141</v>
      </c>
      <c r="K292" s="116" t="s">
        <v>2329</v>
      </c>
      <c r="L292" s="116" t="s">
        <v>2330</v>
      </c>
      <c r="M292" s="116" t="s">
        <v>2331</v>
      </c>
      <c r="N292" s="116" t="s">
        <v>3619</v>
      </c>
      <c r="O292" s="119"/>
      <c r="P292" s="116" t="s">
        <v>955</v>
      </c>
      <c r="Q292" s="116" t="s">
        <v>3620</v>
      </c>
      <c r="R292" s="116" t="s">
        <v>2376</v>
      </c>
      <c r="S292" s="116" t="s">
        <v>3621</v>
      </c>
      <c r="T292" s="116">
        <v>1317084.64</v>
      </c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22"/>
      <c r="AN292" s="116" t="s">
        <v>2346</v>
      </c>
      <c r="AO292" s="116" t="s">
        <v>2346</v>
      </c>
      <c r="AP292" s="123"/>
    </row>
    <row r="293" spans="1:42">
      <c r="A293" s="113" t="s">
        <v>962</v>
      </c>
      <c r="B293" s="114">
        <v>46100</v>
      </c>
      <c r="C293" s="115">
        <v>0.780300925925926</v>
      </c>
      <c r="D293" s="114">
        <v>46100</v>
      </c>
      <c r="E293" s="115">
        <v>0.781064814814815</v>
      </c>
      <c r="F293" s="116" t="s">
        <v>959</v>
      </c>
      <c r="G293" s="114">
        <v>46077</v>
      </c>
      <c r="H293" s="116">
        <v>2567286964</v>
      </c>
      <c r="I293" s="119"/>
      <c r="J293" s="116" t="s">
        <v>2141</v>
      </c>
      <c r="K293" s="116" t="s">
        <v>2329</v>
      </c>
      <c r="L293" s="116" t="s">
        <v>2330</v>
      </c>
      <c r="M293" s="116" t="s">
        <v>2331</v>
      </c>
      <c r="N293" s="116" t="s">
        <v>3622</v>
      </c>
      <c r="O293" s="119"/>
      <c r="P293" s="116">
        <v>1435121</v>
      </c>
      <c r="Q293" s="116" t="s">
        <v>2343</v>
      </c>
      <c r="R293" s="116" t="s">
        <v>2344</v>
      </c>
      <c r="S293" s="116" t="s">
        <v>2394</v>
      </c>
      <c r="T293" s="116">
        <v>569400.17</v>
      </c>
      <c r="U293" s="116">
        <v>501710</v>
      </c>
      <c r="V293" s="119"/>
      <c r="W293" s="119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22"/>
      <c r="AN293" s="116" t="s">
        <v>2346</v>
      </c>
      <c r="AO293" s="116" t="s">
        <v>2346</v>
      </c>
      <c r="AP293" s="123"/>
    </row>
    <row r="294" spans="1:42">
      <c r="A294" s="109" t="s">
        <v>3623</v>
      </c>
      <c r="B294" s="110">
        <v>46102</v>
      </c>
      <c r="C294" s="111">
        <v>0.529155092592593</v>
      </c>
      <c r="D294" s="110">
        <v>46102</v>
      </c>
      <c r="E294" s="111">
        <v>0.530543981481482</v>
      </c>
      <c r="F294" s="112" t="s">
        <v>3624</v>
      </c>
      <c r="G294" s="110">
        <v>46053</v>
      </c>
      <c r="H294" s="112">
        <v>2566880825</v>
      </c>
      <c r="I294" s="112" t="s">
        <v>3625</v>
      </c>
      <c r="J294" s="112" t="s">
        <v>2222</v>
      </c>
      <c r="K294" s="112" t="s">
        <v>2357</v>
      </c>
      <c r="L294" s="112" t="s">
        <v>2358</v>
      </c>
      <c r="M294" s="112" t="s">
        <v>2331</v>
      </c>
      <c r="N294" s="112" t="s">
        <v>3626</v>
      </c>
      <c r="O294" s="118"/>
      <c r="P294" s="112">
        <v>7802001</v>
      </c>
      <c r="Q294" s="112" t="s">
        <v>2477</v>
      </c>
      <c r="R294" s="112" t="s">
        <v>2530</v>
      </c>
      <c r="S294" s="112" t="s">
        <v>2646</v>
      </c>
      <c r="T294" s="112">
        <v>786499.56</v>
      </c>
      <c r="U294" s="112">
        <v>700000</v>
      </c>
      <c r="V294" s="112" t="s">
        <v>2364</v>
      </c>
      <c r="W294" s="112">
        <v>261534000000000</v>
      </c>
      <c r="X294" s="110">
        <v>46102</v>
      </c>
      <c r="Y294" s="112">
        <v>2027760</v>
      </c>
      <c r="Z294" s="112" t="s">
        <v>3625</v>
      </c>
      <c r="AA294" s="112">
        <v>0.04</v>
      </c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121"/>
      <c r="AN294" s="112" t="s">
        <v>2647</v>
      </c>
      <c r="AO294" s="112" t="s">
        <v>2636</v>
      </c>
      <c r="AP294" s="112" t="s">
        <v>2367</v>
      </c>
    </row>
    <row r="295" spans="1:42">
      <c r="A295" s="113" t="s">
        <v>3627</v>
      </c>
      <c r="B295" s="114">
        <v>46102</v>
      </c>
      <c r="C295" s="115">
        <v>0.54712962962963</v>
      </c>
      <c r="D295" s="114">
        <v>46102</v>
      </c>
      <c r="E295" s="115">
        <v>0.547986111111111</v>
      </c>
      <c r="F295" s="116" t="s">
        <v>3628</v>
      </c>
      <c r="G295" s="114">
        <v>46053</v>
      </c>
      <c r="H295" s="116">
        <v>2566899607</v>
      </c>
      <c r="I295" s="116" t="s">
        <v>3629</v>
      </c>
      <c r="J295" s="116" t="s">
        <v>2222</v>
      </c>
      <c r="K295" s="116" t="s">
        <v>2357</v>
      </c>
      <c r="L295" s="116" t="s">
        <v>2358</v>
      </c>
      <c r="M295" s="116" t="s">
        <v>2331</v>
      </c>
      <c r="N295" s="116" t="s">
        <v>3630</v>
      </c>
      <c r="O295" s="119"/>
      <c r="P295" s="116">
        <v>7802406</v>
      </c>
      <c r="Q295" s="116" t="s">
        <v>2477</v>
      </c>
      <c r="R295" s="116" t="s">
        <v>2335</v>
      </c>
      <c r="S295" s="116" t="s">
        <v>2363</v>
      </c>
      <c r="T295" s="116">
        <v>799499.54</v>
      </c>
      <c r="U295" s="116">
        <v>899000</v>
      </c>
      <c r="V295" s="116" t="s">
        <v>2364</v>
      </c>
      <c r="W295" s="116">
        <v>261534000000000</v>
      </c>
      <c r="X295" s="114">
        <v>46102</v>
      </c>
      <c r="Y295" s="116">
        <v>2027750</v>
      </c>
      <c r="Z295" s="116" t="s">
        <v>3629</v>
      </c>
      <c r="AA295" s="116">
        <v>0.03</v>
      </c>
      <c r="AB295" s="119"/>
      <c r="AC295" s="119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22"/>
      <c r="AN295" s="116" t="s">
        <v>2365</v>
      </c>
      <c r="AO295" s="116" t="s">
        <v>2366</v>
      </c>
      <c r="AP295" s="116" t="s">
        <v>2367</v>
      </c>
    </row>
    <row r="296" spans="1:42">
      <c r="A296" s="113" t="s">
        <v>3631</v>
      </c>
      <c r="B296" s="114">
        <v>46102</v>
      </c>
      <c r="C296" s="115">
        <v>0.556782407407407</v>
      </c>
      <c r="D296" s="114">
        <v>46102</v>
      </c>
      <c r="E296" s="115">
        <v>0.558553240740741</v>
      </c>
      <c r="F296" s="116" t="s">
        <v>3632</v>
      </c>
      <c r="G296" s="114">
        <v>46050</v>
      </c>
      <c r="H296" s="116">
        <v>2566822301</v>
      </c>
      <c r="I296" s="116" t="s">
        <v>3633</v>
      </c>
      <c r="J296" s="116" t="s">
        <v>2222</v>
      </c>
      <c r="K296" s="116" t="s">
        <v>2357</v>
      </c>
      <c r="L296" s="116" t="s">
        <v>2358</v>
      </c>
      <c r="M296" s="116" t="s">
        <v>2331</v>
      </c>
      <c r="N296" s="116" t="s">
        <v>3634</v>
      </c>
      <c r="O296" s="119"/>
      <c r="P296" s="116">
        <v>4895270</v>
      </c>
      <c r="Q296" s="116" t="s">
        <v>2584</v>
      </c>
      <c r="R296" s="116" t="s">
        <v>2376</v>
      </c>
      <c r="S296" s="116" t="s">
        <v>2810</v>
      </c>
      <c r="T296" s="116">
        <v>889899.51</v>
      </c>
      <c r="U296" s="116">
        <v>850000</v>
      </c>
      <c r="V296" s="116" t="s">
        <v>2364</v>
      </c>
      <c r="W296" s="116">
        <v>261534000000000</v>
      </c>
      <c r="X296" s="114">
        <v>46102</v>
      </c>
      <c r="Y296" s="116">
        <v>2026170</v>
      </c>
      <c r="Z296" s="116" t="s">
        <v>3633</v>
      </c>
      <c r="AA296" s="116">
        <v>0.04</v>
      </c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22"/>
      <c r="AN296" s="116" t="s">
        <v>3635</v>
      </c>
      <c r="AO296" s="116" t="s">
        <v>2608</v>
      </c>
      <c r="AP296" s="116" t="s">
        <v>2367</v>
      </c>
    </row>
    <row r="297" spans="1:42">
      <c r="A297" s="113" t="s">
        <v>3636</v>
      </c>
      <c r="B297" s="114">
        <v>46102</v>
      </c>
      <c r="C297" s="115">
        <v>0.575416666666667</v>
      </c>
      <c r="D297" s="114">
        <v>46102</v>
      </c>
      <c r="E297" s="115">
        <v>0.575625</v>
      </c>
      <c r="F297" s="116" t="s">
        <v>3637</v>
      </c>
      <c r="G297" s="114">
        <v>46021</v>
      </c>
      <c r="H297" s="116">
        <v>2566337879</v>
      </c>
      <c r="I297" s="116" t="s">
        <v>3638</v>
      </c>
      <c r="J297" s="116" t="s">
        <v>2226</v>
      </c>
      <c r="K297" s="116" t="s">
        <v>2566</v>
      </c>
      <c r="L297" s="116" t="s">
        <v>2567</v>
      </c>
      <c r="M297" s="116" t="s">
        <v>2331</v>
      </c>
      <c r="N297" s="116" t="s">
        <v>3639</v>
      </c>
      <c r="O297" s="119"/>
      <c r="P297" s="116">
        <v>4897018</v>
      </c>
      <c r="Q297" s="116" t="s">
        <v>2529</v>
      </c>
      <c r="R297" s="116" t="s">
        <v>2530</v>
      </c>
      <c r="S297" s="116" t="s">
        <v>2989</v>
      </c>
      <c r="T297" s="116">
        <v>793399.83</v>
      </c>
      <c r="U297" s="116">
        <v>780000</v>
      </c>
      <c r="V297" s="116" t="s">
        <v>2570</v>
      </c>
      <c r="W297" s="116">
        <v>261531000000000</v>
      </c>
      <c r="X297" s="114">
        <v>46102</v>
      </c>
      <c r="Y297" s="116">
        <v>2013704</v>
      </c>
      <c r="Z297" s="116" t="s">
        <v>3638</v>
      </c>
      <c r="AA297" s="116">
        <v>0.02</v>
      </c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22"/>
      <c r="AN297" s="116" t="s">
        <v>2346</v>
      </c>
      <c r="AO297" s="116" t="s">
        <v>2346</v>
      </c>
      <c r="AP297" s="116" t="s">
        <v>2571</v>
      </c>
    </row>
    <row r="298" spans="1:42">
      <c r="A298" s="113" t="s">
        <v>3640</v>
      </c>
      <c r="B298" s="114">
        <v>46102</v>
      </c>
      <c r="C298" s="115">
        <v>0.592060185185185</v>
      </c>
      <c r="D298" s="114">
        <v>46102</v>
      </c>
      <c r="E298" s="115">
        <v>0.593078703703704</v>
      </c>
      <c r="F298" s="116" t="s">
        <v>3641</v>
      </c>
      <c r="G298" s="114">
        <v>46084</v>
      </c>
      <c r="H298" s="116">
        <v>2567421812</v>
      </c>
      <c r="I298" s="116" t="s">
        <v>3642</v>
      </c>
      <c r="J298" s="116" t="s">
        <v>2226</v>
      </c>
      <c r="K298" s="116" t="s">
        <v>2566</v>
      </c>
      <c r="L298" s="116" t="s">
        <v>2567</v>
      </c>
      <c r="M298" s="116" t="s">
        <v>2331</v>
      </c>
      <c r="N298" s="116" t="s">
        <v>3643</v>
      </c>
      <c r="O298" s="119"/>
      <c r="P298" s="116" t="s">
        <v>3644</v>
      </c>
      <c r="Q298" s="116" t="s">
        <v>3645</v>
      </c>
      <c r="R298" s="116" t="s">
        <v>2435</v>
      </c>
      <c r="S298" s="116" t="s">
        <v>3646</v>
      </c>
      <c r="T298" s="116">
        <v>1614989.58</v>
      </c>
      <c r="U298" s="116">
        <v>1100000</v>
      </c>
      <c r="V298" s="116" t="s">
        <v>2570</v>
      </c>
      <c r="W298" s="116">
        <v>261531000000000</v>
      </c>
      <c r="X298" s="114">
        <v>46102</v>
      </c>
      <c r="Y298" s="116">
        <v>2040467</v>
      </c>
      <c r="Z298" s="116" t="s">
        <v>3642</v>
      </c>
      <c r="AA298" s="116">
        <v>-0.01</v>
      </c>
      <c r="AB298" s="119"/>
      <c r="AC298" s="119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22"/>
      <c r="AN298" s="116" t="s">
        <v>2346</v>
      </c>
      <c r="AO298" s="116" t="s">
        <v>2346</v>
      </c>
      <c r="AP298" s="116" t="s">
        <v>2659</v>
      </c>
    </row>
    <row r="299" spans="1:42">
      <c r="A299" s="113" t="s">
        <v>993</v>
      </c>
      <c r="B299" s="114">
        <v>46102</v>
      </c>
      <c r="C299" s="115">
        <v>0.61349537037037</v>
      </c>
      <c r="D299" s="114">
        <v>46102</v>
      </c>
      <c r="E299" s="115">
        <v>0.613877314814815</v>
      </c>
      <c r="F299" s="116" t="s">
        <v>991</v>
      </c>
      <c r="G299" s="114">
        <v>46091</v>
      </c>
      <c r="H299" s="116">
        <v>2567518546</v>
      </c>
      <c r="I299" s="116" t="s">
        <v>3647</v>
      </c>
      <c r="J299" s="116" t="s">
        <v>2141</v>
      </c>
      <c r="K299" s="116" t="s">
        <v>2329</v>
      </c>
      <c r="L299" s="116" t="s">
        <v>2330</v>
      </c>
      <c r="M299" s="116" t="s">
        <v>2331</v>
      </c>
      <c r="N299" s="116" t="s">
        <v>3648</v>
      </c>
      <c r="O299" s="119"/>
      <c r="P299" s="116">
        <v>9943484</v>
      </c>
      <c r="Q299" s="116" t="s">
        <v>2457</v>
      </c>
      <c r="R299" s="116" t="s">
        <v>2376</v>
      </c>
      <c r="S299" s="116" t="s">
        <v>2353</v>
      </c>
      <c r="T299" s="116">
        <v>845900.22</v>
      </c>
      <c r="U299" s="119"/>
      <c r="V299" s="116" t="s">
        <v>2337</v>
      </c>
      <c r="W299" s="116">
        <v>261501000000000</v>
      </c>
      <c r="X299" s="114">
        <v>46104</v>
      </c>
      <c r="Y299" s="116">
        <v>2042980</v>
      </c>
      <c r="Z299" s="116" t="s">
        <v>3647</v>
      </c>
      <c r="AA299" s="116">
        <v>0.02</v>
      </c>
      <c r="AB299" s="119"/>
      <c r="AC299" s="119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22"/>
      <c r="AN299" s="116" t="s">
        <v>2391</v>
      </c>
      <c r="AO299" s="116" t="s">
        <v>2392</v>
      </c>
      <c r="AP299" s="116" t="s">
        <v>2347</v>
      </c>
    </row>
    <row r="300" spans="1:42">
      <c r="A300" s="113" t="s">
        <v>3649</v>
      </c>
      <c r="B300" s="114">
        <v>46102</v>
      </c>
      <c r="C300" s="115">
        <v>0.625787037037037</v>
      </c>
      <c r="D300" s="114">
        <v>46102</v>
      </c>
      <c r="E300" s="115">
        <v>0.627789351851852</v>
      </c>
      <c r="F300" s="116" t="s">
        <v>3650</v>
      </c>
      <c r="G300" s="114">
        <v>46094</v>
      </c>
      <c r="H300" s="116">
        <v>2567586395</v>
      </c>
      <c r="I300" s="116" t="s">
        <v>3651</v>
      </c>
      <c r="J300" s="116" t="s">
        <v>2199</v>
      </c>
      <c r="K300" s="116" t="s">
        <v>2371</v>
      </c>
      <c r="L300" s="116" t="s">
        <v>2372</v>
      </c>
      <c r="M300" s="116" t="s">
        <v>2331</v>
      </c>
      <c r="N300" s="116" t="s">
        <v>3652</v>
      </c>
      <c r="O300" s="119"/>
      <c r="P300" s="116">
        <v>4877520</v>
      </c>
      <c r="Q300" s="116" t="s">
        <v>2783</v>
      </c>
      <c r="R300" s="116" t="s">
        <v>2376</v>
      </c>
      <c r="S300" s="116" t="s">
        <v>2979</v>
      </c>
      <c r="T300" s="116">
        <v>659799.86</v>
      </c>
      <c r="U300" s="116">
        <v>500000</v>
      </c>
      <c r="V300" s="116" t="s">
        <v>2378</v>
      </c>
      <c r="W300" s="116">
        <v>261502000000000</v>
      </c>
      <c r="X300" s="114">
        <v>46104</v>
      </c>
      <c r="Y300" s="116">
        <v>2044393</v>
      </c>
      <c r="Z300" s="116" t="s">
        <v>3651</v>
      </c>
      <c r="AA300" s="116">
        <v>0.01</v>
      </c>
      <c r="AB300" s="119"/>
      <c r="AC300" s="119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22"/>
      <c r="AN300" s="116" t="s">
        <v>2395</v>
      </c>
      <c r="AO300" s="116" t="s">
        <v>2396</v>
      </c>
      <c r="AP300" s="116" t="s">
        <v>2397</v>
      </c>
    </row>
    <row r="301" spans="1:42">
      <c r="A301" s="113" t="s">
        <v>3653</v>
      </c>
      <c r="B301" s="114">
        <v>46102</v>
      </c>
      <c r="C301" s="115">
        <v>0.629108796296296</v>
      </c>
      <c r="D301" s="114">
        <v>46102</v>
      </c>
      <c r="E301" s="115">
        <v>0.631319444444444</v>
      </c>
      <c r="F301" s="116" t="s">
        <v>3654</v>
      </c>
      <c r="G301" s="114">
        <v>46094</v>
      </c>
      <c r="H301" s="116">
        <v>2567585382</v>
      </c>
      <c r="I301" s="116" t="s">
        <v>3655</v>
      </c>
      <c r="J301" s="116" t="s">
        <v>2199</v>
      </c>
      <c r="K301" s="116" t="s">
        <v>2371</v>
      </c>
      <c r="L301" s="116" t="s">
        <v>2372</v>
      </c>
      <c r="M301" s="116" t="s">
        <v>2331</v>
      </c>
      <c r="N301" s="116" t="s">
        <v>3656</v>
      </c>
      <c r="O301" s="119"/>
      <c r="P301" s="116">
        <v>7681896</v>
      </c>
      <c r="Q301" s="116" t="s">
        <v>3657</v>
      </c>
      <c r="R301" s="116" t="s">
        <v>2435</v>
      </c>
      <c r="S301" s="116" t="s">
        <v>2449</v>
      </c>
      <c r="T301" s="116">
        <v>1159221.07</v>
      </c>
      <c r="U301" s="116">
        <v>500000</v>
      </c>
      <c r="V301" s="116" t="s">
        <v>2378</v>
      </c>
      <c r="W301" s="116">
        <v>261502000000000</v>
      </c>
      <c r="X301" s="114">
        <v>46104</v>
      </c>
      <c r="Y301" s="116">
        <v>1525585</v>
      </c>
      <c r="Z301" s="116" t="s">
        <v>3655</v>
      </c>
      <c r="AA301" s="116">
        <v>14285.68</v>
      </c>
      <c r="AB301" s="119"/>
      <c r="AC301" s="119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22"/>
      <c r="AN301" s="116" t="s">
        <v>3658</v>
      </c>
      <c r="AO301" s="116" t="s">
        <v>56</v>
      </c>
      <c r="AP301" s="116" t="s">
        <v>2515</v>
      </c>
    </row>
    <row r="302" spans="1:42">
      <c r="A302" s="113" t="s">
        <v>3659</v>
      </c>
      <c r="B302" s="114">
        <v>46102</v>
      </c>
      <c r="C302" s="115">
        <v>0.636168981481481</v>
      </c>
      <c r="D302" s="114">
        <v>46102</v>
      </c>
      <c r="E302" s="115">
        <v>0.638206018518519</v>
      </c>
      <c r="F302" s="116" t="s">
        <v>3660</v>
      </c>
      <c r="G302" s="114">
        <v>46075</v>
      </c>
      <c r="H302" s="116">
        <v>2567268508</v>
      </c>
      <c r="I302" s="116" t="s">
        <v>3661</v>
      </c>
      <c r="J302" s="116" t="s">
        <v>2222</v>
      </c>
      <c r="K302" s="116" t="s">
        <v>2357</v>
      </c>
      <c r="L302" s="116" t="s">
        <v>2358</v>
      </c>
      <c r="M302" s="116" t="s">
        <v>2331</v>
      </c>
      <c r="N302" s="116" t="s">
        <v>3662</v>
      </c>
      <c r="O302" s="119"/>
      <c r="P302" s="116">
        <v>4894740</v>
      </c>
      <c r="Q302" s="116" t="s">
        <v>2759</v>
      </c>
      <c r="R302" s="116" t="s">
        <v>2435</v>
      </c>
      <c r="S302" s="116" t="s">
        <v>2778</v>
      </c>
      <c r="T302" s="116">
        <v>565400</v>
      </c>
      <c r="U302" s="116">
        <v>500000</v>
      </c>
      <c r="V302" s="116" t="s">
        <v>2364</v>
      </c>
      <c r="W302" s="116">
        <v>261534000000000</v>
      </c>
      <c r="X302" s="114">
        <v>46102</v>
      </c>
      <c r="Y302" s="116">
        <v>2037153</v>
      </c>
      <c r="Z302" s="116" t="s">
        <v>3661</v>
      </c>
      <c r="AA302" s="116">
        <v>0.02</v>
      </c>
      <c r="AB302" s="119"/>
      <c r="AC302" s="119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22"/>
      <c r="AN302" s="116" t="s">
        <v>3663</v>
      </c>
      <c r="AO302" s="116" t="s">
        <v>2608</v>
      </c>
      <c r="AP302" s="116" t="s">
        <v>2367</v>
      </c>
    </row>
    <row r="303" spans="1:42">
      <c r="A303" s="113" t="s">
        <v>998</v>
      </c>
      <c r="B303" s="114">
        <v>46102</v>
      </c>
      <c r="C303" s="115">
        <v>0.645474537037037</v>
      </c>
      <c r="D303" s="114">
        <v>46102</v>
      </c>
      <c r="E303" s="115">
        <v>0.648703703703704</v>
      </c>
      <c r="F303" s="116" t="s">
        <v>995</v>
      </c>
      <c r="G303" s="114">
        <v>46041</v>
      </c>
      <c r="H303" s="116">
        <v>2566663160</v>
      </c>
      <c r="I303" s="116" t="s">
        <v>3664</v>
      </c>
      <c r="J303" s="116" t="s">
        <v>2141</v>
      </c>
      <c r="K303" s="116" t="s">
        <v>2329</v>
      </c>
      <c r="L303" s="116" t="s">
        <v>2330</v>
      </c>
      <c r="M303" s="116" t="s">
        <v>2331</v>
      </c>
      <c r="N303" s="116" t="s">
        <v>3665</v>
      </c>
      <c r="O303" s="119"/>
      <c r="P303" s="116" t="s">
        <v>997</v>
      </c>
      <c r="Q303" s="116" t="s">
        <v>3666</v>
      </c>
      <c r="R303" s="116" t="s">
        <v>2984</v>
      </c>
      <c r="S303" s="116" t="s">
        <v>2771</v>
      </c>
      <c r="T303" s="116">
        <v>633800.11</v>
      </c>
      <c r="U303" s="119"/>
      <c r="V303" s="116" t="s">
        <v>2337</v>
      </c>
      <c r="W303" s="116">
        <v>261501000000000</v>
      </c>
      <c r="X303" s="114">
        <v>46104</v>
      </c>
      <c r="Y303" s="116">
        <v>2021707</v>
      </c>
      <c r="Z303" s="116" t="s">
        <v>3664</v>
      </c>
      <c r="AA303" s="116">
        <v>0.01</v>
      </c>
      <c r="AB303" s="119"/>
      <c r="AC303" s="119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22"/>
      <c r="AN303" s="116" t="s">
        <v>2872</v>
      </c>
      <c r="AO303" s="116" t="s">
        <v>2351</v>
      </c>
      <c r="AP303" s="116" t="s">
        <v>2347</v>
      </c>
    </row>
    <row r="304" spans="1:42">
      <c r="A304" s="113" t="s">
        <v>3667</v>
      </c>
      <c r="B304" s="114">
        <v>46102</v>
      </c>
      <c r="C304" s="115">
        <v>0.655023148148148</v>
      </c>
      <c r="D304" s="114">
        <v>46102</v>
      </c>
      <c r="E304" s="115">
        <v>0.655555555555556</v>
      </c>
      <c r="F304" s="116" t="s">
        <v>3668</v>
      </c>
      <c r="G304" s="114">
        <v>46063</v>
      </c>
      <c r="H304" s="116">
        <v>2567070500</v>
      </c>
      <c r="I304" s="116" t="s">
        <v>3669</v>
      </c>
      <c r="J304" s="116" t="s">
        <v>2213</v>
      </c>
      <c r="K304" s="116" t="s">
        <v>2454</v>
      </c>
      <c r="L304" s="116" t="s">
        <v>2455</v>
      </c>
      <c r="M304" s="116" t="s">
        <v>2331</v>
      </c>
      <c r="N304" s="116" t="s">
        <v>3670</v>
      </c>
      <c r="O304" s="119"/>
      <c r="P304" s="116">
        <v>9261780</v>
      </c>
      <c r="Q304" s="116" t="s">
        <v>2673</v>
      </c>
      <c r="R304" s="116" t="s">
        <v>2764</v>
      </c>
      <c r="S304" s="116" t="s">
        <v>2549</v>
      </c>
      <c r="T304" s="116">
        <v>663799.62</v>
      </c>
      <c r="U304" s="119"/>
      <c r="V304" s="116" t="s">
        <v>2460</v>
      </c>
      <c r="W304" s="116">
        <v>261532000000000</v>
      </c>
      <c r="X304" s="114">
        <v>46102</v>
      </c>
      <c r="Y304" s="116">
        <v>2034236</v>
      </c>
      <c r="Z304" s="116" t="s">
        <v>3669</v>
      </c>
      <c r="AA304" s="116">
        <v>-0.02</v>
      </c>
      <c r="AB304" s="119"/>
      <c r="AC304" s="119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22"/>
      <c r="AN304" s="116" t="s">
        <v>2346</v>
      </c>
      <c r="AO304" s="116" t="s">
        <v>2346</v>
      </c>
      <c r="AP304" s="116" t="s">
        <v>2659</v>
      </c>
    </row>
    <row r="305" spans="1:42">
      <c r="A305" s="113" t="s">
        <v>1004</v>
      </c>
      <c r="B305" s="114">
        <v>46102</v>
      </c>
      <c r="C305" s="115">
        <v>0.670694444444444</v>
      </c>
      <c r="D305" s="114">
        <v>46102</v>
      </c>
      <c r="E305" s="115">
        <v>0.673125</v>
      </c>
      <c r="F305" s="116" t="s">
        <v>1001</v>
      </c>
      <c r="G305" s="114">
        <v>46086</v>
      </c>
      <c r="H305" s="116">
        <v>2567444935</v>
      </c>
      <c r="I305" s="116" t="s">
        <v>3671</v>
      </c>
      <c r="J305" s="116" t="s">
        <v>2141</v>
      </c>
      <c r="K305" s="116" t="s">
        <v>2329</v>
      </c>
      <c r="L305" s="116" t="s">
        <v>2330</v>
      </c>
      <c r="M305" s="116" t="s">
        <v>2331</v>
      </c>
      <c r="N305" s="116" t="s">
        <v>3672</v>
      </c>
      <c r="O305" s="119"/>
      <c r="P305" s="116">
        <v>1431444</v>
      </c>
      <c r="Q305" s="116" t="s">
        <v>2343</v>
      </c>
      <c r="R305" s="116" t="s">
        <v>2344</v>
      </c>
      <c r="S305" s="116" t="s">
        <v>2383</v>
      </c>
      <c r="T305" s="116">
        <v>569900.17</v>
      </c>
      <c r="U305" s="116">
        <v>500000</v>
      </c>
      <c r="V305" s="116" t="s">
        <v>2337</v>
      </c>
      <c r="W305" s="116">
        <v>261501000000000</v>
      </c>
      <c r="X305" s="114">
        <v>46104</v>
      </c>
      <c r="Y305" s="116">
        <v>2041331</v>
      </c>
      <c r="Z305" s="116" t="s">
        <v>3671</v>
      </c>
      <c r="AA305" s="116">
        <v>-0.04</v>
      </c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22"/>
      <c r="AN305" s="116" t="s">
        <v>2875</v>
      </c>
      <c r="AO305" s="116" t="s">
        <v>2392</v>
      </c>
      <c r="AP305" s="116" t="s">
        <v>2347</v>
      </c>
    </row>
    <row r="306" spans="1:42">
      <c r="A306" s="113" t="s">
        <v>989</v>
      </c>
      <c r="B306" s="114">
        <v>46102</v>
      </c>
      <c r="C306" s="115">
        <v>0.677210648148148</v>
      </c>
      <c r="D306" s="114">
        <v>46102</v>
      </c>
      <c r="E306" s="115">
        <v>0.679837962962963</v>
      </c>
      <c r="F306" s="116" t="s">
        <v>985</v>
      </c>
      <c r="G306" s="114">
        <v>46071</v>
      </c>
      <c r="H306" s="116">
        <v>2567691174</v>
      </c>
      <c r="I306" s="116" t="s">
        <v>990</v>
      </c>
      <c r="J306" s="116" t="s">
        <v>2194</v>
      </c>
      <c r="K306" s="116" t="s">
        <v>3017</v>
      </c>
      <c r="L306" s="116" t="s">
        <v>3018</v>
      </c>
      <c r="M306" s="116" t="s">
        <v>2331</v>
      </c>
      <c r="N306" s="116" t="s">
        <v>3673</v>
      </c>
      <c r="O306" s="119"/>
      <c r="P306" s="116" t="s">
        <v>988</v>
      </c>
      <c r="Q306" s="116" t="s">
        <v>2334</v>
      </c>
      <c r="R306" s="116" t="s">
        <v>2335</v>
      </c>
      <c r="S306" s="116" t="s">
        <v>3674</v>
      </c>
      <c r="T306" s="116">
        <v>1077064</v>
      </c>
      <c r="U306" s="116">
        <v>996269</v>
      </c>
      <c r="V306" s="116" t="s">
        <v>3675</v>
      </c>
      <c r="W306" s="116">
        <v>261526000000000</v>
      </c>
      <c r="X306" s="114">
        <v>46104</v>
      </c>
      <c r="Y306" s="116">
        <v>2035814</v>
      </c>
      <c r="Z306" s="116" t="s">
        <v>990</v>
      </c>
      <c r="AA306" s="116">
        <v>-0.03</v>
      </c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22"/>
      <c r="AN306" s="116" t="s">
        <v>3676</v>
      </c>
      <c r="AO306" s="116" t="s">
        <v>2819</v>
      </c>
      <c r="AP306" s="116" t="s">
        <v>2820</v>
      </c>
    </row>
    <row r="307" spans="1:42">
      <c r="A307" s="113" t="s">
        <v>1009</v>
      </c>
      <c r="B307" s="114">
        <v>46102</v>
      </c>
      <c r="C307" s="115">
        <v>0.683078703703704</v>
      </c>
      <c r="D307" s="114">
        <v>46102</v>
      </c>
      <c r="E307" s="115">
        <v>0.683298611111111</v>
      </c>
      <c r="F307" s="116" t="s">
        <v>1006</v>
      </c>
      <c r="G307" s="114">
        <v>46092</v>
      </c>
      <c r="H307" s="116">
        <v>2567550025</v>
      </c>
      <c r="I307" s="116" t="s">
        <v>1010</v>
      </c>
      <c r="J307" s="116" t="s">
        <v>2141</v>
      </c>
      <c r="K307" s="116" t="s">
        <v>2329</v>
      </c>
      <c r="L307" s="116" t="s">
        <v>2330</v>
      </c>
      <c r="M307" s="116" t="s">
        <v>2331</v>
      </c>
      <c r="N307" s="116" t="s">
        <v>3677</v>
      </c>
      <c r="O307" s="119"/>
      <c r="P307" s="116">
        <v>1435919</v>
      </c>
      <c r="Q307" s="116" t="s">
        <v>2343</v>
      </c>
      <c r="R307" s="116" t="s">
        <v>2344</v>
      </c>
      <c r="S307" s="116" t="s">
        <v>2791</v>
      </c>
      <c r="T307" s="116">
        <v>569400.17</v>
      </c>
      <c r="U307" s="116">
        <v>540000</v>
      </c>
      <c r="V307" s="116" t="s">
        <v>2337</v>
      </c>
      <c r="W307" s="116">
        <v>261501000000000</v>
      </c>
      <c r="X307" s="114">
        <v>46104</v>
      </c>
      <c r="Y307" s="116">
        <v>2043598</v>
      </c>
      <c r="Z307" s="116" t="s">
        <v>1010</v>
      </c>
      <c r="AA307" s="116">
        <v>-0.03</v>
      </c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22"/>
      <c r="AN307" s="116" t="s">
        <v>2792</v>
      </c>
      <c r="AO307" s="116" t="s">
        <v>69</v>
      </c>
      <c r="AP307" s="116" t="s">
        <v>2397</v>
      </c>
    </row>
    <row r="308" spans="1:42">
      <c r="A308" s="113" t="s">
        <v>3678</v>
      </c>
      <c r="B308" s="114">
        <v>46102</v>
      </c>
      <c r="C308" s="115">
        <v>0.691516203703704</v>
      </c>
      <c r="D308" s="114">
        <v>46102</v>
      </c>
      <c r="E308" s="115">
        <v>0.693784722222222</v>
      </c>
      <c r="F308" s="116" t="s">
        <v>3679</v>
      </c>
      <c r="G308" s="114">
        <v>46093</v>
      </c>
      <c r="H308" s="116">
        <v>2567556878</v>
      </c>
      <c r="I308" s="116" t="s">
        <v>3680</v>
      </c>
      <c r="J308" s="116" t="s">
        <v>2222</v>
      </c>
      <c r="K308" s="116" t="s">
        <v>2357</v>
      </c>
      <c r="L308" s="116" t="s">
        <v>2358</v>
      </c>
      <c r="M308" s="116" t="s">
        <v>2331</v>
      </c>
      <c r="N308" s="116" t="s">
        <v>3681</v>
      </c>
      <c r="O308" s="119"/>
      <c r="P308" s="116">
        <v>4916968</v>
      </c>
      <c r="Q308" s="116" t="s">
        <v>2490</v>
      </c>
      <c r="R308" s="116" t="s">
        <v>2435</v>
      </c>
      <c r="S308" s="116" t="s">
        <v>3682</v>
      </c>
      <c r="T308" s="116">
        <v>586410.1</v>
      </c>
      <c r="U308" s="119"/>
      <c r="V308" s="116" t="s">
        <v>2364</v>
      </c>
      <c r="W308" s="116">
        <v>261534000000000</v>
      </c>
      <c r="X308" s="114">
        <v>46102</v>
      </c>
      <c r="Y308" s="116">
        <v>2043908</v>
      </c>
      <c r="Z308" s="116" t="s">
        <v>3680</v>
      </c>
      <c r="AA308" s="116">
        <v>-0.02</v>
      </c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22"/>
      <c r="AN308" s="116" t="s">
        <v>2736</v>
      </c>
      <c r="AO308" s="116" t="s">
        <v>2471</v>
      </c>
      <c r="AP308" s="116" t="s">
        <v>2472</v>
      </c>
    </row>
    <row r="309" spans="1:42">
      <c r="A309" s="113" t="s">
        <v>1014</v>
      </c>
      <c r="B309" s="114">
        <v>46102</v>
      </c>
      <c r="C309" s="115">
        <v>0.719907407407407</v>
      </c>
      <c r="D309" s="114">
        <v>46102</v>
      </c>
      <c r="E309" s="115">
        <v>0.7215625</v>
      </c>
      <c r="F309" s="116" t="s">
        <v>1011</v>
      </c>
      <c r="G309" s="114">
        <v>46049</v>
      </c>
      <c r="H309" s="116">
        <v>2566806016</v>
      </c>
      <c r="I309" s="116" t="s">
        <v>1015</v>
      </c>
      <c r="J309" s="116" t="s">
        <v>2141</v>
      </c>
      <c r="K309" s="116" t="s">
        <v>2329</v>
      </c>
      <c r="L309" s="116" t="s">
        <v>2330</v>
      </c>
      <c r="M309" s="116" t="s">
        <v>2331</v>
      </c>
      <c r="N309" s="116" t="s">
        <v>3683</v>
      </c>
      <c r="O309" s="119"/>
      <c r="P309" s="116">
        <v>9259291</v>
      </c>
      <c r="Q309" s="116" t="s">
        <v>2673</v>
      </c>
      <c r="R309" s="116" t="s">
        <v>3684</v>
      </c>
      <c r="S309" s="116" t="s">
        <v>2791</v>
      </c>
      <c r="T309" s="116">
        <v>657299.67</v>
      </c>
      <c r="U309" s="116">
        <v>710744</v>
      </c>
      <c r="V309" s="116" t="s">
        <v>2337</v>
      </c>
      <c r="W309" s="116">
        <v>261501000000000</v>
      </c>
      <c r="X309" s="114">
        <v>46104</v>
      </c>
      <c r="Y309" s="116">
        <v>2025816</v>
      </c>
      <c r="Z309" s="116" t="s">
        <v>1015</v>
      </c>
      <c r="AA309" s="116">
        <v>0</v>
      </c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22"/>
      <c r="AN309" s="116" t="s">
        <v>2792</v>
      </c>
      <c r="AO309" s="116" t="s">
        <v>69</v>
      </c>
      <c r="AP309" s="116" t="s">
        <v>2397</v>
      </c>
    </row>
    <row r="310" spans="1:42">
      <c r="A310" s="113" t="s">
        <v>3685</v>
      </c>
      <c r="B310" s="114">
        <v>46102</v>
      </c>
      <c r="C310" s="115">
        <v>0.720509259259259</v>
      </c>
      <c r="D310" s="114">
        <v>46102</v>
      </c>
      <c r="E310" s="115">
        <v>0.7215625</v>
      </c>
      <c r="F310" s="116" t="s">
        <v>3686</v>
      </c>
      <c r="G310" s="114">
        <v>46102</v>
      </c>
      <c r="H310" s="116">
        <v>2567732854</v>
      </c>
      <c r="I310" s="116" t="s">
        <v>3031</v>
      </c>
      <c r="J310" s="116" t="s">
        <v>2199</v>
      </c>
      <c r="K310" s="116" t="s">
        <v>2371</v>
      </c>
      <c r="L310" s="116" t="s">
        <v>2372</v>
      </c>
      <c r="M310" s="116" t="s">
        <v>2331</v>
      </c>
      <c r="N310" s="116" t="s">
        <v>3687</v>
      </c>
      <c r="O310" s="119"/>
      <c r="P310" s="116">
        <v>7934186</v>
      </c>
      <c r="Q310" s="116" t="s">
        <v>3080</v>
      </c>
      <c r="R310" s="116" t="s">
        <v>2585</v>
      </c>
      <c r="S310" s="116" t="s">
        <v>3092</v>
      </c>
      <c r="T310" s="116">
        <v>1118007.53</v>
      </c>
      <c r="U310" s="116">
        <v>500000</v>
      </c>
      <c r="V310" s="116" t="s">
        <v>2378</v>
      </c>
      <c r="W310" s="116">
        <v>261502000000000</v>
      </c>
      <c r="X310" s="114">
        <v>46104</v>
      </c>
      <c r="Y310" s="116">
        <v>1031003</v>
      </c>
      <c r="Z310" s="116" t="s">
        <v>3031</v>
      </c>
      <c r="AA310" s="116">
        <v>0.01</v>
      </c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22"/>
      <c r="AN310" s="116" t="s">
        <v>3093</v>
      </c>
      <c r="AO310" s="116" t="s">
        <v>2443</v>
      </c>
      <c r="AP310" s="116" t="s">
        <v>2340</v>
      </c>
    </row>
    <row r="311" spans="1:42">
      <c r="A311" s="113" t="s">
        <v>3688</v>
      </c>
      <c r="B311" s="114">
        <v>46102</v>
      </c>
      <c r="C311" s="115">
        <v>0.723171296296296</v>
      </c>
      <c r="D311" s="114">
        <v>46102</v>
      </c>
      <c r="E311" s="115">
        <v>0.728645833333333</v>
      </c>
      <c r="F311" s="116" t="s">
        <v>808</v>
      </c>
      <c r="G311" s="114">
        <v>46071</v>
      </c>
      <c r="H311" s="116">
        <v>2567201734</v>
      </c>
      <c r="I311" s="119"/>
      <c r="J311" s="116" t="s">
        <v>2199</v>
      </c>
      <c r="K311" s="116" t="s">
        <v>2371</v>
      </c>
      <c r="L311" s="116" t="s">
        <v>2372</v>
      </c>
      <c r="M311" s="116" t="s">
        <v>2331</v>
      </c>
      <c r="N311" s="116" t="s">
        <v>3689</v>
      </c>
      <c r="O311" s="119"/>
      <c r="P311" s="116">
        <v>7801035</v>
      </c>
      <c r="Q311" s="116" t="s">
        <v>2477</v>
      </c>
      <c r="R311" s="116" t="s">
        <v>2376</v>
      </c>
      <c r="S311" s="116" t="s">
        <v>2866</v>
      </c>
      <c r="T311" s="116">
        <v>792499.49</v>
      </c>
      <c r="U311" s="116">
        <v>500000</v>
      </c>
      <c r="V311" s="119"/>
      <c r="W311" s="119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22"/>
      <c r="AN311" s="116" t="s">
        <v>2346</v>
      </c>
      <c r="AO311" s="116" t="s">
        <v>2346</v>
      </c>
      <c r="AP311" s="123"/>
    </row>
    <row r="312" spans="1:42">
      <c r="A312" s="113" t="s">
        <v>1026</v>
      </c>
      <c r="B312" s="114">
        <v>46102</v>
      </c>
      <c r="C312" s="115">
        <v>0.752418981481481</v>
      </c>
      <c r="D312" s="114">
        <v>46102</v>
      </c>
      <c r="E312" s="115">
        <v>0.756261574074074</v>
      </c>
      <c r="F312" s="116" t="s">
        <v>1024</v>
      </c>
      <c r="G312" s="114">
        <v>46073</v>
      </c>
      <c r="H312" s="116">
        <v>2567248837</v>
      </c>
      <c r="I312" s="116" t="s">
        <v>1507</v>
      </c>
      <c r="J312" s="116" t="s">
        <v>2181</v>
      </c>
      <c r="K312" s="116" t="s">
        <v>3615</v>
      </c>
      <c r="L312" s="116" t="s">
        <v>3616</v>
      </c>
      <c r="M312" s="116" t="s">
        <v>2331</v>
      </c>
      <c r="N312" s="116" t="s">
        <v>3690</v>
      </c>
      <c r="O312" s="119"/>
      <c r="P312" s="116">
        <v>1433230</v>
      </c>
      <c r="Q312" s="116" t="s">
        <v>3209</v>
      </c>
      <c r="R312" s="116" t="s">
        <v>2538</v>
      </c>
      <c r="S312" s="116" t="s">
        <v>3691</v>
      </c>
      <c r="T312" s="116">
        <v>558900.01</v>
      </c>
      <c r="U312" s="116">
        <v>605532</v>
      </c>
      <c r="V312" s="116" t="s">
        <v>3692</v>
      </c>
      <c r="W312" s="116">
        <v>261515000000000</v>
      </c>
      <c r="X312" s="114">
        <v>46104</v>
      </c>
      <c r="Y312" s="116">
        <v>2036708</v>
      </c>
      <c r="Z312" s="116" t="s">
        <v>1507</v>
      </c>
      <c r="AA312" s="116">
        <v>-0.02</v>
      </c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22"/>
      <c r="AN312" s="116" t="s">
        <v>3302</v>
      </c>
      <c r="AO312" s="116" t="s">
        <v>56</v>
      </c>
      <c r="AP312" s="116" t="s">
        <v>2515</v>
      </c>
    </row>
    <row r="313" spans="1:42">
      <c r="A313" s="113" t="s">
        <v>983</v>
      </c>
      <c r="B313" s="114">
        <v>46102</v>
      </c>
      <c r="C313" s="115">
        <v>0.753680555555556</v>
      </c>
      <c r="D313" s="114">
        <v>46102</v>
      </c>
      <c r="E313" s="115">
        <v>0.756261574074074</v>
      </c>
      <c r="F313" s="116" t="s">
        <v>785</v>
      </c>
      <c r="G313" s="114">
        <v>46074</v>
      </c>
      <c r="H313" s="116">
        <v>2567235354</v>
      </c>
      <c r="I313" s="116" t="s">
        <v>984</v>
      </c>
      <c r="J313" s="116" t="s">
        <v>2175</v>
      </c>
      <c r="K313" s="116" t="s">
        <v>2742</v>
      </c>
      <c r="L313" s="116" t="s">
        <v>2743</v>
      </c>
      <c r="M313" s="116" t="s">
        <v>2331</v>
      </c>
      <c r="N313" s="116" t="s">
        <v>3693</v>
      </c>
      <c r="O313" s="119"/>
      <c r="P313" s="116" t="s">
        <v>982</v>
      </c>
      <c r="Q313" s="116" t="s">
        <v>3441</v>
      </c>
      <c r="R313" s="116" t="s">
        <v>2344</v>
      </c>
      <c r="S313" s="116" t="s">
        <v>3694</v>
      </c>
      <c r="T313" s="116">
        <v>506500.39</v>
      </c>
      <c r="U313" s="116">
        <v>480000</v>
      </c>
      <c r="V313" s="116" t="s">
        <v>2747</v>
      </c>
      <c r="W313" s="116">
        <v>261533000000000</v>
      </c>
      <c r="X313" s="114">
        <v>46104</v>
      </c>
      <c r="Y313" s="116">
        <v>2036782</v>
      </c>
      <c r="Z313" s="116" t="s">
        <v>984</v>
      </c>
      <c r="AA313" s="116">
        <v>-0.03</v>
      </c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22"/>
      <c r="AN313" s="116" t="s">
        <v>2520</v>
      </c>
      <c r="AO313" s="116" t="s">
        <v>2521</v>
      </c>
      <c r="AP313" s="116" t="s">
        <v>2522</v>
      </c>
    </row>
    <row r="314" spans="1:42">
      <c r="A314" s="113" t="s">
        <v>1022</v>
      </c>
      <c r="B314" s="114">
        <v>46102</v>
      </c>
      <c r="C314" s="115">
        <v>0.763032407407407</v>
      </c>
      <c r="D314" s="114">
        <v>46102</v>
      </c>
      <c r="E314" s="115">
        <v>0.76337962962963</v>
      </c>
      <c r="F314" s="116" t="s">
        <v>1019</v>
      </c>
      <c r="G314" s="114">
        <v>46069</v>
      </c>
      <c r="H314" s="116">
        <v>2567165097</v>
      </c>
      <c r="I314" s="116" t="s">
        <v>1023</v>
      </c>
      <c r="J314" s="116" t="s">
        <v>2141</v>
      </c>
      <c r="K314" s="116" t="s">
        <v>2329</v>
      </c>
      <c r="L314" s="116" t="s">
        <v>2330</v>
      </c>
      <c r="M314" s="116" t="s">
        <v>2331</v>
      </c>
      <c r="N314" s="116" t="s">
        <v>3695</v>
      </c>
      <c r="O314" s="119"/>
      <c r="P314" s="116">
        <v>1431068</v>
      </c>
      <c r="Q314" s="116" t="s">
        <v>2343</v>
      </c>
      <c r="R314" s="116" t="s">
        <v>2344</v>
      </c>
      <c r="S314" s="116" t="s">
        <v>3304</v>
      </c>
      <c r="T314" s="116">
        <v>568900.19</v>
      </c>
      <c r="U314" s="119"/>
      <c r="V314" s="116" t="s">
        <v>2337</v>
      </c>
      <c r="W314" s="116">
        <v>261501000000000</v>
      </c>
      <c r="X314" s="114">
        <v>46104</v>
      </c>
      <c r="Y314" s="116">
        <v>2034813</v>
      </c>
      <c r="Z314" s="116" t="s">
        <v>1023</v>
      </c>
      <c r="AA314" s="116">
        <v>-0.02</v>
      </c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22"/>
      <c r="AN314" s="116" t="s">
        <v>3255</v>
      </c>
      <c r="AO314" s="116" t="s">
        <v>2339</v>
      </c>
      <c r="AP314" s="116" t="s">
        <v>2340</v>
      </c>
    </row>
    <row r="315" spans="1:42">
      <c r="A315" s="113" t="s">
        <v>3696</v>
      </c>
      <c r="B315" s="114">
        <v>46102</v>
      </c>
      <c r="C315" s="115">
        <v>0.766365740740741</v>
      </c>
      <c r="D315" s="114">
        <v>46102</v>
      </c>
      <c r="E315" s="115">
        <v>0.766689814814815</v>
      </c>
      <c r="F315" s="116" t="s">
        <v>3697</v>
      </c>
      <c r="G315" s="114">
        <v>46092</v>
      </c>
      <c r="H315" s="116">
        <v>2567544001</v>
      </c>
      <c r="I315" s="116" t="s">
        <v>3698</v>
      </c>
      <c r="J315" s="116" t="s">
        <v>2217</v>
      </c>
      <c r="K315" s="116" t="s">
        <v>2497</v>
      </c>
      <c r="L315" s="116" t="s">
        <v>2498</v>
      </c>
      <c r="M315" s="116" t="s">
        <v>2331</v>
      </c>
      <c r="N315" s="116" t="s">
        <v>3699</v>
      </c>
      <c r="O315" s="119"/>
      <c r="P315" s="116">
        <v>4575608</v>
      </c>
      <c r="Q315" s="116" t="s">
        <v>3216</v>
      </c>
      <c r="R315" s="116" t="s">
        <v>2344</v>
      </c>
      <c r="S315" s="116" t="s">
        <v>3199</v>
      </c>
      <c r="T315" s="116">
        <v>510253.19</v>
      </c>
      <c r="U315" s="116">
        <v>500000</v>
      </c>
      <c r="V315" s="116" t="s">
        <v>2502</v>
      </c>
      <c r="W315" s="116">
        <v>261535000000000</v>
      </c>
      <c r="X315" s="114">
        <v>46104</v>
      </c>
      <c r="Y315" s="116">
        <v>2043581</v>
      </c>
      <c r="Z315" s="116" t="s">
        <v>3698</v>
      </c>
      <c r="AA315" s="116">
        <v>0.01</v>
      </c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22"/>
      <c r="AN315" s="116" t="s">
        <v>3200</v>
      </c>
      <c r="AO315" s="116" t="s">
        <v>2346</v>
      </c>
      <c r="AP315" s="116" t="s">
        <v>2462</v>
      </c>
    </row>
    <row r="316" spans="1:42">
      <c r="A316" s="109" t="s">
        <v>1033</v>
      </c>
      <c r="B316" s="110">
        <v>46104</v>
      </c>
      <c r="C316" s="111">
        <v>0.482418981481481</v>
      </c>
      <c r="D316" s="110">
        <v>46104</v>
      </c>
      <c r="E316" s="111">
        <v>0.485416666666667</v>
      </c>
      <c r="F316" s="112" t="s">
        <v>1030</v>
      </c>
      <c r="G316" s="110">
        <v>46079</v>
      </c>
      <c r="H316" s="112">
        <v>2567330979</v>
      </c>
      <c r="I316" s="112" t="s">
        <v>1034</v>
      </c>
      <c r="J316" s="112" t="s">
        <v>2141</v>
      </c>
      <c r="K316" s="112" t="s">
        <v>2329</v>
      </c>
      <c r="L316" s="112" t="s">
        <v>2330</v>
      </c>
      <c r="M316" s="112" t="s">
        <v>2331</v>
      </c>
      <c r="N316" s="112" t="s">
        <v>3700</v>
      </c>
      <c r="O316" s="118"/>
      <c r="P316" s="112">
        <v>4585366</v>
      </c>
      <c r="Q316" s="112" t="s">
        <v>2745</v>
      </c>
      <c r="R316" s="112" t="s">
        <v>2344</v>
      </c>
      <c r="S316" s="112" t="s">
        <v>2394</v>
      </c>
      <c r="T316" s="112">
        <v>642499.67</v>
      </c>
      <c r="U316" s="112">
        <v>585000</v>
      </c>
      <c r="V316" s="112" t="s">
        <v>2337</v>
      </c>
      <c r="W316" s="112">
        <v>261501000000000</v>
      </c>
      <c r="X316" s="110">
        <v>46104</v>
      </c>
      <c r="Y316" s="112">
        <v>2038616</v>
      </c>
      <c r="Z316" s="112" t="s">
        <v>1034</v>
      </c>
      <c r="AA316" s="112">
        <v>-0.03</v>
      </c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  <c r="AL316" s="118"/>
      <c r="AM316" s="121"/>
      <c r="AN316" s="112" t="s">
        <v>2927</v>
      </c>
      <c r="AO316" s="112" t="s">
        <v>2346</v>
      </c>
      <c r="AP316" s="112" t="s">
        <v>2340</v>
      </c>
    </row>
    <row r="317" spans="1:42">
      <c r="A317" s="113" t="s">
        <v>3701</v>
      </c>
      <c r="B317" s="114">
        <v>46104</v>
      </c>
      <c r="C317" s="115">
        <v>0.511238425925926</v>
      </c>
      <c r="D317" s="114">
        <v>46104</v>
      </c>
      <c r="E317" s="115">
        <v>0.513240740740741</v>
      </c>
      <c r="F317" s="116" t="s">
        <v>3702</v>
      </c>
      <c r="G317" s="114">
        <v>46053</v>
      </c>
      <c r="H317" s="116">
        <v>2567738006</v>
      </c>
      <c r="I317" s="116" t="s">
        <v>3031</v>
      </c>
      <c r="J317" s="116" t="s">
        <v>2213</v>
      </c>
      <c r="K317" s="116" t="s">
        <v>2454</v>
      </c>
      <c r="L317" s="116" t="s">
        <v>2455</v>
      </c>
      <c r="M317" s="116" t="s">
        <v>2331</v>
      </c>
      <c r="N317" s="116" t="s">
        <v>3703</v>
      </c>
      <c r="O317" s="119"/>
      <c r="P317" s="116">
        <v>9261663</v>
      </c>
      <c r="Q317" s="116" t="s">
        <v>2673</v>
      </c>
      <c r="R317" s="116" t="s">
        <v>2764</v>
      </c>
      <c r="S317" s="116" t="s">
        <v>3704</v>
      </c>
      <c r="T317" s="116">
        <v>665117.77</v>
      </c>
      <c r="U317" s="119"/>
      <c r="V317" s="116" t="s">
        <v>2460</v>
      </c>
      <c r="W317" s="116">
        <v>261532000000000</v>
      </c>
      <c r="X317" s="114">
        <v>46104</v>
      </c>
      <c r="Y317" s="116">
        <v>1031003</v>
      </c>
      <c r="Z317" s="116" t="s">
        <v>3031</v>
      </c>
      <c r="AA317" s="116">
        <v>0</v>
      </c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22"/>
      <c r="AN317" s="116" t="s">
        <v>2346</v>
      </c>
      <c r="AO317" s="116" t="s">
        <v>2346</v>
      </c>
      <c r="AP317" s="116" t="s">
        <v>2659</v>
      </c>
    </row>
    <row r="318" spans="1:42">
      <c r="A318" s="113" t="s">
        <v>3705</v>
      </c>
      <c r="B318" s="114">
        <v>46104</v>
      </c>
      <c r="C318" s="115">
        <v>0.516215277777778</v>
      </c>
      <c r="D318" s="114">
        <v>46104</v>
      </c>
      <c r="E318" s="115">
        <v>0.516724537037037</v>
      </c>
      <c r="F318" s="116" t="s">
        <v>3706</v>
      </c>
      <c r="G318" s="114">
        <v>46100</v>
      </c>
      <c r="H318" s="116">
        <v>2567699402</v>
      </c>
      <c r="I318" s="116" t="s">
        <v>3707</v>
      </c>
      <c r="J318" s="116" t="s">
        <v>2213</v>
      </c>
      <c r="K318" s="116" t="s">
        <v>2454</v>
      </c>
      <c r="L318" s="116" t="s">
        <v>2455</v>
      </c>
      <c r="M318" s="116" t="s">
        <v>2331</v>
      </c>
      <c r="N318" s="116" t="s">
        <v>3708</v>
      </c>
      <c r="O318" s="119"/>
      <c r="P318" s="116" t="s">
        <v>3709</v>
      </c>
      <c r="Q318" s="116" t="s">
        <v>3154</v>
      </c>
      <c r="R318" s="116" t="s">
        <v>2335</v>
      </c>
      <c r="S318" s="116" t="s">
        <v>3168</v>
      </c>
      <c r="T318" s="116">
        <v>921299.22</v>
      </c>
      <c r="U318" s="119"/>
      <c r="V318" s="116" t="s">
        <v>2460</v>
      </c>
      <c r="W318" s="116">
        <v>261532000000000</v>
      </c>
      <c r="X318" s="114">
        <v>46104</v>
      </c>
      <c r="Y318" s="116">
        <v>2046345</v>
      </c>
      <c r="Z318" s="116" t="s">
        <v>3707</v>
      </c>
      <c r="AA318" s="116">
        <v>-0.02</v>
      </c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22"/>
      <c r="AN318" s="116" t="s">
        <v>3710</v>
      </c>
      <c r="AO318" s="116" t="s">
        <v>2408</v>
      </c>
      <c r="AP318" s="116" t="s">
        <v>2367</v>
      </c>
    </row>
    <row r="319" spans="1:42">
      <c r="A319" s="113" t="s">
        <v>3711</v>
      </c>
      <c r="B319" s="114">
        <v>46104</v>
      </c>
      <c r="C319" s="115">
        <v>0.566921296296296</v>
      </c>
      <c r="D319" s="114">
        <v>46104</v>
      </c>
      <c r="E319" s="115">
        <v>0.568726851851852</v>
      </c>
      <c r="F319" s="116" t="s">
        <v>3712</v>
      </c>
      <c r="G319" s="114">
        <v>46027</v>
      </c>
      <c r="H319" s="116">
        <v>2566460744</v>
      </c>
      <c r="I319" s="116" t="s">
        <v>3713</v>
      </c>
      <c r="J319" s="116" t="s">
        <v>2226</v>
      </c>
      <c r="K319" s="116" t="s">
        <v>2566</v>
      </c>
      <c r="L319" s="116" t="s">
        <v>2567</v>
      </c>
      <c r="M319" s="116" t="s">
        <v>2331</v>
      </c>
      <c r="N319" s="116" t="s">
        <v>3714</v>
      </c>
      <c r="O319" s="119"/>
      <c r="P319" s="116">
        <v>4897211</v>
      </c>
      <c r="Q319" s="116" t="s">
        <v>2584</v>
      </c>
      <c r="R319" s="116" t="s">
        <v>2435</v>
      </c>
      <c r="S319" s="116" t="s">
        <v>2579</v>
      </c>
      <c r="T319" s="116">
        <v>883399.61</v>
      </c>
      <c r="U319" s="116">
        <v>789000</v>
      </c>
      <c r="V319" s="116" t="s">
        <v>2570</v>
      </c>
      <c r="W319" s="116">
        <v>261531000000000</v>
      </c>
      <c r="X319" s="114">
        <v>46104</v>
      </c>
      <c r="Y319" s="116">
        <v>2015608</v>
      </c>
      <c r="Z319" s="116" t="s">
        <v>3713</v>
      </c>
      <c r="AA319" s="116">
        <v>0.02</v>
      </c>
      <c r="AB319" s="119"/>
      <c r="AC319" s="119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22"/>
      <c r="AN319" s="116" t="s">
        <v>2346</v>
      </c>
      <c r="AO319" s="116" t="s">
        <v>2346</v>
      </c>
      <c r="AP319" s="116" t="s">
        <v>2659</v>
      </c>
    </row>
    <row r="320" spans="1:42">
      <c r="A320" s="113" t="s">
        <v>1061</v>
      </c>
      <c r="B320" s="114">
        <v>46104</v>
      </c>
      <c r="C320" s="115">
        <v>0.591527777777778</v>
      </c>
      <c r="D320" s="114">
        <v>46104</v>
      </c>
      <c r="E320" s="115">
        <v>0.593078703703704</v>
      </c>
      <c r="F320" s="116" t="s">
        <v>1057</v>
      </c>
      <c r="G320" s="114">
        <v>46071</v>
      </c>
      <c r="H320" s="116">
        <v>2567182039</v>
      </c>
      <c r="I320" s="116" t="s">
        <v>1062</v>
      </c>
      <c r="J320" s="116" t="s">
        <v>2162</v>
      </c>
      <c r="K320" s="116" t="s">
        <v>2692</v>
      </c>
      <c r="L320" s="116" t="s">
        <v>2693</v>
      </c>
      <c r="M320" s="116" t="s">
        <v>2331</v>
      </c>
      <c r="N320" s="116" t="s">
        <v>3715</v>
      </c>
      <c r="O320" s="119"/>
      <c r="P320" s="116" t="s">
        <v>1060</v>
      </c>
      <c r="Q320" s="116" t="s">
        <v>2343</v>
      </c>
      <c r="R320" s="116" t="s">
        <v>2344</v>
      </c>
      <c r="S320" s="116" t="s">
        <v>3716</v>
      </c>
      <c r="T320" s="116">
        <v>570900.18</v>
      </c>
      <c r="U320" s="116">
        <v>500000</v>
      </c>
      <c r="V320" s="116" t="s">
        <v>2696</v>
      </c>
      <c r="W320" s="116">
        <v>261507000000000</v>
      </c>
      <c r="X320" s="114">
        <v>46104</v>
      </c>
      <c r="Y320" s="116">
        <v>2035724</v>
      </c>
      <c r="Z320" s="116" t="s">
        <v>1062</v>
      </c>
      <c r="AA320" s="116">
        <v>-0.03</v>
      </c>
      <c r="AB320" s="119"/>
      <c r="AC320" s="119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22"/>
      <c r="AN320" s="116" t="s">
        <v>3591</v>
      </c>
      <c r="AO320" s="116" t="s">
        <v>2773</v>
      </c>
      <c r="AP320" s="116" t="s">
        <v>2593</v>
      </c>
    </row>
    <row r="321" spans="1:42">
      <c r="A321" s="113" t="s">
        <v>3717</v>
      </c>
      <c r="B321" s="114">
        <v>46104</v>
      </c>
      <c r="C321" s="115">
        <v>0.6</v>
      </c>
      <c r="D321" s="114">
        <v>46104</v>
      </c>
      <c r="E321" s="115">
        <v>0.600023148148148</v>
      </c>
      <c r="F321" s="116" t="s">
        <v>2487</v>
      </c>
      <c r="G321" s="114">
        <v>46076</v>
      </c>
      <c r="H321" s="116">
        <v>2567282743</v>
      </c>
      <c r="I321" s="116" t="s">
        <v>3718</v>
      </c>
      <c r="J321" s="116" t="s">
        <v>2222</v>
      </c>
      <c r="K321" s="116" t="s">
        <v>2357</v>
      </c>
      <c r="L321" s="116" t="s">
        <v>2358</v>
      </c>
      <c r="M321" s="116" t="s">
        <v>2331</v>
      </c>
      <c r="N321" s="116" t="s">
        <v>3719</v>
      </c>
      <c r="O321" s="119"/>
      <c r="P321" s="116">
        <v>7055422</v>
      </c>
      <c r="Q321" s="116" t="s">
        <v>2578</v>
      </c>
      <c r="R321" s="116" t="s">
        <v>2376</v>
      </c>
      <c r="S321" s="116" t="s">
        <v>2724</v>
      </c>
      <c r="T321" s="116">
        <v>950899.61</v>
      </c>
      <c r="U321" s="116">
        <v>800000</v>
      </c>
      <c r="V321" s="116" t="s">
        <v>2364</v>
      </c>
      <c r="W321" s="116">
        <v>261534000000000</v>
      </c>
      <c r="X321" s="114">
        <v>46104</v>
      </c>
      <c r="Y321" s="116">
        <v>2034772</v>
      </c>
      <c r="Z321" s="116" t="s">
        <v>3718</v>
      </c>
      <c r="AA321" s="116">
        <v>0.02</v>
      </c>
      <c r="AB321" s="119"/>
      <c r="AC321" s="119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22"/>
      <c r="AN321" s="116" t="s">
        <v>2815</v>
      </c>
      <c r="AO321" s="116" t="s">
        <v>2485</v>
      </c>
      <c r="AP321" s="116" t="s">
        <v>2367</v>
      </c>
    </row>
    <row r="322" spans="1:42">
      <c r="A322" s="113" t="s">
        <v>3720</v>
      </c>
      <c r="B322" s="114">
        <v>46104</v>
      </c>
      <c r="C322" s="115">
        <v>0.6025</v>
      </c>
      <c r="D322" s="114">
        <v>46104</v>
      </c>
      <c r="E322" s="115">
        <v>0.603483796296296</v>
      </c>
      <c r="F322" s="116" t="s">
        <v>3721</v>
      </c>
      <c r="G322" s="114">
        <v>46100</v>
      </c>
      <c r="H322" s="116">
        <v>2567687378</v>
      </c>
      <c r="I322" s="116" t="s">
        <v>3722</v>
      </c>
      <c r="J322" s="116" t="s">
        <v>2199</v>
      </c>
      <c r="K322" s="116" t="s">
        <v>2371</v>
      </c>
      <c r="L322" s="116" t="s">
        <v>2372</v>
      </c>
      <c r="M322" s="116" t="s">
        <v>2331</v>
      </c>
      <c r="N322" s="116" t="s">
        <v>3723</v>
      </c>
      <c r="O322" s="119"/>
      <c r="P322" s="116">
        <v>4892688</v>
      </c>
      <c r="Q322" s="116" t="s">
        <v>2702</v>
      </c>
      <c r="R322" s="116" t="s">
        <v>2530</v>
      </c>
      <c r="S322" s="116" t="s">
        <v>2426</v>
      </c>
      <c r="T322" s="116">
        <v>702999.89</v>
      </c>
      <c r="U322" s="116">
        <v>500000</v>
      </c>
      <c r="V322" s="116" t="s">
        <v>2378</v>
      </c>
      <c r="W322" s="116">
        <v>261502000000000</v>
      </c>
      <c r="X322" s="114">
        <v>46104</v>
      </c>
      <c r="Y322" s="116">
        <v>2046508</v>
      </c>
      <c r="Z322" s="116" t="s">
        <v>3722</v>
      </c>
      <c r="AA322" s="116">
        <v>-0.01</v>
      </c>
      <c r="AB322" s="119"/>
      <c r="AC322" s="119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22"/>
      <c r="AN322" s="116" t="s">
        <v>3586</v>
      </c>
      <c r="AO322" s="116" t="s">
        <v>2521</v>
      </c>
      <c r="AP322" s="116" t="s">
        <v>2522</v>
      </c>
    </row>
    <row r="323" spans="1:42">
      <c r="A323" s="113" t="s">
        <v>3724</v>
      </c>
      <c r="B323" s="114">
        <v>46104</v>
      </c>
      <c r="C323" s="115">
        <v>0.610844907407407</v>
      </c>
      <c r="D323" s="114">
        <v>46104</v>
      </c>
      <c r="E323" s="115">
        <v>0.613900462962963</v>
      </c>
      <c r="F323" s="116" t="s">
        <v>3725</v>
      </c>
      <c r="G323" s="114">
        <v>46051</v>
      </c>
      <c r="H323" s="116">
        <v>2566848609</v>
      </c>
      <c r="I323" s="116" t="s">
        <v>3726</v>
      </c>
      <c r="J323" s="116" t="s">
        <v>2222</v>
      </c>
      <c r="K323" s="116" t="s">
        <v>2357</v>
      </c>
      <c r="L323" s="116" t="s">
        <v>2358</v>
      </c>
      <c r="M323" s="116" t="s">
        <v>2331</v>
      </c>
      <c r="N323" s="116" t="s">
        <v>3727</v>
      </c>
      <c r="O323" s="119"/>
      <c r="P323" s="116">
        <v>7802590</v>
      </c>
      <c r="Q323" s="116" t="s">
        <v>2477</v>
      </c>
      <c r="R323" s="116" t="s">
        <v>2376</v>
      </c>
      <c r="S323" s="116" t="s">
        <v>2710</v>
      </c>
      <c r="T323" s="116">
        <v>786499.56</v>
      </c>
      <c r="U323" s="116">
        <v>700000</v>
      </c>
      <c r="V323" s="116" t="s">
        <v>2364</v>
      </c>
      <c r="W323" s="116">
        <v>261534000000000</v>
      </c>
      <c r="X323" s="114">
        <v>46104</v>
      </c>
      <c r="Y323" s="116">
        <v>2018581</v>
      </c>
      <c r="Z323" s="116" t="s">
        <v>3726</v>
      </c>
      <c r="AA323" s="116">
        <v>0.04</v>
      </c>
      <c r="AB323" s="119"/>
      <c r="AC323" s="119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22"/>
      <c r="AN323" s="116" t="s">
        <v>2815</v>
      </c>
      <c r="AO323" s="116" t="s">
        <v>2485</v>
      </c>
      <c r="AP323" s="116" t="s">
        <v>2367</v>
      </c>
    </row>
    <row r="324" spans="1:42">
      <c r="A324" s="113" t="s">
        <v>3728</v>
      </c>
      <c r="B324" s="114">
        <v>46104</v>
      </c>
      <c r="C324" s="115">
        <v>0.658958333333333</v>
      </c>
      <c r="D324" s="114">
        <v>46104</v>
      </c>
      <c r="E324" s="115">
        <v>0.659085648148148</v>
      </c>
      <c r="F324" s="116" t="s">
        <v>3729</v>
      </c>
      <c r="G324" s="114">
        <v>46095</v>
      </c>
      <c r="H324" s="116">
        <v>2567593952</v>
      </c>
      <c r="I324" s="116" t="s">
        <v>3730</v>
      </c>
      <c r="J324" s="116" t="s">
        <v>2213</v>
      </c>
      <c r="K324" s="116" t="s">
        <v>2454</v>
      </c>
      <c r="L324" s="116" t="s">
        <v>2455</v>
      </c>
      <c r="M324" s="116" t="s">
        <v>2331</v>
      </c>
      <c r="N324" s="116" t="s">
        <v>2656</v>
      </c>
      <c r="O324" s="119"/>
      <c r="P324" s="116" t="s">
        <v>2657</v>
      </c>
      <c r="Q324" s="116" t="s">
        <v>2334</v>
      </c>
      <c r="R324" s="116" t="s">
        <v>2335</v>
      </c>
      <c r="S324" s="116" t="s">
        <v>2658</v>
      </c>
      <c r="T324" s="116">
        <v>1074032.58</v>
      </c>
      <c r="U324" s="116">
        <v>1173400</v>
      </c>
      <c r="V324" s="116" t="s">
        <v>2460</v>
      </c>
      <c r="W324" s="116">
        <v>261532000000000</v>
      </c>
      <c r="X324" s="114">
        <v>46104</v>
      </c>
      <c r="Y324" s="116">
        <v>2045341</v>
      </c>
      <c r="Z324" s="116" t="s">
        <v>3730</v>
      </c>
      <c r="AA324" s="116">
        <v>-0.05</v>
      </c>
      <c r="AB324" s="119"/>
      <c r="AC324" s="119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22"/>
      <c r="AN324" s="116" t="s">
        <v>2346</v>
      </c>
      <c r="AO324" s="116" t="s">
        <v>2346</v>
      </c>
      <c r="AP324" s="116" t="s">
        <v>2659</v>
      </c>
    </row>
    <row r="325" spans="1:42">
      <c r="A325" s="113" t="s">
        <v>1066</v>
      </c>
      <c r="B325" s="114">
        <v>46104</v>
      </c>
      <c r="C325" s="115">
        <v>0.670416666666667</v>
      </c>
      <c r="D325" s="114">
        <v>46104</v>
      </c>
      <c r="E325" s="115">
        <v>0.673009259259259</v>
      </c>
      <c r="F325" s="116" t="s">
        <v>1063</v>
      </c>
      <c r="G325" s="114">
        <v>46087</v>
      </c>
      <c r="H325" s="116">
        <v>2567453130</v>
      </c>
      <c r="I325" s="116" t="s">
        <v>1067</v>
      </c>
      <c r="J325" s="116" t="s">
        <v>2168</v>
      </c>
      <c r="K325" s="116" t="s">
        <v>2760</v>
      </c>
      <c r="L325" s="116" t="s">
        <v>2761</v>
      </c>
      <c r="M325" s="116" t="s">
        <v>2331</v>
      </c>
      <c r="N325" s="116" t="s">
        <v>3731</v>
      </c>
      <c r="O325" s="119"/>
      <c r="P325" s="116">
        <v>9261213</v>
      </c>
      <c r="Q325" s="116" t="s">
        <v>3070</v>
      </c>
      <c r="R325" s="116" t="s">
        <v>2344</v>
      </c>
      <c r="S325" s="116" t="s">
        <v>3361</v>
      </c>
      <c r="T325" s="116">
        <v>554400.06</v>
      </c>
      <c r="U325" s="119"/>
      <c r="V325" s="116" t="s">
        <v>2766</v>
      </c>
      <c r="W325" s="116">
        <v>261518000000000</v>
      </c>
      <c r="X325" s="114">
        <v>46104</v>
      </c>
      <c r="Y325" s="116">
        <v>2041706</v>
      </c>
      <c r="Z325" s="116" t="s">
        <v>1067</v>
      </c>
      <c r="AA325" s="116">
        <v>0.02</v>
      </c>
      <c r="AB325" s="119"/>
      <c r="AC325" s="119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22"/>
      <c r="AN325" s="116" t="s">
        <v>3362</v>
      </c>
      <c r="AO325" s="116" t="s">
        <v>2346</v>
      </c>
      <c r="AP325" s="116" t="s">
        <v>2769</v>
      </c>
    </row>
    <row r="326" spans="1:42">
      <c r="A326" s="113" t="s">
        <v>3732</v>
      </c>
      <c r="B326" s="114">
        <v>46104</v>
      </c>
      <c r="C326" s="115">
        <v>0.679618055555556</v>
      </c>
      <c r="D326" s="114">
        <v>46104</v>
      </c>
      <c r="E326" s="115">
        <v>0.67994212962963</v>
      </c>
      <c r="F326" s="116" t="s">
        <v>3733</v>
      </c>
      <c r="G326" s="114">
        <v>46102</v>
      </c>
      <c r="H326" s="116">
        <v>2567726560</v>
      </c>
      <c r="I326" s="116" t="s">
        <v>3734</v>
      </c>
      <c r="J326" s="116" t="s">
        <v>2199</v>
      </c>
      <c r="K326" s="116" t="s">
        <v>2371</v>
      </c>
      <c r="L326" s="116" t="s">
        <v>2372</v>
      </c>
      <c r="M326" s="116" t="s">
        <v>2331</v>
      </c>
      <c r="N326" s="116" t="s">
        <v>3735</v>
      </c>
      <c r="O326" s="119"/>
      <c r="P326" s="116">
        <v>4892700</v>
      </c>
      <c r="Q326" s="116" t="s">
        <v>2529</v>
      </c>
      <c r="R326" s="116" t="s">
        <v>2435</v>
      </c>
      <c r="S326" s="116" t="s">
        <v>3736</v>
      </c>
      <c r="T326" s="116">
        <v>789899.72</v>
      </c>
      <c r="U326" s="116">
        <v>500000</v>
      </c>
      <c r="V326" s="116" t="s">
        <v>2378</v>
      </c>
      <c r="W326" s="116">
        <v>261502000000000</v>
      </c>
      <c r="X326" s="114">
        <v>46104</v>
      </c>
      <c r="Y326" s="116">
        <v>2047322</v>
      </c>
      <c r="Z326" s="116" t="s">
        <v>3734</v>
      </c>
      <c r="AA326" s="116">
        <v>0.03</v>
      </c>
      <c r="AB326" s="119"/>
      <c r="AC326" s="119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22"/>
      <c r="AN326" s="116" t="s">
        <v>3375</v>
      </c>
      <c r="AO326" s="116" t="s">
        <v>2845</v>
      </c>
      <c r="AP326" s="116" t="s">
        <v>2340</v>
      </c>
    </row>
    <row r="327" spans="1:42">
      <c r="A327" s="113" t="s">
        <v>3737</v>
      </c>
      <c r="B327" s="114">
        <v>46104</v>
      </c>
      <c r="C327" s="115">
        <v>0.698969907407407</v>
      </c>
      <c r="D327" s="114">
        <v>46104</v>
      </c>
      <c r="E327" s="115">
        <v>0.70068287037037</v>
      </c>
      <c r="F327" s="116" t="s">
        <v>3738</v>
      </c>
      <c r="G327" s="114">
        <v>46097</v>
      </c>
      <c r="H327" s="116">
        <v>2567620031</v>
      </c>
      <c r="I327" s="116" t="s">
        <v>3739</v>
      </c>
      <c r="J327" s="116" t="s">
        <v>2203</v>
      </c>
      <c r="K327" s="116" t="s">
        <v>2526</v>
      </c>
      <c r="L327" s="116" t="s">
        <v>2527</v>
      </c>
      <c r="M327" s="116" t="s">
        <v>2331</v>
      </c>
      <c r="N327" s="116" t="s">
        <v>3740</v>
      </c>
      <c r="O327" s="119"/>
      <c r="P327" s="116">
        <v>7731001</v>
      </c>
      <c r="Q327" s="116" t="s">
        <v>3080</v>
      </c>
      <c r="R327" s="116" t="s">
        <v>2585</v>
      </c>
      <c r="S327" s="116" t="s">
        <v>2940</v>
      </c>
      <c r="T327" s="116">
        <v>1095546.96</v>
      </c>
      <c r="U327" s="116">
        <v>500000</v>
      </c>
      <c r="V327" s="116" t="s">
        <v>2532</v>
      </c>
      <c r="W327" s="116">
        <v>261536000000000</v>
      </c>
      <c r="X327" s="114">
        <v>46105</v>
      </c>
      <c r="Y327" s="116">
        <v>2045223</v>
      </c>
      <c r="Z327" s="116" t="s">
        <v>3739</v>
      </c>
      <c r="AA327" s="116">
        <v>-0.07</v>
      </c>
      <c r="AB327" s="119"/>
      <c r="AC327" s="119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22"/>
      <c r="AN327" s="116" t="s">
        <v>3741</v>
      </c>
      <c r="AO327" s="116" t="s">
        <v>2346</v>
      </c>
      <c r="AP327" s="116" t="s">
        <v>2533</v>
      </c>
    </row>
    <row r="328" spans="1:42">
      <c r="A328" s="113" t="s">
        <v>3742</v>
      </c>
      <c r="B328" s="114">
        <v>46104</v>
      </c>
      <c r="C328" s="115">
        <v>0.711597222222222</v>
      </c>
      <c r="D328" s="114">
        <v>46104</v>
      </c>
      <c r="E328" s="115">
        <v>0.71462962962963</v>
      </c>
      <c r="F328" s="116" t="s">
        <v>3743</v>
      </c>
      <c r="G328" s="114">
        <v>46070</v>
      </c>
      <c r="H328" s="116">
        <v>2567188773</v>
      </c>
      <c r="I328" s="116" t="s">
        <v>3744</v>
      </c>
      <c r="J328" s="116" t="s">
        <v>2226</v>
      </c>
      <c r="K328" s="116" t="s">
        <v>2566</v>
      </c>
      <c r="L328" s="116" t="s">
        <v>2567</v>
      </c>
      <c r="M328" s="116" t="s">
        <v>2331</v>
      </c>
      <c r="N328" s="116" t="s">
        <v>3745</v>
      </c>
      <c r="O328" s="119"/>
      <c r="P328" s="116">
        <v>4898939</v>
      </c>
      <c r="Q328" s="116" t="s">
        <v>2529</v>
      </c>
      <c r="R328" s="116" t="s">
        <v>2335</v>
      </c>
      <c r="S328" s="116" t="s">
        <v>2996</v>
      </c>
      <c r="T328" s="116">
        <v>794899.84</v>
      </c>
      <c r="U328" s="116">
        <v>775000</v>
      </c>
      <c r="V328" s="116" t="s">
        <v>2570</v>
      </c>
      <c r="W328" s="116">
        <v>261531000000000</v>
      </c>
      <c r="X328" s="114">
        <v>46104</v>
      </c>
      <c r="Y328" s="116">
        <v>2035435</v>
      </c>
      <c r="Z328" s="116" t="s">
        <v>3744</v>
      </c>
      <c r="AA328" s="116">
        <v>0.02</v>
      </c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22"/>
      <c r="AN328" s="116" t="s">
        <v>2346</v>
      </c>
      <c r="AO328" s="116" t="s">
        <v>2346</v>
      </c>
      <c r="AP328" s="116" t="s">
        <v>2571</v>
      </c>
    </row>
    <row r="329" spans="1:42">
      <c r="A329" s="113" t="s">
        <v>3746</v>
      </c>
      <c r="B329" s="114">
        <v>46104</v>
      </c>
      <c r="C329" s="115">
        <v>0.712627314814815</v>
      </c>
      <c r="D329" s="114">
        <v>46104</v>
      </c>
      <c r="E329" s="115">
        <v>0.71462962962963</v>
      </c>
      <c r="F329" s="116" t="s">
        <v>3747</v>
      </c>
      <c r="G329" s="114">
        <v>46102</v>
      </c>
      <c r="H329" s="116">
        <v>2567762598</v>
      </c>
      <c r="I329" s="116" t="s">
        <v>3748</v>
      </c>
      <c r="J329" s="116" t="s">
        <v>2213</v>
      </c>
      <c r="K329" s="116" t="s">
        <v>2454</v>
      </c>
      <c r="L329" s="116" t="s">
        <v>2455</v>
      </c>
      <c r="M329" s="116" t="s">
        <v>2331</v>
      </c>
      <c r="N329" s="116" t="s">
        <v>3749</v>
      </c>
      <c r="O329" s="119"/>
      <c r="P329" s="116" t="s">
        <v>3750</v>
      </c>
      <c r="Q329" s="116" t="s">
        <v>3751</v>
      </c>
      <c r="R329" s="116" t="s">
        <v>2335</v>
      </c>
      <c r="S329" s="116" t="s">
        <v>3752</v>
      </c>
      <c r="T329" s="116">
        <v>747098.7</v>
      </c>
      <c r="U329" s="116">
        <v>762100</v>
      </c>
      <c r="V329" s="116" t="s">
        <v>2460</v>
      </c>
      <c r="W329" s="116">
        <v>261532000000000</v>
      </c>
      <c r="X329" s="114">
        <v>46104</v>
      </c>
      <c r="Y329" s="116">
        <v>2047553</v>
      </c>
      <c r="Z329" s="116" t="s">
        <v>3748</v>
      </c>
      <c r="AA329" s="116">
        <v>0.05</v>
      </c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22"/>
      <c r="AN329" s="116" t="s">
        <v>2346</v>
      </c>
      <c r="AO329" s="116" t="s">
        <v>2346</v>
      </c>
      <c r="AP329" s="116" t="s">
        <v>2659</v>
      </c>
    </row>
    <row r="330" spans="1:42">
      <c r="A330" s="113" t="s">
        <v>1039</v>
      </c>
      <c r="B330" s="114">
        <v>46104</v>
      </c>
      <c r="C330" s="115">
        <v>0.714363425925926</v>
      </c>
      <c r="D330" s="114">
        <v>46104</v>
      </c>
      <c r="E330" s="115">
        <v>0.71462962962963</v>
      </c>
      <c r="F330" s="116" t="s">
        <v>1035</v>
      </c>
      <c r="G330" s="114">
        <v>46102</v>
      </c>
      <c r="H330" s="116">
        <v>2567728060</v>
      </c>
      <c r="I330" s="116" t="s">
        <v>3753</v>
      </c>
      <c r="J330" s="116" t="s">
        <v>2141</v>
      </c>
      <c r="K330" s="116" t="s">
        <v>2329</v>
      </c>
      <c r="L330" s="116" t="s">
        <v>2330</v>
      </c>
      <c r="M330" s="116" t="s">
        <v>2331</v>
      </c>
      <c r="N330" s="116" t="s">
        <v>3754</v>
      </c>
      <c r="O330" s="119"/>
      <c r="P330" s="116" t="s">
        <v>1038</v>
      </c>
      <c r="Q330" s="116" t="s">
        <v>2548</v>
      </c>
      <c r="R330" s="116" t="s">
        <v>2458</v>
      </c>
      <c r="S330" s="116" t="s">
        <v>2771</v>
      </c>
      <c r="T330" s="116">
        <v>471400.4</v>
      </c>
      <c r="U330" s="116">
        <v>450000</v>
      </c>
      <c r="V330" s="116" t="s">
        <v>2337</v>
      </c>
      <c r="W330" s="116">
        <v>261501000000000</v>
      </c>
      <c r="X330" s="114">
        <v>46105</v>
      </c>
      <c r="Y330" s="116">
        <v>2031670</v>
      </c>
      <c r="Z330" s="116" t="s">
        <v>3753</v>
      </c>
      <c r="AA330" s="116">
        <v>-0.03</v>
      </c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22"/>
      <c r="AN330" s="116" t="s">
        <v>2346</v>
      </c>
      <c r="AO330" s="116" t="s">
        <v>2346</v>
      </c>
      <c r="AP330" s="116" t="s">
        <v>2347</v>
      </c>
    </row>
    <row r="331" spans="1:42">
      <c r="A331" s="113" t="s">
        <v>3755</v>
      </c>
      <c r="B331" s="114">
        <v>46104</v>
      </c>
      <c r="C331" s="115">
        <v>0.7203125</v>
      </c>
      <c r="D331" s="114">
        <v>46104</v>
      </c>
      <c r="E331" s="115">
        <v>0.721597222222222</v>
      </c>
      <c r="F331" s="116" t="s">
        <v>3756</v>
      </c>
      <c r="G331" s="114">
        <v>46018</v>
      </c>
      <c r="H331" s="116">
        <v>2566282511</v>
      </c>
      <c r="I331" s="116" t="s">
        <v>3757</v>
      </c>
      <c r="J331" s="116" t="s">
        <v>2199</v>
      </c>
      <c r="K331" s="116" t="s">
        <v>2371</v>
      </c>
      <c r="L331" s="116" t="s">
        <v>2372</v>
      </c>
      <c r="M331" s="116" t="s">
        <v>2331</v>
      </c>
      <c r="N331" s="116" t="s">
        <v>3758</v>
      </c>
      <c r="O331" s="119"/>
      <c r="P331" s="116">
        <v>7801645</v>
      </c>
      <c r="Q331" s="116" t="s">
        <v>2954</v>
      </c>
      <c r="R331" s="116" t="s">
        <v>2435</v>
      </c>
      <c r="S331" s="116" t="s">
        <v>2740</v>
      </c>
      <c r="T331" s="116">
        <v>833499.63</v>
      </c>
      <c r="U331" s="119"/>
      <c r="V331" s="116" t="s">
        <v>2378</v>
      </c>
      <c r="W331" s="116">
        <v>261502000000000</v>
      </c>
      <c r="X331" s="114">
        <v>46104</v>
      </c>
      <c r="Y331" s="116">
        <v>2012608</v>
      </c>
      <c r="Z331" s="116" t="s">
        <v>3757</v>
      </c>
      <c r="AA331" s="116">
        <v>-0.03</v>
      </c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22"/>
      <c r="AN331" s="116" t="s">
        <v>3759</v>
      </c>
      <c r="AO331" s="116" t="s">
        <v>2346</v>
      </c>
      <c r="AP331" s="116" t="s">
        <v>2340</v>
      </c>
    </row>
    <row r="332" spans="1:42">
      <c r="A332" s="113" t="s">
        <v>3760</v>
      </c>
      <c r="B332" s="114">
        <v>46104</v>
      </c>
      <c r="C332" s="115">
        <v>0.7209375</v>
      </c>
      <c r="D332" s="114">
        <v>46104</v>
      </c>
      <c r="E332" s="115">
        <v>0.721597222222222</v>
      </c>
      <c r="F332" s="116" t="s">
        <v>3761</v>
      </c>
      <c r="G332" s="114">
        <v>46039</v>
      </c>
      <c r="H332" s="116">
        <v>2566630416</v>
      </c>
      <c r="I332" s="116" t="s">
        <v>3762</v>
      </c>
      <c r="J332" s="116" t="s">
        <v>2222</v>
      </c>
      <c r="K332" s="116" t="s">
        <v>2357</v>
      </c>
      <c r="L332" s="116" t="s">
        <v>2358</v>
      </c>
      <c r="M332" s="116" t="s">
        <v>2331</v>
      </c>
      <c r="N332" s="116" t="s">
        <v>3763</v>
      </c>
      <c r="O332" s="119"/>
      <c r="P332" s="116">
        <v>4896100</v>
      </c>
      <c r="Q332" s="116" t="s">
        <v>2783</v>
      </c>
      <c r="R332" s="116" t="s">
        <v>2435</v>
      </c>
      <c r="S332" s="116" t="s">
        <v>2753</v>
      </c>
      <c r="T332" s="116">
        <v>650469.76</v>
      </c>
      <c r="U332" s="116">
        <v>625000</v>
      </c>
      <c r="V332" s="116" t="s">
        <v>2364</v>
      </c>
      <c r="W332" s="116">
        <v>261534000000000</v>
      </c>
      <c r="X332" s="114">
        <v>46104</v>
      </c>
      <c r="Y332" s="116">
        <v>2020941</v>
      </c>
      <c r="Z332" s="116" t="s">
        <v>3762</v>
      </c>
      <c r="AA332" s="116">
        <v>-0.02</v>
      </c>
      <c r="AB332" s="119"/>
      <c r="AC332" s="119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22"/>
      <c r="AN332" s="116" t="s">
        <v>2754</v>
      </c>
      <c r="AO332" s="116" t="s">
        <v>2471</v>
      </c>
      <c r="AP332" s="116" t="s">
        <v>2472</v>
      </c>
    </row>
    <row r="333" spans="1:42">
      <c r="A333" s="113" t="s">
        <v>1044</v>
      </c>
      <c r="B333" s="114">
        <v>46104</v>
      </c>
      <c r="C333" s="115">
        <v>0.72375</v>
      </c>
      <c r="D333" s="114">
        <v>46104</v>
      </c>
      <c r="E333" s="115">
        <v>0.728657407407407</v>
      </c>
      <c r="F333" s="116" t="s">
        <v>1041</v>
      </c>
      <c r="G333" s="114">
        <v>46094</v>
      </c>
      <c r="H333" s="116">
        <v>2567584362</v>
      </c>
      <c r="I333" s="116" t="s">
        <v>3764</v>
      </c>
      <c r="J333" s="116" t="s">
        <v>2141</v>
      </c>
      <c r="K333" s="116" t="s">
        <v>2329</v>
      </c>
      <c r="L333" s="116" t="s">
        <v>2330</v>
      </c>
      <c r="M333" s="116" t="s">
        <v>2331</v>
      </c>
      <c r="N333" s="116" t="s">
        <v>3765</v>
      </c>
      <c r="O333" s="119"/>
      <c r="P333" s="116">
        <v>1430866</v>
      </c>
      <c r="Q333" s="116" t="s">
        <v>2343</v>
      </c>
      <c r="R333" s="116" t="s">
        <v>2344</v>
      </c>
      <c r="S333" s="116" t="s">
        <v>2383</v>
      </c>
      <c r="T333" s="116">
        <v>570900.18</v>
      </c>
      <c r="U333" s="116">
        <v>550000</v>
      </c>
      <c r="V333" s="116" t="s">
        <v>2337</v>
      </c>
      <c r="W333" s="116">
        <v>261501000000000</v>
      </c>
      <c r="X333" s="114">
        <v>46105</v>
      </c>
      <c r="Y333" s="116">
        <v>2044369</v>
      </c>
      <c r="Z333" s="116" t="s">
        <v>3764</v>
      </c>
      <c r="AA333" s="116">
        <v>-0.03</v>
      </c>
      <c r="AB333" s="119"/>
      <c r="AC333" s="119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22"/>
      <c r="AN333" s="116" t="s">
        <v>2875</v>
      </c>
      <c r="AO333" s="116" t="s">
        <v>2392</v>
      </c>
      <c r="AP333" s="116" t="s">
        <v>2347</v>
      </c>
    </row>
    <row r="334" spans="1:42">
      <c r="A334" s="113" t="s">
        <v>3766</v>
      </c>
      <c r="B334" s="114">
        <v>46104</v>
      </c>
      <c r="C334" s="115">
        <v>0.726087962962963</v>
      </c>
      <c r="D334" s="114">
        <v>46104</v>
      </c>
      <c r="E334" s="115">
        <v>0.728657407407407</v>
      </c>
      <c r="F334" s="116" t="s">
        <v>3767</v>
      </c>
      <c r="G334" s="114">
        <v>46027</v>
      </c>
      <c r="H334" s="116">
        <v>2566459517</v>
      </c>
      <c r="I334" s="116" t="s">
        <v>3768</v>
      </c>
      <c r="J334" s="116" t="s">
        <v>2199</v>
      </c>
      <c r="K334" s="116" t="s">
        <v>2371</v>
      </c>
      <c r="L334" s="116" t="s">
        <v>2372</v>
      </c>
      <c r="M334" s="116" t="s">
        <v>2331</v>
      </c>
      <c r="N334" s="116" t="s">
        <v>3769</v>
      </c>
      <c r="O334" s="119"/>
      <c r="P334" s="116">
        <v>4894362</v>
      </c>
      <c r="Q334" s="116" t="s">
        <v>2702</v>
      </c>
      <c r="R334" s="116" t="s">
        <v>2435</v>
      </c>
      <c r="S334" s="116" t="s">
        <v>2426</v>
      </c>
      <c r="T334" s="116">
        <v>704899.91</v>
      </c>
      <c r="U334" s="116">
        <v>500000</v>
      </c>
      <c r="V334" s="116" t="s">
        <v>2378</v>
      </c>
      <c r="W334" s="116">
        <v>261502000000000</v>
      </c>
      <c r="X334" s="114">
        <v>46104</v>
      </c>
      <c r="Y334" s="116">
        <v>2015449</v>
      </c>
      <c r="Z334" s="116" t="s">
        <v>3768</v>
      </c>
      <c r="AA334" s="116">
        <v>0</v>
      </c>
      <c r="AB334" s="119"/>
      <c r="AC334" s="119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22"/>
      <c r="AN334" s="116" t="s">
        <v>3239</v>
      </c>
      <c r="AO334" s="116" t="s">
        <v>2521</v>
      </c>
      <c r="AP334" s="116" t="s">
        <v>2522</v>
      </c>
    </row>
    <row r="335" spans="1:42">
      <c r="A335" s="113" t="s">
        <v>3770</v>
      </c>
      <c r="B335" s="114">
        <v>46104</v>
      </c>
      <c r="C335" s="115">
        <v>0.74318287037037</v>
      </c>
      <c r="D335" s="114">
        <v>46104</v>
      </c>
      <c r="E335" s="115">
        <v>0.745925925925926</v>
      </c>
      <c r="F335" s="116" t="s">
        <v>3771</v>
      </c>
      <c r="G335" s="114">
        <v>46077</v>
      </c>
      <c r="H335" s="116">
        <v>2567309293</v>
      </c>
      <c r="I335" s="116" t="s">
        <v>3772</v>
      </c>
      <c r="J335" s="116" t="s">
        <v>2213</v>
      </c>
      <c r="K335" s="116" t="s">
        <v>2454</v>
      </c>
      <c r="L335" s="116" t="s">
        <v>2455</v>
      </c>
      <c r="M335" s="116" t="s">
        <v>2331</v>
      </c>
      <c r="N335" s="116" t="s">
        <v>3773</v>
      </c>
      <c r="O335" s="119"/>
      <c r="P335" s="116" t="s">
        <v>3774</v>
      </c>
      <c r="Q335" s="116" t="s">
        <v>3775</v>
      </c>
      <c r="R335" s="116" t="s">
        <v>2335</v>
      </c>
      <c r="S335" s="116" t="s">
        <v>3176</v>
      </c>
      <c r="T335" s="116">
        <v>1497729.48</v>
      </c>
      <c r="U335" s="116">
        <v>1600000</v>
      </c>
      <c r="V335" s="116" t="s">
        <v>2460</v>
      </c>
      <c r="W335" s="116">
        <v>261532000000000</v>
      </c>
      <c r="X335" s="114">
        <v>46104</v>
      </c>
      <c r="Y335" s="116">
        <v>1968363</v>
      </c>
      <c r="Z335" s="116" t="s">
        <v>3772</v>
      </c>
      <c r="AA335" s="116">
        <v>-0.09</v>
      </c>
      <c r="AB335" s="119"/>
      <c r="AC335" s="119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22"/>
      <c r="AN335" s="116" t="s">
        <v>2346</v>
      </c>
      <c r="AO335" s="116" t="s">
        <v>2346</v>
      </c>
      <c r="AP335" s="116" t="s">
        <v>2367</v>
      </c>
    </row>
    <row r="336" spans="1:42">
      <c r="A336" s="113" t="s">
        <v>1048</v>
      </c>
      <c r="B336" s="114">
        <v>46104</v>
      </c>
      <c r="C336" s="115">
        <v>0.747407407407407</v>
      </c>
      <c r="D336" s="114">
        <v>46104</v>
      </c>
      <c r="E336" s="115">
        <v>0.749421296296296</v>
      </c>
      <c r="F336" s="116" t="s">
        <v>1046</v>
      </c>
      <c r="G336" s="114">
        <v>46090</v>
      </c>
      <c r="H336" s="116">
        <v>2567470471</v>
      </c>
      <c r="I336" s="116" t="s">
        <v>3776</v>
      </c>
      <c r="J336" s="116" t="s">
        <v>2141</v>
      </c>
      <c r="K336" s="116" t="s">
        <v>2329</v>
      </c>
      <c r="L336" s="116" t="s">
        <v>2330</v>
      </c>
      <c r="M336" s="116" t="s">
        <v>2331</v>
      </c>
      <c r="N336" s="116" t="s">
        <v>3777</v>
      </c>
      <c r="O336" s="119"/>
      <c r="P336" s="116">
        <v>1433199</v>
      </c>
      <c r="Q336" s="116" t="s">
        <v>3778</v>
      </c>
      <c r="R336" s="116" t="s">
        <v>2538</v>
      </c>
      <c r="S336" s="116" t="s">
        <v>2791</v>
      </c>
      <c r="T336" s="116">
        <v>645799.53</v>
      </c>
      <c r="U336" s="116">
        <v>450000</v>
      </c>
      <c r="V336" s="116" t="s">
        <v>2337</v>
      </c>
      <c r="W336" s="116">
        <v>261501000000000</v>
      </c>
      <c r="X336" s="114">
        <v>46105</v>
      </c>
      <c r="Y336" s="116">
        <v>2042653</v>
      </c>
      <c r="Z336" s="116" t="s">
        <v>3776</v>
      </c>
      <c r="AA336" s="116">
        <v>0.01</v>
      </c>
      <c r="AB336" s="119"/>
      <c r="AC336" s="119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22"/>
      <c r="AN336" s="116" t="s">
        <v>2792</v>
      </c>
      <c r="AO336" s="116" t="s">
        <v>69</v>
      </c>
      <c r="AP336" s="116" t="s">
        <v>2340</v>
      </c>
    </row>
    <row r="337" spans="1:42">
      <c r="A337" s="113" t="s">
        <v>3779</v>
      </c>
      <c r="B337" s="114">
        <v>46104</v>
      </c>
      <c r="C337" s="115">
        <v>0.748171296296296</v>
      </c>
      <c r="D337" s="114">
        <v>46104</v>
      </c>
      <c r="E337" s="115">
        <v>0.749421296296296</v>
      </c>
      <c r="F337" s="116" t="s">
        <v>607</v>
      </c>
      <c r="G337" s="114">
        <v>46049</v>
      </c>
      <c r="H337" s="116">
        <v>2566798709</v>
      </c>
      <c r="I337" s="116" t="s">
        <v>3780</v>
      </c>
      <c r="J337" s="116" t="s">
        <v>2199</v>
      </c>
      <c r="K337" s="116" t="s">
        <v>2371</v>
      </c>
      <c r="L337" s="116" t="s">
        <v>2372</v>
      </c>
      <c r="M337" s="116" t="s">
        <v>2331</v>
      </c>
      <c r="N337" s="116" t="s">
        <v>3781</v>
      </c>
      <c r="O337" s="119"/>
      <c r="P337" s="116">
        <v>7804325</v>
      </c>
      <c r="Q337" s="116" t="s">
        <v>2954</v>
      </c>
      <c r="R337" s="116" t="s">
        <v>2585</v>
      </c>
      <c r="S337" s="116" t="s">
        <v>2856</v>
      </c>
      <c r="T337" s="116">
        <v>844499.67</v>
      </c>
      <c r="U337" s="116">
        <v>500000</v>
      </c>
      <c r="V337" s="116" t="s">
        <v>2378</v>
      </c>
      <c r="W337" s="116">
        <v>261502000000000</v>
      </c>
      <c r="X337" s="114">
        <v>46104</v>
      </c>
      <c r="Y337" s="116">
        <v>2025574</v>
      </c>
      <c r="Z337" s="116" t="s">
        <v>3780</v>
      </c>
      <c r="AA337" s="116">
        <v>0.02</v>
      </c>
      <c r="AB337" s="119"/>
      <c r="AC337" s="119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22"/>
      <c r="AN337" s="116" t="s">
        <v>2857</v>
      </c>
      <c r="AO337" s="116" t="s">
        <v>2380</v>
      </c>
      <c r="AP337" s="116" t="s">
        <v>2340</v>
      </c>
    </row>
    <row r="338" spans="1:42">
      <c r="A338" s="113" t="s">
        <v>1055</v>
      </c>
      <c r="B338" s="114">
        <v>46104</v>
      </c>
      <c r="C338" s="115">
        <v>0.750694444444444</v>
      </c>
      <c r="D338" s="114">
        <v>46104</v>
      </c>
      <c r="E338" s="115">
        <v>0.759930555555556</v>
      </c>
      <c r="F338" s="116" t="s">
        <v>1051</v>
      </c>
      <c r="G338" s="114">
        <v>46093</v>
      </c>
      <c r="H338" s="116">
        <v>2567565319</v>
      </c>
      <c r="I338" s="116" t="s">
        <v>1056</v>
      </c>
      <c r="J338" s="116" t="s">
        <v>2141</v>
      </c>
      <c r="K338" s="116" t="s">
        <v>2329</v>
      </c>
      <c r="L338" s="116" t="s">
        <v>2330</v>
      </c>
      <c r="M338" s="116" t="s">
        <v>2331</v>
      </c>
      <c r="N338" s="116" t="s">
        <v>3530</v>
      </c>
      <c r="O338" s="119"/>
      <c r="P338" s="116" t="s">
        <v>1054</v>
      </c>
      <c r="Q338" s="116" t="s">
        <v>2548</v>
      </c>
      <c r="R338" s="116" t="s">
        <v>2344</v>
      </c>
      <c r="S338" s="116" t="s">
        <v>2627</v>
      </c>
      <c r="T338" s="116">
        <v>476900.38</v>
      </c>
      <c r="U338" s="119"/>
      <c r="V338" s="116" t="s">
        <v>2337</v>
      </c>
      <c r="W338" s="116">
        <v>261501000000000</v>
      </c>
      <c r="X338" s="114">
        <v>46105</v>
      </c>
      <c r="Y338" s="116">
        <v>1676689</v>
      </c>
      <c r="Z338" s="116" t="s">
        <v>1056</v>
      </c>
      <c r="AA338" s="116">
        <v>-0.06</v>
      </c>
      <c r="AB338" s="119"/>
      <c r="AC338" s="119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22"/>
      <c r="AN338" s="116" t="s">
        <v>2628</v>
      </c>
      <c r="AO338" s="116" t="s">
        <v>2428</v>
      </c>
      <c r="AP338" s="116" t="s">
        <v>2429</v>
      </c>
    </row>
    <row r="339" spans="1:42">
      <c r="A339" s="113" t="s">
        <v>3782</v>
      </c>
      <c r="B339" s="114">
        <v>46104</v>
      </c>
      <c r="C339" s="115">
        <v>0.786527777777778</v>
      </c>
      <c r="D339" s="114">
        <v>46104</v>
      </c>
      <c r="E339" s="115">
        <v>0.792905092592593</v>
      </c>
      <c r="F339" s="116" t="s">
        <v>3783</v>
      </c>
      <c r="G339" s="114">
        <v>46036</v>
      </c>
      <c r="H339" s="116">
        <v>2566588862</v>
      </c>
      <c r="I339" s="116" t="s">
        <v>3784</v>
      </c>
      <c r="J339" s="116" t="s">
        <v>2199</v>
      </c>
      <c r="K339" s="116" t="s">
        <v>2371</v>
      </c>
      <c r="L339" s="116" t="s">
        <v>2372</v>
      </c>
      <c r="M339" s="116" t="s">
        <v>2331</v>
      </c>
      <c r="N339" s="116" t="s">
        <v>3785</v>
      </c>
      <c r="O339" s="119"/>
      <c r="P339" s="116">
        <v>7801738</v>
      </c>
      <c r="Q339" s="116" t="s">
        <v>2954</v>
      </c>
      <c r="R339" s="116" t="s">
        <v>2585</v>
      </c>
      <c r="S339" s="116" t="s">
        <v>3082</v>
      </c>
      <c r="T339" s="116">
        <v>835499.66</v>
      </c>
      <c r="U339" s="116">
        <v>500000</v>
      </c>
      <c r="V339" s="116" t="s">
        <v>2378</v>
      </c>
      <c r="W339" s="116">
        <v>261502000000000</v>
      </c>
      <c r="X339" s="114">
        <v>46105</v>
      </c>
      <c r="Y339" s="116">
        <v>2019963</v>
      </c>
      <c r="Z339" s="116" t="s">
        <v>3784</v>
      </c>
      <c r="AA339" s="116">
        <v>0.01</v>
      </c>
      <c r="AB339" s="119"/>
      <c r="AC339" s="119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22"/>
      <c r="AN339" s="116" t="s">
        <v>3589</v>
      </c>
      <c r="AO339" s="116" t="s">
        <v>2561</v>
      </c>
      <c r="AP339" s="116" t="s">
        <v>2562</v>
      </c>
    </row>
    <row r="340" spans="1:42">
      <c r="A340" s="109" t="s">
        <v>3786</v>
      </c>
      <c r="B340" s="110">
        <v>46105</v>
      </c>
      <c r="C340" s="111">
        <v>0.415046296296296</v>
      </c>
      <c r="D340" s="110">
        <v>46105</v>
      </c>
      <c r="E340" s="111">
        <v>0.416099537037037</v>
      </c>
      <c r="F340" s="112" t="s">
        <v>3787</v>
      </c>
      <c r="G340" s="110">
        <v>46081</v>
      </c>
      <c r="H340" s="112">
        <v>2567604390</v>
      </c>
      <c r="I340" s="118"/>
      <c r="J340" s="112" t="s">
        <v>3227</v>
      </c>
      <c r="K340" s="112" t="s">
        <v>3228</v>
      </c>
      <c r="L340" s="112" t="s">
        <v>3229</v>
      </c>
      <c r="M340" s="112" t="s">
        <v>2331</v>
      </c>
      <c r="N340" s="112" t="s">
        <v>3788</v>
      </c>
      <c r="O340" s="118"/>
      <c r="P340" s="112">
        <v>4594051</v>
      </c>
      <c r="Q340" s="112" t="s">
        <v>3231</v>
      </c>
      <c r="R340" s="112" t="s">
        <v>2984</v>
      </c>
      <c r="S340" s="112" t="s">
        <v>3232</v>
      </c>
      <c r="T340" s="112">
        <v>540401.41</v>
      </c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  <c r="AL340" s="118"/>
      <c r="AM340" s="121"/>
      <c r="AN340" s="112" t="s">
        <v>2346</v>
      </c>
      <c r="AO340" s="112" t="s">
        <v>2346</v>
      </c>
      <c r="AP340" s="124"/>
    </row>
    <row r="341" spans="1:42">
      <c r="A341" s="113" t="s">
        <v>3789</v>
      </c>
      <c r="B341" s="114">
        <v>46105</v>
      </c>
      <c r="C341" s="115">
        <v>0.422939814814815</v>
      </c>
      <c r="D341" s="114">
        <v>46105</v>
      </c>
      <c r="E341" s="115">
        <v>0.423043981481481</v>
      </c>
      <c r="F341" s="116" t="s">
        <v>3790</v>
      </c>
      <c r="G341" s="114">
        <v>46081</v>
      </c>
      <c r="H341" s="116">
        <v>2567603730</v>
      </c>
      <c r="I341" s="119"/>
      <c r="J341" s="116" t="s">
        <v>3227</v>
      </c>
      <c r="K341" s="116" t="s">
        <v>3228</v>
      </c>
      <c r="L341" s="116" t="s">
        <v>3229</v>
      </c>
      <c r="M341" s="116" t="s">
        <v>2331</v>
      </c>
      <c r="N341" s="116" t="s">
        <v>3791</v>
      </c>
      <c r="O341" s="119"/>
      <c r="P341" s="116">
        <v>4594111</v>
      </c>
      <c r="Q341" s="116" t="s">
        <v>3231</v>
      </c>
      <c r="R341" s="116" t="s">
        <v>2984</v>
      </c>
      <c r="S341" s="116" t="s">
        <v>3232</v>
      </c>
      <c r="T341" s="116">
        <v>540401.41</v>
      </c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22"/>
      <c r="AN341" s="116" t="s">
        <v>2346</v>
      </c>
      <c r="AO341" s="116" t="s">
        <v>2346</v>
      </c>
      <c r="AP341" s="123"/>
    </row>
    <row r="342" spans="1:42">
      <c r="A342" s="113" t="s">
        <v>3792</v>
      </c>
      <c r="B342" s="114">
        <v>46105</v>
      </c>
      <c r="C342" s="115">
        <v>0.479965277777778</v>
      </c>
      <c r="D342" s="114">
        <v>46105</v>
      </c>
      <c r="E342" s="115">
        <v>0.482025462962963</v>
      </c>
      <c r="F342" s="116" t="s">
        <v>3771</v>
      </c>
      <c r="G342" s="114">
        <v>46077</v>
      </c>
      <c r="H342" s="116">
        <v>2567309293</v>
      </c>
      <c r="I342" s="116" t="s">
        <v>3772</v>
      </c>
      <c r="J342" s="116" t="s">
        <v>2213</v>
      </c>
      <c r="K342" s="116" t="s">
        <v>2454</v>
      </c>
      <c r="L342" s="116" t="s">
        <v>2455</v>
      </c>
      <c r="M342" s="116" t="s">
        <v>2331</v>
      </c>
      <c r="N342" s="116" t="s">
        <v>3773</v>
      </c>
      <c r="O342" s="119"/>
      <c r="P342" s="116" t="s">
        <v>3774</v>
      </c>
      <c r="Q342" s="116" t="s">
        <v>3775</v>
      </c>
      <c r="R342" s="116" t="s">
        <v>2335</v>
      </c>
      <c r="S342" s="116" t="s">
        <v>2826</v>
      </c>
      <c r="T342" s="116">
        <v>1497729.48</v>
      </c>
      <c r="U342" s="116">
        <v>1500000</v>
      </c>
      <c r="V342" s="116" t="s">
        <v>2460</v>
      </c>
      <c r="W342" s="116">
        <v>261532000000000</v>
      </c>
      <c r="X342" s="114">
        <v>46105</v>
      </c>
      <c r="Y342" s="116">
        <v>1968363</v>
      </c>
      <c r="Z342" s="116" t="s">
        <v>3772</v>
      </c>
      <c r="AA342" s="116">
        <v>-0.09</v>
      </c>
      <c r="AB342" s="119"/>
      <c r="AC342" s="119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22"/>
      <c r="AN342" s="116" t="s">
        <v>2346</v>
      </c>
      <c r="AO342" s="116" t="s">
        <v>2346</v>
      </c>
      <c r="AP342" s="116" t="s">
        <v>2367</v>
      </c>
    </row>
    <row r="343" spans="1:42">
      <c r="A343" s="113" t="s">
        <v>3793</v>
      </c>
      <c r="B343" s="114">
        <v>46105</v>
      </c>
      <c r="C343" s="115">
        <v>0.521493055555556</v>
      </c>
      <c r="D343" s="114">
        <v>46105</v>
      </c>
      <c r="E343" s="115">
        <v>0.523726851851852</v>
      </c>
      <c r="F343" s="116" t="s">
        <v>3794</v>
      </c>
      <c r="G343" s="114">
        <v>46070</v>
      </c>
      <c r="H343" s="116">
        <v>2567179633</v>
      </c>
      <c r="I343" s="116" t="s">
        <v>3795</v>
      </c>
      <c r="J343" s="116" t="s">
        <v>2222</v>
      </c>
      <c r="K343" s="116" t="s">
        <v>2357</v>
      </c>
      <c r="L343" s="116" t="s">
        <v>2358</v>
      </c>
      <c r="M343" s="116" t="s">
        <v>2331</v>
      </c>
      <c r="N343" s="116" t="s">
        <v>3796</v>
      </c>
      <c r="O343" s="119"/>
      <c r="P343" s="116">
        <v>4893401</v>
      </c>
      <c r="Q343" s="116" t="s">
        <v>2759</v>
      </c>
      <c r="R343" s="116" t="s">
        <v>2530</v>
      </c>
      <c r="S343" s="116" t="s">
        <v>2831</v>
      </c>
      <c r="T343" s="116">
        <v>578899.89</v>
      </c>
      <c r="U343" s="116">
        <v>500000</v>
      </c>
      <c r="V343" s="116" t="s">
        <v>2364</v>
      </c>
      <c r="W343" s="116">
        <v>261534000000000</v>
      </c>
      <c r="X343" s="114">
        <v>46105</v>
      </c>
      <c r="Y343" s="116">
        <v>2035409</v>
      </c>
      <c r="Z343" s="116" t="s">
        <v>3795</v>
      </c>
      <c r="AA343" s="116">
        <v>0.02</v>
      </c>
      <c r="AB343" s="119"/>
      <c r="AC343" s="119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22"/>
      <c r="AN343" s="116" t="s">
        <v>2920</v>
      </c>
      <c r="AO343" s="116" t="s">
        <v>2833</v>
      </c>
      <c r="AP343" s="116" t="s">
        <v>2367</v>
      </c>
    </row>
    <row r="344" spans="1:42">
      <c r="A344" s="113" t="s">
        <v>3797</v>
      </c>
      <c r="B344" s="114">
        <v>46105</v>
      </c>
      <c r="C344" s="115">
        <v>0.529884259259259</v>
      </c>
      <c r="D344" s="114">
        <v>46105</v>
      </c>
      <c r="E344" s="115">
        <v>0.530694444444444</v>
      </c>
      <c r="F344" s="116" t="s">
        <v>3798</v>
      </c>
      <c r="G344" s="114">
        <v>46091</v>
      </c>
      <c r="H344" s="116">
        <v>2567518075</v>
      </c>
      <c r="I344" s="116" t="s">
        <v>3799</v>
      </c>
      <c r="J344" s="116" t="s">
        <v>2222</v>
      </c>
      <c r="K344" s="116" t="s">
        <v>2357</v>
      </c>
      <c r="L344" s="116" t="s">
        <v>2358</v>
      </c>
      <c r="M344" s="116" t="s">
        <v>2331</v>
      </c>
      <c r="N344" s="116" t="s">
        <v>3800</v>
      </c>
      <c r="O344" s="119"/>
      <c r="P344" s="116">
        <v>4893172</v>
      </c>
      <c r="Q344" s="116" t="s">
        <v>2759</v>
      </c>
      <c r="R344" s="116" t="s">
        <v>2435</v>
      </c>
      <c r="S344" s="116" t="s">
        <v>3454</v>
      </c>
      <c r="T344" s="116">
        <v>576799.95</v>
      </c>
      <c r="U344" s="116">
        <v>650000</v>
      </c>
      <c r="V344" s="116" t="s">
        <v>2364</v>
      </c>
      <c r="W344" s="116">
        <v>261534000000000</v>
      </c>
      <c r="X344" s="114">
        <v>46105</v>
      </c>
      <c r="Y344" s="116">
        <v>2043209</v>
      </c>
      <c r="Z344" s="116" t="s">
        <v>3799</v>
      </c>
      <c r="AA344" s="116">
        <v>0</v>
      </c>
      <c r="AB344" s="119"/>
      <c r="AC344" s="119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22"/>
      <c r="AN344" s="116" t="s">
        <v>3801</v>
      </c>
      <c r="AO344" s="116" t="s">
        <v>2408</v>
      </c>
      <c r="AP344" s="116" t="s">
        <v>2367</v>
      </c>
    </row>
    <row r="345" spans="1:42">
      <c r="A345" s="113" t="s">
        <v>3802</v>
      </c>
      <c r="B345" s="114">
        <v>46105</v>
      </c>
      <c r="C345" s="115">
        <v>0.619918981481482</v>
      </c>
      <c r="D345" s="114">
        <v>46105</v>
      </c>
      <c r="E345" s="115">
        <v>0.620972222222222</v>
      </c>
      <c r="F345" s="116" t="s">
        <v>3803</v>
      </c>
      <c r="G345" s="114">
        <v>46094</v>
      </c>
      <c r="H345" s="116">
        <v>2567576397</v>
      </c>
      <c r="I345" s="116" t="s">
        <v>3804</v>
      </c>
      <c r="J345" s="116" t="s">
        <v>2222</v>
      </c>
      <c r="K345" s="116" t="s">
        <v>2357</v>
      </c>
      <c r="L345" s="116" t="s">
        <v>2358</v>
      </c>
      <c r="M345" s="116" t="s">
        <v>2331</v>
      </c>
      <c r="N345" s="116" t="s">
        <v>3805</v>
      </c>
      <c r="O345" s="119"/>
      <c r="P345" s="116">
        <v>7933606</v>
      </c>
      <c r="Q345" s="116" t="s">
        <v>3080</v>
      </c>
      <c r="R345" s="116" t="s">
        <v>3081</v>
      </c>
      <c r="S345" s="116" t="s">
        <v>3265</v>
      </c>
      <c r="T345" s="116">
        <v>1141905.99</v>
      </c>
      <c r="U345" s="116">
        <v>999700</v>
      </c>
      <c r="V345" s="116" t="s">
        <v>2364</v>
      </c>
      <c r="W345" s="116">
        <v>261534000000000</v>
      </c>
      <c r="X345" s="114">
        <v>46105</v>
      </c>
      <c r="Y345" s="116">
        <v>2044239</v>
      </c>
      <c r="Z345" s="116" t="s">
        <v>3804</v>
      </c>
      <c r="AA345" s="116">
        <v>-0.01</v>
      </c>
      <c r="AB345" s="119"/>
      <c r="AC345" s="119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22"/>
      <c r="AN345" s="116" t="s">
        <v>2635</v>
      </c>
      <c r="AO345" s="116" t="s">
        <v>2636</v>
      </c>
      <c r="AP345" s="116" t="s">
        <v>2367</v>
      </c>
    </row>
    <row r="346" spans="1:42">
      <c r="A346" s="113" t="s">
        <v>1081</v>
      </c>
      <c r="B346" s="114">
        <v>46105</v>
      </c>
      <c r="C346" s="115">
        <v>0.624664351851852</v>
      </c>
      <c r="D346" s="114">
        <v>46105</v>
      </c>
      <c r="E346" s="115">
        <v>0.627905092592593</v>
      </c>
      <c r="F346" s="116" t="s">
        <v>1079</v>
      </c>
      <c r="G346" s="114">
        <v>46094</v>
      </c>
      <c r="H346" s="116">
        <v>2567591514</v>
      </c>
      <c r="I346" s="116" t="s">
        <v>3806</v>
      </c>
      <c r="J346" s="116" t="s">
        <v>2175</v>
      </c>
      <c r="K346" s="116" t="s">
        <v>2742</v>
      </c>
      <c r="L346" s="116" t="s">
        <v>2743</v>
      </c>
      <c r="M346" s="116" t="s">
        <v>2331</v>
      </c>
      <c r="N346" s="116" t="s">
        <v>3807</v>
      </c>
      <c r="O346" s="119"/>
      <c r="P346" s="116">
        <v>1427903</v>
      </c>
      <c r="Q346" s="116" t="s">
        <v>2517</v>
      </c>
      <c r="R346" s="116" t="s">
        <v>2518</v>
      </c>
      <c r="S346" s="116" t="s">
        <v>3808</v>
      </c>
      <c r="T346" s="116">
        <v>374799.58</v>
      </c>
      <c r="U346" s="116">
        <v>462746</v>
      </c>
      <c r="V346" s="116" t="s">
        <v>2747</v>
      </c>
      <c r="W346" s="116">
        <v>261533000000000</v>
      </c>
      <c r="X346" s="114">
        <v>46105</v>
      </c>
      <c r="Y346" s="116">
        <v>2044479</v>
      </c>
      <c r="Z346" s="116" t="s">
        <v>3806</v>
      </c>
      <c r="AA346" s="116">
        <v>-0.02</v>
      </c>
      <c r="AB346" s="119"/>
      <c r="AC346" s="119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22"/>
      <c r="AN346" s="116" t="s">
        <v>3586</v>
      </c>
      <c r="AO346" s="116" t="s">
        <v>2521</v>
      </c>
      <c r="AP346" s="116" t="s">
        <v>2472</v>
      </c>
    </row>
    <row r="347" spans="1:42">
      <c r="A347" s="113" t="s">
        <v>1133</v>
      </c>
      <c r="B347" s="114">
        <v>46105</v>
      </c>
      <c r="C347" s="115">
        <v>0.625613425925926</v>
      </c>
      <c r="D347" s="114">
        <v>46105</v>
      </c>
      <c r="E347" s="115">
        <v>0.627905092592593</v>
      </c>
      <c r="F347" s="116" t="s">
        <v>1131</v>
      </c>
      <c r="G347" s="114">
        <v>46064</v>
      </c>
      <c r="H347" s="116">
        <v>2567081425</v>
      </c>
      <c r="I347" s="116" t="s">
        <v>1134</v>
      </c>
      <c r="J347" s="116" t="s">
        <v>2168</v>
      </c>
      <c r="K347" s="116" t="s">
        <v>2760</v>
      </c>
      <c r="L347" s="116" t="s">
        <v>2761</v>
      </c>
      <c r="M347" s="116" t="s">
        <v>2331</v>
      </c>
      <c r="N347" s="116" t="s">
        <v>3809</v>
      </c>
      <c r="O347" s="119"/>
      <c r="P347" s="116">
        <v>1432674</v>
      </c>
      <c r="Q347" s="116" t="s">
        <v>2537</v>
      </c>
      <c r="R347" s="116" t="s">
        <v>2538</v>
      </c>
      <c r="S347" s="116" t="s">
        <v>3810</v>
      </c>
      <c r="T347" s="116">
        <v>432900.65</v>
      </c>
      <c r="U347" s="116">
        <v>480000</v>
      </c>
      <c r="V347" s="116" t="s">
        <v>2766</v>
      </c>
      <c r="W347" s="116">
        <v>261518000000000</v>
      </c>
      <c r="X347" s="114">
        <v>46105</v>
      </c>
      <c r="Y347" s="116">
        <v>2033421</v>
      </c>
      <c r="Z347" s="116" t="s">
        <v>1134</v>
      </c>
      <c r="AA347" s="116">
        <v>-0.02</v>
      </c>
      <c r="AB347" s="119"/>
      <c r="AC347" s="119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22"/>
      <c r="AN347" s="116" t="s">
        <v>3097</v>
      </c>
      <c r="AO347" s="116" t="s">
        <v>2768</v>
      </c>
      <c r="AP347" s="116" t="s">
        <v>2769</v>
      </c>
    </row>
    <row r="348" spans="1:42">
      <c r="A348" s="113" t="s">
        <v>1087</v>
      </c>
      <c r="B348" s="114">
        <v>46105</v>
      </c>
      <c r="C348" s="115">
        <v>0.631030092592593</v>
      </c>
      <c r="D348" s="114">
        <v>46105</v>
      </c>
      <c r="E348" s="115">
        <v>0.631446759259259</v>
      </c>
      <c r="F348" s="116" t="s">
        <v>1084</v>
      </c>
      <c r="G348" s="114">
        <v>46104</v>
      </c>
      <c r="H348" s="116">
        <v>2567762057</v>
      </c>
      <c r="I348" s="116" t="s">
        <v>3031</v>
      </c>
      <c r="J348" s="116" t="s">
        <v>2141</v>
      </c>
      <c r="K348" s="116" t="s">
        <v>2329</v>
      </c>
      <c r="L348" s="116" t="s">
        <v>2330</v>
      </c>
      <c r="M348" s="116" t="s">
        <v>2331</v>
      </c>
      <c r="N348" s="116" t="s">
        <v>3811</v>
      </c>
      <c r="O348" s="119"/>
      <c r="P348" s="116" t="s">
        <v>1086</v>
      </c>
      <c r="Q348" s="116" t="s">
        <v>3045</v>
      </c>
      <c r="R348" s="116" t="s">
        <v>2335</v>
      </c>
      <c r="S348" s="116" t="s">
        <v>2399</v>
      </c>
      <c r="T348" s="116">
        <v>1295099.46</v>
      </c>
      <c r="U348" s="116">
        <v>74142</v>
      </c>
      <c r="V348" s="116" t="s">
        <v>2337</v>
      </c>
      <c r="W348" s="116">
        <v>261501000000000</v>
      </c>
      <c r="X348" s="114">
        <v>46105</v>
      </c>
      <c r="Y348" s="116">
        <v>1031003</v>
      </c>
      <c r="Z348" s="116" t="s">
        <v>3031</v>
      </c>
      <c r="AA348" s="116">
        <v>0</v>
      </c>
      <c r="AB348" s="119"/>
      <c r="AC348" s="119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22"/>
      <c r="AN348" s="116" t="s">
        <v>3812</v>
      </c>
      <c r="AO348" s="116" t="s">
        <v>2346</v>
      </c>
      <c r="AP348" s="116" t="s">
        <v>2340</v>
      </c>
    </row>
    <row r="349" spans="1:42">
      <c r="A349" s="113" t="s">
        <v>3813</v>
      </c>
      <c r="B349" s="114">
        <v>46105</v>
      </c>
      <c r="C349" s="115">
        <v>0.639108796296296</v>
      </c>
      <c r="D349" s="114">
        <v>46105</v>
      </c>
      <c r="E349" s="115">
        <v>0.641782407407407</v>
      </c>
      <c r="F349" s="116" t="s">
        <v>3814</v>
      </c>
      <c r="G349" s="114">
        <v>46099</v>
      </c>
      <c r="H349" s="116">
        <v>2567665855</v>
      </c>
      <c r="I349" s="116" t="s">
        <v>3815</v>
      </c>
      <c r="J349" s="116" t="s">
        <v>2203</v>
      </c>
      <c r="K349" s="116" t="s">
        <v>2526</v>
      </c>
      <c r="L349" s="116" t="s">
        <v>2527</v>
      </c>
      <c r="M349" s="116" t="s">
        <v>2331</v>
      </c>
      <c r="N349" s="116" t="s">
        <v>3816</v>
      </c>
      <c r="O349" s="119"/>
      <c r="P349" s="116">
        <v>4889872</v>
      </c>
      <c r="Q349" s="116" t="s">
        <v>3817</v>
      </c>
      <c r="R349" s="116" t="s">
        <v>2335</v>
      </c>
      <c r="S349" s="116" t="s">
        <v>3535</v>
      </c>
      <c r="T349" s="116">
        <v>839900.53</v>
      </c>
      <c r="U349" s="116">
        <v>500000</v>
      </c>
      <c r="V349" s="116" t="s">
        <v>2532</v>
      </c>
      <c r="W349" s="116">
        <v>261536000000000</v>
      </c>
      <c r="X349" s="114">
        <v>46105</v>
      </c>
      <c r="Y349" s="116">
        <v>2046180</v>
      </c>
      <c r="Z349" s="116" t="s">
        <v>3815</v>
      </c>
      <c r="AA349" s="116">
        <v>0.02</v>
      </c>
      <c r="AB349" s="119"/>
      <c r="AC349" s="119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22"/>
      <c r="AN349" s="116" t="s">
        <v>3818</v>
      </c>
      <c r="AO349" s="116" t="s">
        <v>2421</v>
      </c>
      <c r="AP349" s="116" t="s">
        <v>2533</v>
      </c>
    </row>
    <row r="350" spans="1:42">
      <c r="A350" s="113" t="s">
        <v>3819</v>
      </c>
      <c r="B350" s="114">
        <v>46105</v>
      </c>
      <c r="C350" s="115">
        <v>0.66005787037037</v>
      </c>
      <c r="D350" s="114">
        <v>46105</v>
      </c>
      <c r="E350" s="115">
        <v>0.666180555555556</v>
      </c>
      <c r="F350" s="116" t="s">
        <v>3820</v>
      </c>
      <c r="G350" s="114">
        <v>46043</v>
      </c>
      <c r="H350" s="116">
        <v>2566696111</v>
      </c>
      <c r="I350" s="116" t="s">
        <v>3821</v>
      </c>
      <c r="J350" s="116" t="s">
        <v>2203</v>
      </c>
      <c r="K350" s="116" t="s">
        <v>2526</v>
      </c>
      <c r="L350" s="116" t="s">
        <v>2527</v>
      </c>
      <c r="M350" s="116" t="s">
        <v>2331</v>
      </c>
      <c r="N350" s="116" t="s">
        <v>3822</v>
      </c>
      <c r="O350" s="119"/>
      <c r="P350" s="116">
        <v>7803062</v>
      </c>
      <c r="Q350" s="116" t="s">
        <v>2477</v>
      </c>
      <c r="R350" s="116" t="s">
        <v>2435</v>
      </c>
      <c r="S350" s="116" t="s">
        <v>2531</v>
      </c>
      <c r="T350" s="116">
        <v>794999.54</v>
      </c>
      <c r="U350" s="116">
        <v>500000</v>
      </c>
      <c r="V350" s="116" t="s">
        <v>2532</v>
      </c>
      <c r="W350" s="116">
        <v>261536000000000</v>
      </c>
      <c r="X350" s="114">
        <v>46105</v>
      </c>
      <c r="Y350" s="116">
        <v>2022833</v>
      </c>
      <c r="Z350" s="116" t="s">
        <v>3821</v>
      </c>
      <c r="AA350" s="116">
        <v>0.04</v>
      </c>
      <c r="AB350" s="119"/>
      <c r="AC350" s="119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22"/>
      <c r="AN350" s="116" t="s">
        <v>3823</v>
      </c>
      <c r="AO350" s="116" t="s">
        <v>2412</v>
      </c>
      <c r="AP350" s="116" t="s">
        <v>2413</v>
      </c>
    </row>
    <row r="351" spans="1:42">
      <c r="A351" s="113" t="s">
        <v>1071</v>
      </c>
      <c r="B351" s="114">
        <v>46105</v>
      </c>
      <c r="C351" s="115">
        <v>0.660520833333333</v>
      </c>
      <c r="D351" s="114">
        <v>46105</v>
      </c>
      <c r="E351" s="115">
        <v>0.666180555555556</v>
      </c>
      <c r="F351" s="116" t="s">
        <v>1068</v>
      </c>
      <c r="G351" s="114">
        <v>46078</v>
      </c>
      <c r="H351" s="116">
        <v>2567311173</v>
      </c>
      <c r="I351" s="116" t="s">
        <v>3824</v>
      </c>
      <c r="J351" s="116" t="s">
        <v>2157</v>
      </c>
      <c r="K351" s="116" t="s">
        <v>2534</v>
      </c>
      <c r="L351" s="116" t="s">
        <v>2535</v>
      </c>
      <c r="M351" s="116" t="s">
        <v>2331</v>
      </c>
      <c r="N351" s="116" t="s">
        <v>3825</v>
      </c>
      <c r="O351" s="119"/>
      <c r="P351" s="116" t="s">
        <v>1070</v>
      </c>
      <c r="Q351" s="116" t="s">
        <v>3826</v>
      </c>
      <c r="R351" s="116" t="s">
        <v>2376</v>
      </c>
      <c r="S351" s="116" t="s">
        <v>2539</v>
      </c>
      <c r="T351" s="116">
        <v>1258357.91</v>
      </c>
      <c r="U351" s="116">
        <v>875000</v>
      </c>
      <c r="V351" s="116" t="s">
        <v>2540</v>
      </c>
      <c r="W351" s="116">
        <v>261504000000000</v>
      </c>
      <c r="X351" s="114">
        <v>46105</v>
      </c>
      <c r="Y351" s="116">
        <v>1737939</v>
      </c>
      <c r="Z351" s="116" t="s">
        <v>3824</v>
      </c>
      <c r="AA351" s="116">
        <v>-0.01</v>
      </c>
      <c r="AB351" s="119"/>
      <c r="AC351" s="119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22"/>
      <c r="AN351" s="116" t="s">
        <v>2541</v>
      </c>
      <c r="AO351" s="116" t="s">
        <v>2542</v>
      </c>
      <c r="AP351" s="116" t="s">
        <v>2543</v>
      </c>
    </row>
    <row r="352" spans="1:42">
      <c r="A352" s="113" t="s">
        <v>1120</v>
      </c>
      <c r="B352" s="114">
        <v>46105</v>
      </c>
      <c r="C352" s="115">
        <v>0.661979166666667</v>
      </c>
      <c r="D352" s="114">
        <v>46105</v>
      </c>
      <c r="E352" s="115">
        <v>0.666180555555556</v>
      </c>
      <c r="F352" s="116" t="s">
        <v>1117</v>
      </c>
      <c r="G352" s="114">
        <v>46093</v>
      </c>
      <c r="H352" s="116">
        <v>2567569758</v>
      </c>
      <c r="I352" s="116" t="s">
        <v>3827</v>
      </c>
      <c r="J352" s="116" t="s">
        <v>2162</v>
      </c>
      <c r="K352" s="116" t="s">
        <v>2692</v>
      </c>
      <c r="L352" s="116" t="s">
        <v>2693</v>
      </c>
      <c r="M352" s="116" t="s">
        <v>2331</v>
      </c>
      <c r="N352" s="116" t="s">
        <v>3828</v>
      </c>
      <c r="O352" s="119"/>
      <c r="P352" s="116" t="s">
        <v>1119</v>
      </c>
      <c r="Q352" s="116" t="s">
        <v>3193</v>
      </c>
      <c r="R352" s="116" t="s">
        <v>2335</v>
      </c>
      <c r="S352" s="116" t="s">
        <v>3829</v>
      </c>
      <c r="T352" s="116">
        <v>1130234.18</v>
      </c>
      <c r="U352" s="116">
        <v>1200000</v>
      </c>
      <c r="V352" s="116" t="s">
        <v>2696</v>
      </c>
      <c r="W352" s="116">
        <v>261507000000000</v>
      </c>
      <c r="X352" s="114">
        <v>46105</v>
      </c>
      <c r="Y352" s="116">
        <v>2044162</v>
      </c>
      <c r="Z352" s="116" t="s">
        <v>3827</v>
      </c>
      <c r="AA352" s="116">
        <v>14285.74</v>
      </c>
      <c r="AB352" s="119"/>
      <c r="AC352" s="119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22"/>
      <c r="AN352" s="116" t="s">
        <v>2697</v>
      </c>
      <c r="AO352" s="116" t="s">
        <v>2698</v>
      </c>
      <c r="AP352" s="116" t="s">
        <v>2593</v>
      </c>
    </row>
    <row r="353" spans="1:42">
      <c r="A353" s="113" t="s">
        <v>3830</v>
      </c>
      <c r="B353" s="114">
        <v>46105</v>
      </c>
      <c r="C353" s="115">
        <v>0.666678240740741</v>
      </c>
      <c r="D353" s="114">
        <v>46105</v>
      </c>
      <c r="E353" s="115">
        <v>0.669652777777778</v>
      </c>
      <c r="F353" s="116" t="s">
        <v>3831</v>
      </c>
      <c r="G353" s="114">
        <v>46105</v>
      </c>
      <c r="H353" s="116">
        <v>2567780814</v>
      </c>
      <c r="I353" s="116" t="s">
        <v>3031</v>
      </c>
      <c r="J353" s="116" t="s">
        <v>2226</v>
      </c>
      <c r="K353" s="116" t="s">
        <v>2566</v>
      </c>
      <c r="L353" s="116" t="s">
        <v>2567</v>
      </c>
      <c r="M353" s="116" t="s">
        <v>2331</v>
      </c>
      <c r="N353" s="116" t="s">
        <v>3832</v>
      </c>
      <c r="O353" s="119"/>
      <c r="P353" s="116">
        <v>7794394</v>
      </c>
      <c r="Q353" s="116" t="s">
        <v>2477</v>
      </c>
      <c r="R353" s="116" t="s">
        <v>2435</v>
      </c>
      <c r="S353" s="116" t="s">
        <v>3335</v>
      </c>
      <c r="T353" s="116">
        <v>793590.93</v>
      </c>
      <c r="U353" s="116">
        <v>759000</v>
      </c>
      <c r="V353" s="116" t="s">
        <v>2570</v>
      </c>
      <c r="W353" s="116">
        <v>261531000000000</v>
      </c>
      <c r="X353" s="114">
        <v>46105</v>
      </c>
      <c r="Y353" s="116">
        <v>1031003</v>
      </c>
      <c r="Z353" s="116" t="s">
        <v>3031</v>
      </c>
      <c r="AA353" s="116">
        <v>0.04</v>
      </c>
      <c r="AB353" s="119"/>
      <c r="AC353" s="119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22"/>
      <c r="AN353" s="116" t="s">
        <v>2346</v>
      </c>
      <c r="AO353" s="116" t="s">
        <v>2346</v>
      </c>
      <c r="AP353" s="116" t="s">
        <v>2571</v>
      </c>
    </row>
    <row r="354" spans="1:42">
      <c r="A354" s="113" t="s">
        <v>1124</v>
      </c>
      <c r="B354" s="114">
        <v>46105</v>
      </c>
      <c r="C354" s="115">
        <v>0.667592592592593</v>
      </c>
      <c r="D354" s="114">
        <v>46105</v>
      </c>
      <c r="E354" s="115">
        <v>0.669652777777778</v>
      </c>
      <c r="F354" s="116" t="s">
        <v>766</v>
      </c>
      <c r="G354" s="114">
        <v>46064</v>
      </c>
      <c r="H354" s="116">
        <v>2567076729</v>
      </c>
      <c r="I354" s="116" t="s">
        <v>1125</v>
      </c>
      <c r="J354" s="116" t="s">
        <v>2162</v>
      </c>
      <c r="K354" s="116" t="s">
        <v>2692</v>
      </c>
      <c r="L354" s="116" t="s">
        <v>2693</v>
      </c>
      <c r="M354" s="116" t="s">
        <v>2331</v>
      </c>
      <c r="N354" s="116" t="s">
        <v>3833</v>
      </c>
      <c r="O354" s="119"/>
      <c r="P354" s="116">
        <v>1435001</v>
      </c>
      <c r="Q354" s="116" t="s">
        <v>2343</v>
      </c>
      <c r="R354" s="116" t="s">
        <v>2344</v>
      </c>
      <c r="S354" s="116" t="s">
        <v>3716</v>
      </c>
      <c r="T354" s="116">
        <v>576100.18</v>
      </c>
      <c r="U354" s="116">
        <v>500000</v>
      </c>
      <c r="V354" s="116" t="s">
        <v>2696</v>
      </c>
      <c r="W354" s="116">
        <v>261507000000000</v>
      </c>
      <c r="X354" s="114">
        <v>46105</v>
      </c>
      <c r="Y354" s="116">
        <v>2033210</v>
      </c>
      <c r="Z354" s="116" t="s">
        <v>1125</v>
      </c>
      <c r="AA354" s="116">
        <v>-0.03</v>
      </c>
      <c r="AB354" s="119"/>
      <c r="AC354" s="119"/>
      <c r="AD354" s="119"/>
      <c r="AE354" s="119"/>
      <c r="AF354" s="119"/>
      <c r="AG354" s="119"/>
      <c r="AH354" s="119"/>
      <c r="AI354" s="119"/>
      <c r="AJ354" s="119"/>
      <c r="AK354" s="119"/>
      <c r="AL354" s="119"/>
      <c r="AM354" s="122"/>
      <c r="AN354" s="116" t="s">
        <v>3591</v>
      </c>
      <c r="AO354" s="116" t="s">
        <v>2773</v>
      </c>
      <c r="AP354" s="116" t="s">
        <v>2593</v>
      </c>
    </row>
    <row r="355" spans="1:42">
      <c r="A355" s="113" t="s">
        <v>1092</v>
      </c>
      <c r="B355" s="114">
        <v>46105</v>
      </c>
      <c r="C355" s="115">
        <v>0.668055555555556</v>
      </c>
      <c r="D355" s="114">
        <v>46105</v>
      </c>
      <c r="E355" s="115">
        <v>0.669652777777778</v>
      </c>
      <c r="F355" s="116" t="s">
        <v>1089</v>
      </c>
      <c r="G355" s="114">
        <v>46105</v>
      </c>
      <c r="H355" s="116">
        <v>2567778958</v>
      </c>
      <c r="I355" s="116" t="s">
        <v>3031</v>
      </c>
      <c r="J355" s="116" t="s">
        <v>2141</v>
      </c>
      <c r="K355" s="116" t="s">
        <v>2329</v>
      </c>
      <c r="L355" s="116" t="s">
        <v>2330</v>
      </c>
      <c r="M355" s="116" t="s">
        <v>2331</v>
      </c>
      <c r="N355" s="116" t="s">
        <v>3834</v>
      </c>
      <c r="O355" s="119"/>
      <c r="P355" s="116" t="s">
        <v>1091</v>
      </c>
      <c r="Q355" s="116" t="s">
        <v>2417</v>
      </c>
      <c r="R355" s="116" t="s">
        <v>2458</v>
      </c>
      <c r="S355" s="116" t="s">
        <v>3131</v>
      </c>
      <c r="T355" s="116">
        <v>1019319.97</v>
      </c>
      <c r="U355" s="116">
        <v>900000</v>
      </c>
      <c r="V355" s="116" t="s">
        <v>2337</v>
      </c>
      <c r="W355" s="116">
        <v>261501000000000</v>
      </c>
      <c r="X355" s="114">
        <v>46105</v>
      </c>
      <c r="Y355" s="116">
        <v>1031003</v>
      </c>
      <c r="Z355" s="116" t="s">
        <v>3031</v>
      </c>
      <c r="AA355" s="116">
        <v>-0.01</v>
      </c>
      <c r="AB355" s="119"/>
      <c r="AC355" s="119"/>
      <c r="AD355" s="119"/>
      <c r="AE355" s="119"/>
      <c r="AF355" s="119"/>
      <c r="AG355" s="119"/>
      <c r="AH355" s="119"/>
      <c r="AI355" s="119"/>
      <c r="AJ355" s="119"/>
      <c r="AK355" s="119"/>
      <c r="AL355" s="119"/>
      <c r="AM355" s="122"/>
      <c r="AN355" s="116" t="s">
        <v>2736</v>
      </c>
      <c r="AO355" s="116" t="s">
        <v>2471</v>
      </c>
      <c r="AP355" s="116" t="s">
        <v>2472</v>
      </c>
    </row>
    <row r="356" spans="1:42">
      <c r="A356" s="113" t="s">
        <v>1077</v>
      </c>
      <c r="B356" s="114">
        <v>46105</v>
      </c>
      <c r="C356" s="115">
        <v>0.673020833333333</v>
      </c>
      <c r="D356" s="114">
        <v>46105</v>
      </c>
      <c r="E356" s="115">
        <v>0.67318287037037</v>
      </c>
      <c r="F356" s="116" t="s">
        <v>1074</v>
      </c>
      <c r="G356" s="114">
        <v>46105</v>
      </c>
      <c r="H356" s="116">
        <v>2567751123</v>
      </c>
      <c r="I356" s="116" t="s">
        <v>1078</v>
      </c>
      <c r="J356" s="116" t="s">
        <v>2157</v>
      </c>
      <c r="K356" s="116" t="s">
        <v>2534</v>
      </c>
      <c r="L356" s="116" t="s">
        <v>2535</v>
      </c>
      <c r="M356" s="116" t="s">
        <v>2331</v>
      </c>
      <c r="N356" s="116" t="s">
        <v>3835</v>
      </c>
      <c r="O356" s="119"/>
      <c r="P356" s="116" t="s">
        <v>1076</v>
      </c>
      <c r="Q356" s="116" t="s">
        <v>2797</v>
      </c>
      <c r="R356" s="116" t="s">
        <v>2335</v>
      </c>
      <c r="S356" s="116" t="s">
        <v>3836</v>
      </c>
      <c r="T356" s="116">
        <v>1045249.55</v>
      </c>
      <c r="U356" s="116">
        <v>1033000</v>
      </c>
      <c r="V356" s="116" t="s">
        <v>2540</v>
      </c>
      <c r="W356" s="116">
        <v>261504000000000</v>
      </c>
      <c r="X356" s="114">
        <v>46105</v>
      </c>
      <c r="Y356" s="116">
        <v>2048502</v>
      </c>
      <c r="Z356" s="116" t="s">
        <v>1078</v>
      </c>
      <c r="AA356" s="116">
        <v>0.03</v>
      </c>
      <c r="AB356" s="119"/>
      <c r="AC356" s="119"/>
      <c r="AD356" s="119"/>
      <c r="AE356" s="119"/>
      <c r="AF356" s="119"/>
      <c r="AG356" s="119"/>
      <c r="AH356" s="119"/>
      <c r="AI356" s="119"/>
      <c r="AJ356" s="119"/>
      <c r="AK356" s="119"/>
      <c r="AL356" s="119"/>
      <c r="AM356" s="122"/>
      <c r="AN356" s="116" t="s">
        <v>3359</v>
      </c>
      <c r="AO356" s="116" t="s">
        <v>2542</v>
      </c>
      <c r="AP356" s="116" t="s">
        <v>2543</v>
      </c>
    </row>
    <row r="357" spans="1:42">
      <c r="A357" s="113" t="s">
        <v>1095</v>
      </c>
      <c r="B357" s="114">
        <v>46105</v>
      </c>
      <c r="C357" s="115">
        <v>0.674513888888889</v>
      </c>
      <c r="D357" s="114">
        <v>46105</v>
      </c>
      <c r="E357" s="115">
        <v>0.680138888888889</v>
      </c>
      <c r="F357" s="116" t="s">
        <v>1093</v>
      </c>
      <c r="G357" s="114">
        <v>46092</v>
      </c>
      <c r="H357" s="116">
        <v>2567542137</v>
      </c>
      <c r="I357" s="116" t="s">
        <v>3837</v>
      </c>
      <c r="J357" s="116" t="s">
        <v>2141</v>
      </c>
      <c r="K357" s="116" t="s">
        <v>2329</v>
      </c>
      <c r="L357" s="116" t="s">
        <v>2330</v>
      </c>
      <c r="M357" s="116" t="s">
        <v>2331</v>
      </c>
      <c r="N357" s="116" t="s">
        <v>3838</v>
      </c>
      <c r="O357" s="119"/>
      <c r="P357" s="116">
        <v>7936269</v>
      </c>
      <c r="Q357" s="116" t="s">
        <v>2457</v>
      </c>
      <c r="R357" s="116" t="s">
        <v>2538</v>
      </c>
      <c r="S357" s="116" t="s">
        <v>2771</v>
      </c>
      <c r="T357" s="116">
        <v>884257.23</v>
      </c>
      <c r="U357" s="116">
        <v>900000</v>
      </c>
      <c r="V357" s="116" t="s">
        <v>2337</v>
      </c>
      <c r="W357" s="116">
        <v>261501000000000</v>
      </c>
      <c r="X357" s="114">
        <v>46105</v>
      </c>
      <c r="Y357" s="116">
        <v>2036010</v>
      </c>
      <c r="Z357" s="116" t="s">
        <v>3837</v>
      </c>
      <c r="AA357" s="116">
        <v>0</v>
      </c>
      <c r="AB357" s="119"/>
      <c r="AC357" s="119"/>
      <c r="AD357" s="119"/>
      <c r="AE357" s="119"/>
      <c r="AF357" s="119"/>
      <c r="AG357" s="119"/>
      <c r="AH357" s="119"/>
      <c r="AI357" s="119"/>
      <c r="AJ357" s="119"/>
      <c r="AK357" s="119"/>
      <c r="AL357" s="119"/>
      <c r="AM357" s="122"/>
      <c r="AN357" s="116" t="s">
        <v>3839</v>
      </c>
      <c r="AO357" s="116" t="s">
        <v>2592</v>
      </c>
      <c r="AP357" s="116" t="s">
        <v>2593</v>
      </c>
    </row>
    <row r="358" spans="1:42">
      <c r="A358" s="113" t="s">
        <v>3840</v>
      </c>
      <c r="B358" s="114">
        <v>46105</v>
      </c>
      <c r="C358" s="115">
        <v>0.680243055555556</v>
      </c>
      <c r="D358" s="114">
        <v>46105</v>
      </c>
      <c r="E358" s="115">
        <v>0.683518518518519</v>
      </c>
      <c r="F358" s="116" t="s">
        <v>3841</v>
      </c>
      <c r="G358" s="114">
        <v>46053</v>
      </c>
      <c r="H358" s="116">
        <v>2566912988</v>
      </c>
      <c r="I358" s="116" t="s">
        <v>3842</v>
      </c>
      <c r="J358" s="116" t="s">
        <v>2226</v>
      </c>
      <c r="K358" s="116" t="s">
        <v>2566</v>
      </c>
      <c r="L358" s="116" t="s">
        <v>2567</v>
      </c>
      <c r="M358" s="116" t="s">
        <v>2331</v>
      </c>
      <c r="N358" s="116" t="s">
        <v>3843</v>
      </c>
      <c r="O358" s="119"/>
      <c r="P358" s="116">
        <v>7048860</v>
      </c>
      <c r="Q358" s="116" t="s">
        <v>2578</v>
      </c>
      <c r="R358" s="116" t="s">
        <v>2376</v>
      </c>
      <c r="S358" s="116" t="s">
        <v>3335</v>
      </c>
      <c r="T358" s="116">
        <v>920899.58</v>
      </c>
      <c r="U358" s="119"/>
      <c r="V358" s="116" t="s">
        <v>2570</v>
      </c>
      <c r="W358" s="116">
        <v>261531000000000</v>
      </c>
      <c r="X358" s="114">
        <v>46105</v>
      </c>
      <c r="Y358" s="116">
        <v>2027962</v>
      </c>
      <c r="Z358" s="116" t="s">
        <v>3842</v>
      </c>
      <c r="AA358" s="116">
        <v>0.02</v>
      </c>
      <c r="AB358" s="119"/>
      <c r="AC358" s="119"/>
      <c r="AD358" s="119"/>
      <c r="AE358" s="119"/>
      <c r="AF358" s="119"/>
      <c r="AG358" s="119"/>
      <c r="AH358" s="119"/>
      <c r="AI358" s="119"/>
      <c r="AJ358" s="119"/>
      <c r="AK358" s="119"/>
      <c r="AL358" s="119"/>
      <c r="AM358" s="122"/>
      <c r="AN358" s="116" t="s">
        <v>2346</v>
      </c>
      <c r="AO358" s="116" t="s">
        <v>2346</v>
      </c>
      <c r="AP358" s="116" t="s">
        <v>2571</v>
      </c>
    </row>
    <row r="359" spans="1:42">
      <c r="A359" s="113" t="s">
        <v>1139</v>
      </c>
      <c r="B359" s="114">
        <v>46105</v>
      </c>
      <c r="C359" s="115">
        <v>0.691099537037037</v>
      </c>
      <c r="D359" s="114">
        <v>46105</v>
      </c>
      <c r="E359" s="115">
        <v>0.6940625</v>
      </c>
      <c r="F359" s="116" t="s">
        <v>1135</v>
      </c>
      <c r="G359" s="114">
        <v>46067</v>
      </c>
      <c r="H359" s="116">
        <v>2567141624</v>
      </c>
      <c r="I359" s="116" t="s">
        <v>1140</v>
      </c>
      <c r="J359" s="116" t="s">
        <v>2168</v>
      </c>
      <c r="K359" s="116" t="s">
        <v>2760</v>
      </c>
      <c r="L359" s="116" t="s">
        <v>2761</v>
      </c>
      <c r="M359" s="116" t="s">
        <v>2331</v>
      </c>
      <c r="N359" s="116" t="s">
        <v>3844</v>
      </c>
      <c r="O359" s="119"/>
      <c r="P359" s="116" t="s">
        <v>1138</v>
      </c>
      <c r="Q359" s="116" t="s">
        <v>2334</v>
      </c>
      <c r="R359" s="116" t="s">
        <v>2335</v>
      </c>
      <c r="S359" s="116" t="s">
        <v>3845</v>
      </c>
      <c r="T359" s="116">
        <v>1079084.02</v>
      </c>
      <c r="U359" s="116">
        <v>900000</v>
      </c>
      <c r="V359" s="116" t="s">
        <v>2766</v>
      </c>
      <c r="W359" s="116">
        <v>261518000000000</v>
      </c>
      <c r="X359" s="114">
        <v>46105</v>
      </c>
      <c r="Y359" s="116">
        <v>2034434</v>
      </c>
      <c r="Z359" s="116" t="s">
        <v>1140</v>
      </c>
      <c r="AA359" s="116">
        <v>0</v>
      </c>
      <c r="AB359" s="119"/>
      <c r="AC359" s="119"/>
      <c r="AD359" s="119"/>
      <c r="AE359" s="119"/>
      <c r="AF359" s="119"/>
      <c r="AG359" s="119"/>
      <c r="AH359" s="119"/>
      <c r="AI359" s="119"/>
      <c r="AJ359" s="119"/>
      <c r="AK359" s="119"/>
      <c r="AL359" s="119"/>
      <c r="AM359" s="122"/>
      <c r="AN359" s="116" t="s">
        <v>3846</v>
      </c>
      <c r="AO359" s="116" t="s">
        <v>2768</v>
      </c>
      <c r="AP359" s="116" t="s">
        <v>2769</v>
      </c>
    </row>
    <row r="360" spans="1:42">
      <c r="A360" s="113" t="s">
        <v>3847</v>
      </c>
      <c r="B360" s="114">
        <v>46105</v>
      </c>
      <c r="C360" s="115">
        <v>0.692939814814815</v>
      </c>
      <c r="D360" s="114">
        <v>46105</v>
      </c>
      <c r="E360" s="115">
        <v>0.6940625</v>
      </c>
      <c r="F360" s="116" t="s">
        <v>3848</v>
      </c>
      <c r="G360" s="114">
        <v>46031</v>
      </c>
      <c r="H360" s="116">
        <v>2566517826</v>
      </c>
      <c r="I360" s="116" t="s">
        <v>3849</v>
      </c>
      <c r="J360" s="116" t="s">
        <v>2213</v>
      </c>
      <c r="K360" s="116" t="s">
        <v>2454</v>
      </c>
      <c r="L360" s="116" t="s">
        <v>2455</v>
      </c>
      <c r="M360" s="116" t="s">
        <v>2331</v>
      </c>
      <c r="N360" s="116" t="s">
        <v>3850</v>
      </c>
      <c r="O360" s="119"/>
      <c r="P360" s="116" t="s">
        <v>3851</v>
      </c>
      <c r="Q360" s="116" t="s">
        <v>2797</v>
      </c>
      <c r="R360" s="116" t="s">
        <v>2335</v>
      </c>
      <c r="S360" s="116" t="s">
        <v>3124</v>
      </c>
      <c r="T360" s="116">
        <v>1035149.53</v>
      </c>
      <c r="U360" s="116">
        <v>1049901</v>
      </c>
      <c r="V360" s="116" t="s">
        <v>2460</v>
      </c>
      <c r="W360" s="116">
        <v>261532000000000</v>
      </c>
      <c r="X360" s="114">
        <v>46105</v>
      </c>
      <c r="Y360" s="116">
        <v>2017691</v>
      </c>
      <c r="Z360" s="116" t="s">
        <v>3849</v>
      </c>
      <c r="AA360" s="116">
        <v>0</v>
      </c>
      <c r="AB360" s="119"/>
      <c r="AC360" s="119"/>
      <c r="AD360" s="119"/>
      <c r="AE360" s="119"/>
      <c r="AF360" s="119"/>
      <c r="AG360" s="119"/>
      <c r="AH360" s="119"/>
      <c r="AI360" s="119"/>
      <c r="AJ360" s="119"/>
      <c r="AK360" s="119"/>
      <c r="AL360" s="119"/>
      <c r="AM360" s="122"/>
      <c r="AN360" s="116" t="s">
        <v>2346</v>
      </c>
      <c r="AO360" s="116" t="s">
        <v>2346</v>
      </c>
      <c r="AP360" s="116" t="s">
        <v>2659</v>
      </c>
    </row>
    <row r="361" spans="1:42">
      <c r="A361" s="113" t="s">
        <v>1101</v>
      </c>
      <c r="B361" s="114">
        <v>46105</v>
      </c>
      <c r="C361" s="115">
        <v>0.700844907407407</v>
      </c>
      <c r="D361" s="114">
        <v>46105</v>
      </c>
      <c r="E361" s="115">
        <v>0.700914351851852</v>
      </c>
      <c r="F361" s="116" t="s">
        <v>1097</v>
      </c>
      <c r="G361" s="114">
        <v>46102</v>
      </c>
      <c r="H361" s="116">
        <v>2567726075</v>
      </c>
      <c r="I361" s="116" t="s">
        <v>3852</v>
      </c>
      <c r="J361" s="116" t="s">
        <v>2141</v>
      </c>
      <c r="K361" s="116" t="s">
        <v>2329</v>
      </c>
      <c r="L361" s="116" t="s">
        <v>2330</v>
      </c>
      <c r="M361" s="116" t="s">
        <v>2331</v>
      </c>
      <c r="N361" s="116" t="s">
        <v>3853</v>
      </c>
      <c r="O361" s="119"/>
      <c r="P361" s="116" t="s">
        <v>1100</v>
      </c>
      <c r="Q361" s="116" t="s">
        <v>2343</v>
      </c>
      <c r="R361" s="116" t="s">
        <v>2344</v>
      </c>
      <c r="S361" s="116" t="s">
        <v>2387</v>
      </c>
      <c r="T361" s="116">
        <v>568900.19</v>
      </c>
      <c r="U361" s="116">
        <v>540000</v>
      </c>
      <c r="V361" s="116" t="s">
        <v>2337</v>
      </c>
      <c r="W361" s="116">
        <v>261501000000000</v>
      </c>
      <c r="X361" s="114">
        <v>46105</v>
      </c>
      <c r="Y361" s="116">
        <v>2047303</v>
      </c>
      <c r="Z361" s="116" t="s">
        <v>3852</v>
      </c>
      <c r="AA361" s="116">
        <v>-0.02</v>
      </c>
      <c r="AB361" s="119"/>
      <c r="AC361" s="119"/>
      <c r="AD361" s="119"/>
      <c r="AE361" s="119"/>
      <c r="AF361" s="119"/>
      <c r="AG361" s="119"/>
      <c r="AH361" s="119"/>
      <c r="AI361" s="119"/>
      <c r="AJ361" s="119"/>
      <c r="AK361" s="119"/>
      <c r="AL361" s="119"/>
      <c r="AM361" s="122"/>
      <c r="AN361" s="116" t="s">
        <v>2388</v>
      </c>
      <c r="AO361" s="116" t="s">
        <v>2351</v>
      </c>
      <c r="AP361" s="116" t="s">
        <v>2347</v>
      </c>
    </row>
    <row r="362" spans="1:42">
      <c r="A362" s="113" t="s">
        <v>3854</v>
      </c>
      <c r="B362" s="114">
        <v>46105</v>
      </c>
      <c r="C362" s="115">
        <v>0.701770833333333</v>
      </c>
      <c r="D362" s="114">
        <v>46105</v>
      </c>
      <c r="E362" s="115">
        <v>0.70443287037037</v>
      </c>
      <c r="F362" s="116" t="s">
        <v>3407</v>
      </c>
      <c r="G362" s="114">
        <v>46105</v>
      </c>
      <c r="H362" s="116">
        <v>2567783195</v>
      </c>
      <c r="I362" s="116" t="s">
        <v>3855</v>
      </c>
      <c r="J362" s="116" t="s">
        <v>2222</v>
      </c>
      <c r="K362" s="116" t="s">
        <v>2357</v>
      </c>
      <c r="L362" s="116" t="s">
        <v>2358</v>
      </c>
      <c r="M362" s="116" t="s">
        <v>2331</v>
      </c>
      <c r="N362" s="116" t="s">
        <v>3856</v>
      </c>
      <c r="O362" s="119"/>
      <c r="P362" s="116">
        <v>4898612</v>
      </c>
      <c r="Q362" s="116" t="s">
        <v>2405</v>
      </c>
      <c r="R362" s="116" t="s">
        <v>2585</v>
      </c>
      <c r="S362" s="116" t="s">
        <v>2778</v>
      </c>
      <c r="T362" s="116">
        <v>752799.65</v>
      </c>
      <c r="U362" s="119"/>
      <c r="V362" s="116" t="s">
        <v>2364</v>
      </c>
      <c r="W362" s="116">
        <v>261534000000000</v>
      </c>
      <c r="X362" s="114">
        <v>46105</v>
      </c>
      <c r="Y362" s="116">
        <v>2048598</v>
      </c>
      <c r="Z362" s="116" t="s">
        <v>3855</v>
      </c>
      <c r="AA362" s="116">
        <v>0.01</v>
      </c>
      <c r="AB362" s="119"/>
      <c r="AC362" s="119"/>
      <c r="AD362" s="119"/>
      <c r="AE362" s="119"/>
      <c r="AF362" s="119"/>
      <c r="AG362" s="119"/>
      <c r="AH362" s="119"/>
      <c r="AI362" s="119"/>
      <c r="AJ362" s="119"/>
      <c r="AK362" s="119"/>
      <c r="AL362" s="119"/>
      <c r="AM362" s="122"/>
      <c r="AN362" s="116" t="s">
        <v>3663</v>
      </c>
      <c r="AO362" s="116" t="s">
        <v>2608</v>
      </c>
      <c r="AP362" s="116" t="s">
        <v>2367</v>
      </c>
    </row>
    <row r="363" spans="1:42">
      <c r="A363" s="113" t="s">
        <v>3857</v>
      </c>
      <c r="B363" s="114">
        <v>46105</v>
      </c>
      <c r="C363" s="115">
        <v>0.702002314814815</v>
      </c>
      <c r="D363" s="114">
        <v>46105</v>
      </c>
      <c r="E363" s="115">
        <v>0.70443287037037</v>
      </c>
      <c r="F363" s="116" t="s">
        <v>3858</v>
      </c>
      <c r="G363" s="114">
        <v>46035</v>
      </c>
      <c r="H363" s="116">
        <v>2566556863</v>
      </c>
      <c r="I363" s="116" t="s">
        <v>3859</v>
      </c>
      <c r="J363" s="116" t="s">
        <v>2203</v>
      </c>
      <c r="K363" s="116" t="s">
        <v>2526</v>
      </c>
      <c r="L363" s="116" t="s">
        <v>2527</v>
      </c>
      <c r="M363" s="116" t="s">
        <v>2331</v>
      </c>
      <c r="N363" s="116" t="s">
        <v>3860</v>
      </c>
      <c r="O363" s="119"/>
      <c r="P363" s="116">
        <v>4892793</v>
      </c>
      <c r="Q363" s="116" t="s">
        <v>2783</v>
      </c>
      <c r="R363" s="116" t="s">
        <v>2376</v>
      </c>
      <c r="S363" s="116" t="s">
        <v>2804</v>
      </c>
      <c r="T363" s="116">
        <v>641399.91</v>
      </c>
      <c r="U363" s="116">
        <v>500000</v>
      </c>
      <c r="V363" s="116" t="s">
        <v>2532</v>
      </c>
      <c r="W363" s="116">
        <v>261536000000000</v>
      </c>
      <c r="X363" s="114">
        <v>46105</v>
      </c>
      <c r="Y363" s="116">
        <v>2018441</v>
      </c>
      <c r="Z363" s="116" t="s">
        <v>3859</v>
      </c>
      <c r="AA363" s="116">
        <v>0.02</v>
      </c>
      <c r="AB363" s="119"/>
      <c r="AC363" s="119"/>
      <c r="AD363" s="119"/>
      <c r="AE363" s="119"/>
      <c r="AF363" s="119"/>
      <c r="AG363" s="119"/>
      <c r="AH363" s="119"/>
      <c r="AI363" s="119"/>
      <c r="AJ363" s="119"/>
      <c r="AK363" s="119"/>
      <c r="AL363" s="119"/>
      <c r="AM363" s="122"/>
      <c r="AN363" s="116" t="s">
        <v>3861</v>
      </c>
      <c r="AO363" s="116" t="s">
        <v>2384</v>
      </c>
      <c r="AP363" s="116" t="s">
        <v>2686</v>
      </c>
    </row>
    <row r="364" spans="1:42">
      <c r="A364" s="113" t="s">
        <v>1129</v>
      </c>
      <c r="B364" s="114">
        <v>46105</v>
      </c>
      <c r="C364" s="115">
        <v>0.702615740740741</v>
      </c>
      <c r="D364" s="114">
        <v>46105</v>
      </c>
      <c r="E364" s="115">
        <v>0.70443287037037</v>
      </c>
      <c r="F364" s="116" t="s">
        <v>1126</v>
      </c>
      <c r="G364" s="114">
        <v>46028</v>
      </c>
      <c r="H364" s="116">
        <v>2566474051</v>
      </c>
      <c r="I364" s="116" t="s">
        <v>1130</v>
      </c>
      <c r="J364" s="116" t="s">
        <v>2181</v>
      </c>
      <c r="K364" s="116" t="s">
        <v>3615</v>
      </c>
      <c r="L364" s="116" t="s">
        <v>3616</v>
      </c>
      <c r="M364" s="116" t="s">
        <v>2331</v>
      </c>
      <c r="N364" s="116" t="s">
        <v>3862</v>
      </c>
      <c r="O364" s="119"/>
      <c r="P364" s="116" t="s">
        <v>1128</v>
      </c>
      <c r="Q364" s="116" t="s">
        <v>2788</v>
      </c>
      <c r="R364" s="116" t="s">
        <v>2376</v>
      </c>
      <c r="S364" s="116" t="s">
        <v>3691</v>
      </c>
      <c r="T364" s="116">
        <v>472800.19</v>
      </c>
      <c r="U364" s="116">
        <v>200000</v>
      </c>
      <c r="V364" s="116" t="s">
        <v>3692</v>
      </c>
      <c r="W364" s="116">
        <v>261515000000000</v>
      </c>
      <c r="X364" s="114">
        <v>46105</v>
      </c>
      <c r="Y364" s="116">
        <v>2016642</v>
      </c>
      <c r="Z364" s="116" t="s">
        <v>1130</v>
      </c>
      <c r="AA364" s="116">
        <v>-0.04</v>
      </c>
      <c r="AB364" s="119"/>
      <c r="AC364" s="119"/>
      <c r="AD364" s="119"/>
      <c r="AE364" s="119"/>
      <c r="AF364" s="119"/>
      <c r="AG364" s="119"/>
      <c r="AH364" s="119"/>
      <c r="AI364" s="119"/>
      <c r="AJ364" s="119"/>
      <c r="AK364" s="119"/>
      <c r="AL364" s="119"/>
      <c r="AM364" s="122"/>
      <c r="AN364" s="116" t="s">
        <v>3302</v>
      </c>
      <c r="AO364" s="116" t="s">
        <v>56</v>
      </c>
      <c r="AP364" s="116" t="s">
        <v>2515</v>
      </c>
    </row>
    <row r="365" spans="1:42">
      <c r="A365" s="113" t="s">
        <v>3863</v>
      </c>
      <c r="B365" s="114">
        <v>46105</v>
      </c>
      <c r="C365" s="115">
        <v>0.704664351851852</v>
      </c>
      <c r="D365" s="114">
        <v>46105</v>
      </c>
      <c r="E365" s="115">
        <v>0.707777777777778</v>
      </c>
      <c r="F365" s="116" t="s">
        <v>3864</v>
      </c>
      <c r="G365" s="114">
        <v>46105</v>
      </c>
      <c r="H365" s="116">
        <v>2567784016</v>
      </c>
      <c r="I365" s="116" t="s">
        <v>3031</v>
      </c>
      <c r="J365" s="116" t="s">
        <v>2226</v>
      </c>
      <c r="K365" s="116" t="s">
        <v>2566</v>
      </c>
      <c r="L365" s="116" t="s">
        <v>2567</v>
      </c>
      <c r="M365" s="116" t="s">
        <v>2331</v>
      </c>
      <c r="N365" s="116" t="s">
        <v>3865</v>
      </c>
      <c r="O365" s="119"/>
      <c r="P365" s="116">
        <v>4894016</v>
      </c>
      <c r="Q365" s="116" t="s">
        <v>2529</v>
      </c>
      <c r="R365" s="116" t="s">
        <v>2585</v>
      </c>
      <c r="S365" s="116" t="s">
        <v>3148</v>
      </c>
      <c r="T365" s="116">
        <v>785584.69</v>
      </c>
      <c r="U365" s="116">
        <v>790000</v>
      </c>
      <c r="V365" s="116" t="s">
        <v>2570</v>
      </c>
      <c r="W365" s="116">
        <v>261531000000000</v>
      </c>
      <c r="X365" s="114">
        <v>46105</v>
      </c>
      <c r="Y365" s="116">
        <v>1031003</v>
      </c>
      <c r="Z365" s="116" t="s">
        <v>3031</v>
      </c>
      <c r="AA365" s="116">
        <v>0</v>
      </c>
      <c r="AB365" s="119"/>
      <c r="AC365" s="119"/>
      <c r="AD365" s="119"/>
      <c r="AE365" s="119"/>
      <c r="AF365" s="119"/>
      <c r="AG365" s="119"/>
      <c r="AH365" s="119"/>
      <c r="AI365" s="119"/>
      <c r="AJ365" s="119"/>
      <c r="AK365" s="119"/>
      <c r="AL365" s="119"/>
      <c r="AM365" s="122"/>
      <c r="AN365" s="116" t="s">
        <v>2346</v>
      </c>
      <c r="AO365" s="116" t="s">
        <v>2346</v>
      </c>
      <c r="AP365" s="116" t="s">
        <v>2571</v>
      </c>
    </row>
    <row r="366" spans="1:42">
      <c r="A366" s="113" t="s">
        <v>3866</v>
      </c>
      <c r="B366" s="114">
        <v>46105</v>
      </c>
      <c r="C366" s="115">
        <v>0.71712962962963</v>
      </c>
      <c r="D366" s="114">
        <v>46105</v>
      </c>
      <c r="E366" s="115">
        <v>0.718321759259259</v>
      </c>
      <c r="F366" s="116" t="s">
        <v>3867</v>
      </c>
      <c r="G366" s="114">
        <v>46063</v>
      </c>
      <c r="H366" s="116">
        <v>2567785049</v>
      </c>
      <c r="I366" s="116" t="s">
        <v>3868</v>
      </c>
      <c r="J366" s="116" t="s">
        <v>2213</v>
      </c>
      <c r="K366" s="116" t="s">
        <v>2454</v>
      </c>
      <c r="L366" s="116" t="s">
        <v>2455</v>
      </c>
      <c r="M366" s="116" t="s">
        <v>2331</v>
      </c>
      <c r="N366" s="116" t="s">
        <v>3869</v>
      </c>
      <c r="O366" s="119"/>
      <c r="P366" s="116" t="s">
        <v>3870</v>
      </c>
      <c r="Q366" s="116" t="s">
        <v>3871</v>
      </c>
      <c r="R366" s="116" t="s">
        <v>2458</v>
      </c>
      <c r="S366" s="116" t="s">
        <v>2549</v>
      </c>
      <c r="T366" s="116">
        <v>1161397.55</v>
      </c>
      <c r="U366" s="116">
        <v>1174900</v>
      </c>
      <c r="V366" s="116" t="s">
        <v>2460</v>
      </c>
      <c r="W366" s="116">
        <v>261532000000000</v>
      </c>
      <c r="X366" s="114">
        <v>46105</v>
      </c>
      <c r="Y366" s="116">
        <v>2034240</v>
      </c>
      <c r="Z366" s="116" t="s">
        <v>3868</v>
      </c>
      <c r="AA366" s="116">
        <v>0</v>
      </c>
      <c r="AB366" s="119"/>
      <c r="AC366" s="119"/>
      <c r="AD366" s="119"/>
      <c r="AE366" s="119"/>
      <c r="AF366" s="119"/>
      <c r="AG366" s="119"/>
      <c r="AH366" s="119"/>
      <c r="AI366" s="119"/>
      <c r="AJ366" s="119"/>
      <c r="AK366" s="119"/>
      <c r="AL366" s="119"/>
      <c r="AM366" s="122"/>
      <c r="AN366" s="116" t="s">
        <v>3872</v>
      </c>
      <c r="AO366" s="116" t="s">
        <v>2346</v>
      </c>
      <c r="AP366" s="116" t="s">
        <v>2659</v>
      </c>
    </row>
    <row r="367" spans="1:42">
      <c r="A367" s="113" t="s">
        <v>1105</v>
      </c>
      <c r="B367" s="114">
        <v>46105</v>
      </c>
      <c r="C367" s="115">
        <v>0.719965277777778</v>
      </c>
      <c r="D367" s="114">
        <v>46105</v>
      </c>
      <c r="E367" s="115">
        <v>0.721724537037037</v>
      </c>
      <c r="F367" s="116" t="s">
        <v>1103</v>
      </c>
      <c r="G367" s="114">
        <v>46053</v>
      </c>
      <c r="H367" s="116">
        <v>2566903363</v>
      </c>
      <c r="I367" s="116" t="s">
        <v>1106</v>
      </c>
      <c r="J367" s="116" t="s">
        <v>2141</v>
      </c>
      <c r="K367" s="116" t="s">
        <v>2329</v>
      </c>
      <c r="L367" s="116" t="s">
        <v>2330</v>
      </c>
      <c r="M367" s="116" t="s">
        <v>2331</v>
      </c>
      <c r="N367" s="116" t="s">
        <v>3873</v>
      </c>
      <c r="O367" s="119"/>
      <c r="P367" s="116">
        <v>1440051</v>
      </c>
      <c r="Q367" s="116" t="s">
        <v>3209</v>
      </c>
      <c r="R367" s="116" t="s">
        <v>2458</v>
      </c>
      <c r="S367" s="116" t="s">
        <v>2964</v>
      </c>
      <c r="T367" s="116">
        <v>558900.01</v>
      </c>
      <c r="U367" s="116">
        <v>100000</v>
      </c>
      <c r="V367" s="116" t="s">
        <v>2337</v>
      </c>
      <c r="W367" s="116">
        <v>261501000000000</v>
      </c>
      <c r="X367" s="114">
        <v>46105</v>
      </c>
      <c r="Y367" s="116">
        <v>2027656</v>
      </c>
      <c r="Z367" s="116" t="s">
        <v>1106</v>
      </c>
      <c r="AA367" s="116">
        <v>-0.02</v>
      </c>
      <c r="AB367" s="119"/>
      <c r="AC367" s="119"/>
      <c r="AD367" s="119"/>
      <c r="AE367" s="119"/>
      <c r="AF367" s="119"/>
      <c r="AG367" s="119"/>
      <c r="AH367" s="119"/>
      <c r="AI367" s="119"/>
      <c r="AJ367" s="119"/>
      <c r="AK367" s="119"/>
      <c r="AL367" s="119"/>
      <c r="AM367" s="122"/>
      <c r="AN367" s="116" t="s">
        <v>2427</v>
      </c>
      <c r="AO367" s="116" t="s">
        <v>2428</v>
      </c>
      <c r="AP367" s="116" t="s">
        <v>2429</v>
      </c>
    </row>
    <row r="368" spans="1:42">
      <c r="A368" s="113" t="s">
        <v>1110</v>
      </c>
      <c r="B368" s="114">
        <v>46105</v>
      </c>
      <c r="C368" s="115">
        <v>0.726828703703704</v>
      </c>
      <c r="D368" s="114">
        <v>46105</v>
      </c>
      <c r="E368" s="115">
        <v>0.728703703703704</v>
      </c>
      <c r="F368" s="116" t="s">
        <v>1107</v>
      </c>
      <c r="G368" s="114">
        <v>46070</v>
      </c>
      <c r="H368" s="116">
        <v>2567170673</v>
      </c>
      <c r="I368" s="116" t="s">
        <v>1111</v>
      </c>
      <c r="J368" s="116" t="s">
        <v>2141</v>
      </c>
      <c r="K368" s="116" t="s">
        <v>2329</v>
      </c>
      <c r="L368" s="116" t="s">
        <v>2330</v>
      </c>
      <c r="M368" s="116" t="s">
        <v>2331</v>
      </c>
      <c r="N368" s="116" t="s">
        <v>3874</v>
      </c>
      <c r="O368" s="119"/>
      <c r="P368" s="116">
        <v>4593829</v>
      </c>
      <c r="Q368" s="116" t="s">
        <v>2652</v>
      </c>
      <c r="R368" s="116" t="s">
        <v>2645</v>
      </c>
      <c r="S368" s="116" t="s">
        <v>3127</v>
      </c>
      <c r="T368" s="116">
        <v>611799.93</v>
      </c>
      <c r="U368" s="116">
        <v>500000</v>
      </c>
      <c r="V368" s="116" t="s">
        <v>2337</v>
      </c>
      <c r="W368" s="116">
        <v>261501000000000</v>
      </c>
      <c r="X368" s="114">
        <v>46105</v>
      </c>
      <c r="Y368" s="116">
        <v>2035286</v>
      </c>
      <c r="Z368" s="116" t="s">
        <v>1111</v>
      </c>
      <c r="AA368" s="116">
        <v>-0.01</v>
      </c>
      <c r="AB368" s="119"/>
      <c r="AC368" s="119"/>
      <c r="AD368" s="119"/>
      <c r="AE368" s="119"/>
      <c r="AF368" s="119"/>
      <c r="AG368" s="119"/>
      <c r="AH368" s="119"/>
      <c r="AI368" s="119"/>
      <c r="AJ368" s="119"/>
      <c r="AK368" s="119"/>
      <c r="AL368" s="119"/>
      <c r="AM368" s="122"/>
      <c r="AN368" s="116" t="s">
        <v>2510</v>
      </c>
      <c r="AO368" s="116" t="s">
        <v>2511</v>
      </c>
      <c r="AP368" s="116" t="s">
        <v>2397</v>
      </c>
    </row>
    <row r="369" spans="1:42">
      <c r="A369" s="113" t="s">
        <v>1115</v>
      </c>
      <c r="B369" s="114">
        <v>46105</v>
      </c>
      <c r="C369" s="115">
        <v>0.734606481481481</v>
      </c>
      <c r="D369" s="114">
        <v>46105</v>
      </c>
      <c r="E369" s="115">
        <v>0.735648148148148</v>
      </c>
      <c r="F369" s="116" t="s">
        <v>1112</v>
      </c>
      <c r="G369" s="114">
        <v>46105</v>
      </c>
      <c r="H369" s="116">
        <v>2567770721</v>
      </c>
      <c r="I369" s="116" t="s">
        <v>1116</v>
      </c>
      <c r="J369" s="116" t="s">
        <v>2141</v>
      </c>
      <c r="K369" s="116" t="s">
        <v>2329</v>
      </c>
      <c r="L369" s="116" t="s">
        <v>2330</v>
      </c>
      <c r="M369" s="116" t="s">
        <v>2331</v>
      </c>
      <c r="N369" s="116" t="s">
        <v>3875</v>
      </c>
      <c r="O369" s="119"/>
      <c r="P369" s="116">
        <v>4597329</v>
      </c>
      <c r="Q369" s="116" t="s">
        <v>3216</v>
      </c>
      <c r="R369" s="116" t="s">
        <v>2645</v>
      </c>
      <c r="S369" s="116" t="s">
        <v>2519</v>
      </c>
      <c r="T369" s="116">
        <v>513800.56</v>
      </c>
      <c r="U369" s="116">
        <v>603246</v>
      </c>
      <c r="V369" s="116" t="s">
        <v>2337</v>
      </c>
      <c r="W369" s="116">
        <v>261501000000000</v>
      </c>
      <c r="X369" s="114">
        <v>46105</v>
      </c>
      <c r="Y369" s="116">
        <v>2042616</v>
      </c>
      <c r="Z369" s="116" t="s">
        <v>1116</v>
      </c>
      <c r="AA369" s="116">
        <v>-0.03</v>
      </c>
      <c r="AB369" s="119"/>
      <c r="AC369" s="119"/>
      <c r="AD369" s="119"/>
      <c r="AE369" s="119"/>
      <c r="AF369" s="119"/>
      <c r="AG369" s="119"/>
      <c r="AH369" s="119"/>
      <c r="AI369" s="119"/>
      <c r="AJ369" s="119"/>
      <c r="AK369" s="119"/>
      <c r="AL369" s="119"/>
      <c r="AM369" s="122"/>
      <c r="AN369" s="116" t="s">
        <v>2346</v>
      </c>
      <c r="AO369" s="116" t="s">
        <v>2346</v>
      </c>
      <c r="AP369" s="116" t="s">
        <v>2472</v>
      </c>
    </row>
    <row r="370" spans="1:42">
      <c r="A370" s="113" t="s">
        <v>3876</v>
      </c>
      <c r="B370" s="114">
        <v>46105</v>
      </c>
      <c r="C370" s="115">
        <v>0.745648148148148</v>
      </c>
      <c r="D370" s="114">
        <v>46105</v>
      </c>
      <c r="E370" s="115">
        <v>0.746053240740741</v>
      </c>
      <c r="F370" s="116" t="s">
        <v>3877</v>
      </c>
      <c r="G370" s="114">
        <v>46100</v>
      </c>
      <c r="H370" s="116">
        <v>2567693235</v>
      </c>
      <c r="I370" s="116" t="s">
        <v>3878</v>
      </c>
      <c r="J370" s="116" t="s">
        <v>2217</v>
      </c>
      <c r="K370" s="116" t="s">
        <v>2497</v>
      </c>
      <c r="L370" s="116" t="s">
        <v>2498</v>
      </c>
      <c r="M370" s="116" t="s">
        <v>2331</v>
      </c>
      <c r="N370" s="116" t="s">
        <v>3879</v>
      </c>
      <c r="O370" s="119"/>
      <c r="P370" s="116" t="s">
        <v>3880</v>
      </c>
      <c r="Q370" s="116" t="s">
        <v>2548</v>
      </c>
      <c r="R370" s="116" t="s">
        <v>2344</v>
      </c>
      <c r="S370" s="116" t="s">
        <v>3199</v>
      </c>
      <c r="T370" s="116">
        <v>478852.92</v>
      </c>
      <c r="U370" s="119"/>
      <c r="V370" s="116" t="s">
        <v>2502</v>
      </c>
      <c r="W370" s="116">
        <v>261535000000000</v>
      </c>
      <c r="X370" s="114">
        <v>46105</v>
      </c>
      <c r="Y370" s="116">
        <v>2046671</v>
      </c>
      <c r="Z370" s="116" t="s">
        <v>3878</v>
      </c>
      <c r="AA370" s="116">
        <v>-0.02</v>
      </c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  <c r="AL370" s="119"/>
      <c r="AM370" s="122"/>
      <c r="AN370" s="116" t="s">
        <v>3200</v>
      </c>
      <c r="AO370" s="116" t="s">
        <v>2346</v>
      </c>
      <c r="AP370" s="116" t="s">
        <v>2462</v>
      </c>
    </row>
    <row r="371" spans="1:42">
      <c r="A371" s="113" t="s">
        <v>3881</v>
      </c>
      <c r="B371" s="114">
        <v>46105</v>
      </c>
      <c r="C371" s="115">
        <v>0.751782407407407</v>
      </c>
      <c r="D371" s="114">
        <v>46105</v>
      </c>
      <c r="E371" s="115">
        <v>0.756550925925926</v>
      </c>
      <c r="F371" s="116" t="s">
        <v>3882</v>
      </c>
      <c r="G371" s="114">
        <v>46105</v>
      </c>
      <c r="H371" s="116">
        <v>2567787502</v>
      </c>
      <c r="I371" s="116" t="s">
        <v>3883</v>
      </c>
      <c r="J371" s="116" t="s">
        <v>2199</v>
      </c>
      <c r="K371" s="116" t="s">
        <v>2371</v>
      </c>
      <c r="L371" s="116" t="s">
        <v>2372</v>
      </c>
      <c r="M371" s="116" t="s">
        <v>2331</v>
      </c>
      <c r="N371" s="116" t="s">
        <v>3884</v>
      </c>
      <c r="O371" s="119"/>
      <c r="P371" s="116">
        <v>7921713</v>
      </c>
      <c r="Q371" s="116" t="s">
        <v>3885</v>
      </c>
      <c r="R371" s="116" t="s">
        <v>2435</v>
      </c>
      <c r="S371" s="116" t="s">
        <v>2926</v>
      </c>
      <c r="T371" s="116">
        <v>985000</v>
      </c>
      <c r="U371" s="119"/>
      <c r="V371" s="116" t="s">
        <v>2378</v>
      </c>
      <c r="W371" s="116">
        <v>261502000000000</v>
      </c>
      <c r="X371" s="114">
        <v>46106</v>
      </c>
      <c r="Y371" s="116">
        <v>2043899</v>
      </c>
      <c r="Z371" s="116" t="s">
        <v>3883</v>
      </c>
      <c r="AA371" s="116">
        <v>0.02</v>
      </c>
      <c r="AB371" s="119"/>
      <c r="AC371" s="119"/>
      <c r="AD371" s="119"/>
      <c r="AE371" s="119"/>
      <c r="AF371" s="119"/>
      <c r="AG371" s="119"/>
      <c r="AH371" s="119"/>
      <c r="AI371" s="119"/>
      <c r="AJ371" s="119"/>
      <c r="AK371" s="119"/>
      <c r="AL371" s="119"/>
      <c r="AM371" s="122"/>
      <c r="AN371" s="116" t="s">
        <v>2927</v>
      </c>
      <c r="AO371" s="116" t="s">
        <v>2346</v>
      </c>
      <c r="AP371" s="116" t="s">
        <v>2340</v>
      </c>
    </row>
    <row r="372" spans="1:42">
      <c r="A372" s="113" t="s">
        <v>3886</v>
      </c>
      <c r="B372" s="114">
        <v>46105</v>
      </c>
      <c r="C372" s="115">
        <v>0.753576388888889</v>
      </c>
      <c r="D372" s="114">
        <v>46105</v>
      </c>
      <c r="E372" s="115">
        <v>0.756550925925926</v>
      </c>
      <c r="F372" s="116" t="s">
        <v>3887</v>
      </c>
      <c r="G372" s="114">
        <v>46100</v>
      </c>
      <c r="H372" s="116">
        <v>2567683954</v>
      </c>
      <c r="I372" s="116" t="s">
        <v>3888</v>
      </c>
      <c r="J372" s="116" t="s">
        <v>2199</v>
      </c>
      <c r="K372" s="116" t="s">
        <v>2371</v>
      </c>
      <c r="L372" s="116" t="s">
        <v>2372</v>
      </c>
      <c r="M372" s="116" t="s">
        <v>2331</v>
      </c>
      <c r="N372" s="116" t="s">
        <v>3889</v>
      </c>
      <c r="O372" s="119"/>
      <c r="P372" s="116">
        <v>4882869</v>
      </c>
      <c r="Q372" s="116" t="s">
        <v>2405</v>
      </c>
      <c r="R372" s="116" t="s">
        <v>2435</v>
      </c>
      <c r="S372" s="116" t="s">
        <v>2491</v>
      </c>
      <c r="T372" s="116">
        <v>746399.56</v>
      </c>
      <c r="U372" s="116">
        <v>500000</v>
      </c>
      <c r="V372" s="116" t="s">
        <v>2378</v>
      </c>
      <c r="W372" s="116">
        <v>261502000000000</v>
      </c>
      <c r="X372" s="114">
        <v>46105</v>
      </c>
      <c r="Y372" s="116">
        <v>2046505</v>
      </c>
      <c r="Z372" s="116" t="s">
        <v>3888</v>
      </c>
      <c r="AA372" s="116">
        <v>0.01</v>
      </c>
      <c r="AB372" s="119"/>
      <c r="AC372" s="119"/>
      <c r="AD372" s="119"/>
      <c r="AE372" s="119"/>
      <c r="AF372" s="119"/>
      <c r="AG372" s="119"/>
      <c r="AH372" s="119"/>
      <c r="AI372" s="119"/>
      <c r="AJ372" s="119"/>
      <c r="AK372" s="119"/>
      <c r="AL372" s="119"/>
      <c r="AM372" s="122"/>
      <c r="AN372" s="116" t="s">
        <v>2492</v>
      </c>
      <c r="AO372" s="116" t="s">
        <v>2493</v>
      </c>
      <c r="AP372" s="116" t="s">
        <v>2340</v>
      </c>
    </row>
    <row r="373" spans="1:42">
      <c r="A373" s="113" t="s">
        <v>3890</v>
      </c>
      <c r="B373" s="114">
        <v>46105</v>
      </c>
      <c r="C373" s="115">
        <v>0.757465277777778</v>
      </c>
      <c r="D373" s="114">
        <v>46105</v>
      </c>
      <c r="E373" s="115">
        <v>0.760289351851852</v>
      </c>
      <c r="F373" s="116" t="s">
        <v>3891</v>
      </c>
      <c r="G373" s="114">
        <v>46097</v>
      </c>
      <c r="H373" s="116">
        <v>2567628711</v>
      </c>
      <c r="I373" s="116" t="s">
        <v>3892</v>
      </c>
      <c r="J373" s="116" t="s">
        <v>2217</v>
      </c>
      <c r="K373" s="116" t="s">
        <v>2497</v>
      </c>
      <c r="L373" s="116" t="s">
        <v>2498</v>
      </c>
      <c r="M373" s="116" t="s">
        <v>2331</v>
      </c>
      <c r="N373" s="116" t="s">
        <v>3893</v>
      </c>
      <c r="O373" s="119"/>
      <c r="P373" s="116" t="s">
        <v>3894</v>
      </c>
      <c r="Q373" s="116" t="s">
        <v>3895</v>
      </c>
      <c r="R373" s="116" t="s">
        <v>2538</v>
      </c>
      <c r="S373" s="116" t="s">
        <v>3896</v>
      </c>
      <c r="T373" s="116">
        <v>1221076.42</v>
      </c>
      <c r="U373" s="119"/>
      <c r="V373" s="116" t="s">
        <v>2502</v>
      </c>
      <c r="W373" s="116">
        <v>261535000000000</v>
      </c>
      <c r="X373" s="114">
        <v>46106</v>
      </c>
      <c r="Y373" s="116">
        <v>1404802</v>
      </c>
      <c r="Z373" s="116" t="s">
        <v>3892</v>
      </c>
      <c r="AA373" s="116">
        <v>14285.69</v>
      </c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  <c r="AL373" s="119"/>
      <c r="AM373" s="122"/>
      <c r="AN373" s="116" t="s">
        <v>2346</v>
      </c>
      <c r="AO373" s="116" t="s">
        <v>2346</v>
      </c>
      <c r="AP373" s="116" t="s">
        <v>2462</v>
      </c>
    </row>
    <row r="374" spans="1:42">
      <c r="A374" s="113" t="s">
        <v>3897</v>
      </c>
      <c r="B374" s="114">
        <v>46105</v>
      </c>
      <c r="C374" s="115">
        <v>0.763715277777778</v>
      </c>
      <c r="D374" s="114">
        <v>46105</v>
      </c>
      <c r="E374" s="115">
        <v>0.766782407407407</v>
      </c>
      <c r="F374" s="116" t="s">
        <v>3898</v>
      </c>
      <c r="G374" s="114">
        <v>46097</v>
      </c>
      <c r="H374" s="116">
        <v>2567635678</v>
      </c>
      <c r="I374" s="116" t="s">
        <v>3899</v>
      </c>
      <c r="J374" s="116" t="s">
        <v>2213</v>
      </c>
      <c r="K374" s="116" t="s">
        <v>2454</v>
      </c>
      <c r="L374" s="116" t="s">
        <v>2455</v>
      </c>
      <c r="M374" s="116" t="s">
        <v>2331</v>
      </c>
      <c r="N374" s="116" t="s">
        <v>3900</v>
      </c>
      <c r="O374" s="119"/>
      <c r="P374" s="116">
        <v>7937439</v>
      </c>
      <c r="Q374" s="116" t="s">
        <v>3901</v>
      </c>
      <c r="R374" s="116" t="s">
        <v>2376</v>
      </c>
      <c r="S374" s="116" t="s">
        <v>3124</v>
      </c>
      <c r="T374" s="116">
        <v>1097364.21</v>
      </c>
      <c r="U374" s="116">
        <v>1091501</v>
      </c>
      <c r="V374" s="116" t="s">
        <v>2460</v>
      </c>
      <c r="W374" s="116">
        <v>261532000000000</v>
      </c>
      <c r="X374" s="114">
        <v>46105</v>
      </c>
      <c r="Y374" s="116">
        <v>2045280</v>
      </c>
      <c r="Z374" s="116" t="s">
        <v>3899</v>
      </c>
      <c r="AA374" s="116">
        <v>-0.04</v>
      </c>
      <c r="AB374" s="119"/>
      <c r="AC374" s="119"/>
      <c r="AD374" s="119"/>
      <c r="AE374" s="119"/>
      <c r="AF374" s="119"/>
      <c r="AG374" s="119"/>
      <c r="AH374" s="119"/>
      <c r="AI374" s="119"/>
      <c r="AJ374" s="119"/>
      <c r="AK374" s="119"/>
      <c r="AL374" s="119"/>
      <c r="AM374" s="122"/>
      <c r="AN374" s="116" t="s">
        <v>3902</v>
      </c>
      <c r="AO374" s="116" t="s">
        <v>2608</v>
      </c>
      <c r="AP374" s="116" t="s">
        <v>2367</v>
      </c>
    </row>
    <row r="375" spans="1:42">
      <c r="A375" s="109" t="s">
        <v>3903</v>
      </c>
      <c r="B375" s="110">
        <v>46106</v>
      </c>
      <c r="C375" s="111">
        <v>0.449143518518519</v>
      </c>
      <c r="D375" s="110">
        <v>46106</v>
      </c>
      <c r="E375" s="111">
        <v>0.450763888888889</v>
      </c>
      <c r="F375" s="112" t="s">
        <v>3904</v>
      </c>
      <c r="G375" s="110">
        <v>46075</v>
      </c>
      <c r="H375" s="112">
        <v>2567255070</v>
      </c>
      <c r="I375" s="112" t="s">
        <v>3905</v>
      </c>
      <c r="J375" s="112" t="s">
        <v>2226</v>
      </c>
      <c r="K375" s="112" t="s">
        <v>2566</v>
      </c>
      <c r="L375" s="112" t="s">
        <v>2567</v>
      </c>
      <c r="M375" s="112" t="s">
        <v>2331</v>
      </c>
      <c r="N375" s="112" t="s">
        <v>3906</v>
      </c>
      <c r="O375" s="118"/>
      <c r="P375" s="112">
        <v>4899848</v>
      </c>
      <c r="Q375" s="112" t="s">
        <v>2584</v>
      </c>
      <c r="R375" s="112" t="s">
        <v>2435</v>
      </c>
      <c r="S375" s="112" t="s">
        <v>3204</v>
      </c>
      <c r="T375" s="112">
        <v>868399.6</v>
      </c>
      <c r="U375" s="118"/>
      <c r="V375" s="112" t="s">
        <v>2570</v>
      </c>
      <c r="W375" s="112">
        <v>261531000000000</v>
      </c>
      <c r="X375" s="110">
        <v>46106</v>
      </c>
      <c r="Y375" s="112">
        <v>2037136</v>
      </c>
      <c r="Z375" s="112" t="s">
        <v>3905</v>
      </c>
      <c r="AA375" s="112">
        <v>0.01</v>
      </c>
      <c r="AB375" s="118"/>
      <c r="AC375" s="118"/>
      <c r="AD375" s="118"/>
      <c r="AE375" s="118"/>
      <c r="AF375" s="118"/>
      <c r="AG375" s="118"/>
      <c r="AH375" s="118"/>
      <c r="AI375" s="118"/>
      <c r="AJ375" s="118"/>
      <c r="AK375" s="118"/>
      <c r="AL375" s="118"/>
      <c r="AM375" s="121"/>
      <c r="AN375" s="112" t="s">
        <v>2346</v>
      </c>
      <c r="AO375" s="112" t="s">
        <v>2346</v>
      </c>
      <c r="AP375" s="112" t="s">
        <v>2571</v>
      </c>
    </row>
    <row r="376" spans="1:42">
      <c r="A376" s="113" t="s">
        <v>3907</v>
      </c>
      <c r="B376" s="114">
        <v>46106</v>
      </c>
      <c r="C376" s="115">
        <v>0.452523148148148</v>
      </c>
      <c r="D376" s="114">
        <v>46106</v>
      </c>
      <c r="E376" s="115">
        <v>0.454259259259259</v>
      </c>
      <c r="F376" s="116" t="s">
        <v>3908</v>
      </c>
      <c r="G376" s="114">
        <v>46020</v>
      </c>
      <c r="H376" s="116">
        <v>2566308667</v>
      </c>
      <c r="I376" s="116" t="s">
        <v>3909</v>
      </c>
      <c r="J376" s="116" t="s">
        <v>2226</v>
      </c>
      <c r="K376" s="116" t="s">
        <v>2566</v>
      </c>
      <c r="L376" s="116" t="s">
        <v>2567</v>
      </c>
      <c r="M376" s="116" t="s">
        <v>2331</v>
      </c>
      <c r="N376" s="116" t="s">
        <v>3910</v>
      </c>
      <c r="O376" s="119"/>
      <c r="P376" s="116">
        <v>7805228</v>
      </c>
      <c r="Q376" s="116" t="s">
        <v>2954</v>
      </c>
      <c r="R376" s="116" t="s">
        <v>2435</v>
      </c>
      <c r="S376" s="116" t="s">
        <v>3485</v>
      </c>
      <c r="T376" s="116">
        <v>849499.68</v>
      </c>
      <c r="U376" s="119"/>
      <c r="V376" s="116" t="s">
        <v>2570</v>
      </c>
      <c r="W376" s="116">
        <v>261531000000000</v>
      </c>
      <c r="X376" s="114">
        <v>46106</v>
      </c>
      <c r="Y376" s="116">
        <v>2012511</v>
      </c>
      <c r="Z376" s="116" t="s">
        <v>3909</v>
      </c>
      <c r="AA376" s="116">
        <v>0.04</v>
      </c>
      <c r="AB376" s="119"/>
      <c r="AC376" s="119"/>
      <c r="AD376" s="119"/>
      <c r="AE376" s="119"/>
      <c r="AF376" s="119"/>
      <c r="AG376" s="119"/>
      <c r="AH376" s="119"/>
      <c r="AI376" s="119"/>
      <c r="AJ376" s="119"/>
      <c r="AK376" s="119"/>
      <c r="AL376" s="119"/>
      <c r="AM376" s="122"/>
      <c r="AN376" s="116" t="s">
        <v>3479</v>
      </c>
      <c r="AO376" s="116" t="s">
        <v>3480</v>
      </c>
      <c r="AP376" s="116" t="s">
        <v>2659</v>
      </c>
    </row>
    <row r="377" spans="1:42">
      <c r="A377" s="113" t="s">
        <v>3911</v>
      </c>
      <c r="B377" s="114">
        <v>46106</v>
      </c>
      <c r="C377" s="115">
        <v>0.455243055555556</v>
      </c>
      <c r="D377" s="114">
        <v>46106</v>
      </c>
      <c r="E377" s="115">
        <v>0.4578125</v>
      </c>
      <c r="F377" s="116" t="s">
        <v>3912</v>
      </c>
      <c r="G377" s="114">
        <v>46099</v>
      </c>
      <c r="H377" s="116">
        <v>2567668791</v>
      </c>
      <c r="I377" s="116" t="s">
        <v>3913</v>
      </c>
      <c r="J377" s="116" t="s">
        <v>2226</v>
      </c>
      <c r="K377" s="116" t="s">
        <v>2566</v>
      </c>
      <c r="L377" s="116" t="s">
        <v>2567</v>
      </c>
      <c r="M377" s="116" t="s">
        <v>2331</v>
      </c>
      <c r="N377" s="116" t="s">
        <v>3914</v>
      </c>
      <c r="O377" s="119"/>
      <c r="P377" s="116">
        <v>7805679</v>
      </c>
      <c r="Q377" s="116" t="s">
        <v>2477</v>
      </c>
      <c r="R377" s="116" t="s">
        <v>2585</v>
      </c>
      <c r="S377" s="116" t="s">
        <v>3033</v>
      </c>
      <c r="T377" s="116">
        <v>799499.54</v>
      </c>
      <c r="U377" s="116">
        <v>860000</v>
      </c>
      <c r="V377" s="116" t="s">
        <v>2570</v>
      </c>
      <c r="W377" s="116">
        <v>261531000000000</v>
      </c>
      <c r="X377" s="114">
        <v>46106</v>
      </c>
      <c r="Y377" s="116">
        <v>2046217</v>
      </c>
      <c r="Z377" s="116" t="s">
        <v>3913</v>
      </c>
      <c r="AA377" s="116">
        <v>0.04</v>
      </c>
      <c r="AB377" s="119"/>
      <c r="AC377" s="119"/>
      <c r="AD377" s="119"/>
      <c r="AE377" s="119"/>
      <c r="AF377" s="119"/>
      <c r="AG377" s="119"/>
      <c r="AH377" s="119"/>
      <c r="AI377" s="119"/>
      <c r="AJ377" s="119"/>
      <c r="AK377" s="119"/>
      <c r="AL377" s="119"/>
      <c r="AM377" s="122"/>
      <c r="AN377" s="116" t="s">
        <v>2346</v>
      </c>
      <c r="AO377" s="116" t="s">
        <v>2346</v>
      </c>
      <c r="AP377" s="116" t="s">
        <v>2571</v>
      </c>
    </row>
    <row r="378" spans="1:42">
      <c r="A378" s="113" t="s">
        <v>3915</v>
      </c>
      <c r="B378" s="114">
        <v>46106</v>
      </c>
      <c r="C378" s="115">
        <v>0.466400462962963</v>
      </c>
      <c r="D378" s="114">
        <v>46106</v>
      </c>
      <c r="E378" s="115">
        <v>0.468136574074074</v>
      </c>
      <c r="F378" s="116" t="s">
        <v>3916</v>
      </c>
      <c r="G378" s="114">
        <v>46069</v>
      </c>
      <c r="H378" s="116">
        <v>2567163090</v>
      </c>
      <c r="I378" s="116" t="s">
        <v>3917</v>
      </c>
      <c r="J378" s="116" t="s">
        <v>2226</v>
      </c>
      <c r="K378" s="116" t="s">
        <v>2566</v>
      </c>
      <c r="L378" s="116" t="s">
        <v>2567</v>
      </c>
      <c r="M378" s="116" t="s">
        <v>2331</v>
      </c>
      <c r="N378" s="116" t="s">
        <v>3918</v>
      </c>
      <c r="O378" s="119"/>
      <c r="P378" s="116">
        <v>7805831</v>
      </c>
      <c r="Q378" s="116" t="s">
        <v>2477</v>
      </c>
      <c r="R378" s="116" t="s">
        <v>2530</v>
      </c>
      <c r="S378" s="116" t="s">
        <v>3033</v>
      </c>
      <c r="T378" s="116">
        <v>797999.55</v>
      </c>
      <c r="U378" s="119"/>
      <c r="V378" s="116" t="s">
        <v>2570</v>
      </c>
      <c r="W378" s="116">
        <v>261531000000000</v>
      </c>
      <c r="X378" s="114">
        <v>46106</v>
      </c>
      <c r="Y378" s="116">
        <v>2035006</v>
      </c>
      <c r="Z378" s="116" t="s">
        <v>3917</v>
      </c>
      <c r="AA378" s="116">
        <v>0.03</v>
      </c>
      <c r="AB378" s="119"/>
      <c r="AC378" s="119"/>
      <c r="AD378" s="119"/>
      <c r="AE378" s="119"/>
      <c r="AF378" s="119"/>
      <c r="AG378" s="119"/>
      <c r="AH378" s="119"/>
      <c r="AI378" s="119"/>
      <c r="AJ378" s="119"/>
      <c r="AK378" s="119"/>
      <c r="AL378" s="119"/>
      <c r="AM378" s="122"/>
      <c r="AN378" s="116" t="s">
        <v>2346</v>
      </c>
      <c r="AO378" s="116" t="s">
        <v>2346</v>
      </c>
      <c r="AP378" s="116" t="s">
        <v>2571</v>
      </c>
    </row>
    <row r="379" spans="1:42">
      <c r="A379" s="113" t="s">
        <v>3919</v>
      </c>
      <c r="B379" s="114">
        <v>46106</v>
      </c>
      <c r="C379" s="115">
        <v>0.469490740740741</v>
      </c>
      <c r="D379" s="114">
        <v>46106</v>
      </c>
      <c r="E379" s="115">
        <v>0.471736111111111</v>
      </c>
      <c r="F379" s="116" t="s">
        <v>3920</v>
      </c>
      <c r="G379" s="114">
        <v>46041</v>
      </c>
      <c r="H379" s="116">
        <v>2566673537</v>
      </c>
      <c r="I379" s="116" t="s">
        <v>3921</v>
      </c>
      <c r="J379" s="116" t="s">
        <v>2226</v>
      </c>
      <c r="K379" s="116" t="s">
        <v>2566</v>
      </c>
      <c r="L379" s="116" t="s">
        <v>2567</v>
      </c>
      <c r="M379" s="116" t="s">
        <v>2331</v>
      </c>
      <c r="N379" s="116" t="s">
        <v>3922</v>
      </c>
      <c r="O379" s="119"/>
      <c r="P379" s="116">
        <v>7805423</v>
      </c>
      <c r="Q379" s="116" t="s">
        <v>3923</v>
      </c>
      <c r="R379" s="116" t="s">
        <v>2335</v>
      </c>
      <c r="S379" s="116" t="s">
        <v>3485</v>
      </c>
      <c r="T379" s="116">
        <v>679899.77</v>
      </c>
      <c r="U379" s="116">
        <v>750000</v>
      </c>
      <c r="V379" s="116" t="s">
        <v>2570</v>
      </c>
      <c r="W379" s="116">
        <v>261531000000000</v>
      </c>
      <c r="X379" s="114">
        <v>46106</v>
      </c>
      <c r="Y379" s="116">
        <v>2021853</v>
      </c>
      <c r="Z379" s="116" t="s">
        <v>3921</v>
      </c>
      <c r="AA379" s="116">
        <v>0</v>
      </c>
      <c r="AB379" s="119"/>
      <c r="AC379" s="119"/>
      <c r="AD379" s="119"/>
      <c r="AE379" s="119"/>
      <c r="AF379" s="119"/>
      <c r="AG379" s="119"/>
      <c r="AH379" s="119"/>
      <c r="AI379" s="119"/>
      <c r="AJ379" s="119"/>
      <c r="AK379" s="119"/>
      <c r="AL379" s="119"/>
      <c r="AM379" s="122"/>
      <c r="AN379" s="116" t="s">
        <v>2346</v>
      </c>
      <c r="AO379" s="116" t="s">
        <v>2346</v>
      </c>
      <c r="AP379" s="116" t="s">
        <v>2571</v>
      </c>
    </row>
    <row r="380" spans="1:42">
      <c r="A380" s="113" t="s">
        <v>3924</v>
      </c>
      <c r="B380" s="114">
        <v>46106</v>
      </c>
      <c r="C380" s="115">
        <v>0.47275462962963</v>
      </c>
      <c r="D380" s="114">
        <v>46106</v>
      </c>
      <c r="E380" s="115">
        <v>0.475115740740741</v>
      </c>
      <c r="F380" s="116" t="s">
        <v>1367</v>
      </c>
      <c r="G380" s="114">
        <v>46043</v>
      </c>
      <c r="H380" s="116">
        <v>2566710933</v>
      </c>
      <c r="I380" s="116" t="s">
        <v>3925</v>
      </c>
      <c r="J380" s="116" t="s">
        <v>2226</v>
      </c>
      <c r="K380" s="116" t="s">
        <v>2566</v>
      </c>
      <c r="L380" s="116" t="s">
        <v>2567</v>
      </c>
      <c r="M380" s="116" t="s">
        <v>2331</v>
      </c>
      <c r="N380" s="116" t="s">
        <v>3926</v>
      </c>
      <c r="O380" s="119"/>
      <c r="P380" s="116">
        <v>4900043</v>
      </c>
      <c r="Q380" s="116" t="s">
        <v>2783</v>
      </c>
      <c r="R380" s="116" t="s">
        <v>2335</v>
      </c>
      <c r="S380" s="116" t="s">
        <v>3927</v>
      </c>
      <c r="T380" s="116">
        <v>661899.76</v>
      </c>
      <c r="U380" s="116">
        <v>679900</v>
      </c>
      <c r="V380" s="116" t="s">
        <v>2570</v>
      </c>
      <c r="W380" s="116">
        <v>261531000000000</v>
      </c>
      <c r="X380" s="114">
        <v>46106</v>
      </c>
      <c r="Y380" s="116">
        <v>2022985</v>
      </c>
      <c r="Z380" s="116" t="s">
        <v>3925</v>
      </c>
      <c r="AA380" s="116">
        <v>-0.01</v>
      </c>
      <c r="AB380" s="119"/>
      <c r="AC380" s="119"/>
      <c r="AD380" s="119"/>
      <c r="AE380" s="119"/>
      <c r="AF380" s="119"/>
      <c r="AG380" s="119"/>
      <c r="AH380" s="119"/>
      <c r="AI380" s="119"/>
      <c r="AJ380" s="119"/>
      <c r="AK380" s="119"/>
      <c r="AL380" s="119"/>
      <c r="AM380" s="122"/>
      <c r="AN380" s="116" t="s">
        <v>2346</v>
      </c>
      <c r="AO380" s="116" t="s">
        <v>2346</v>
      </c>
      <c r="AP380" s="116" t="s">
        <v>2659</v>
      </c>
    </row>
    <row r="381" spans="1:42">
      <c r="A381" s="113" t="s">
        <v>3928</v>
      </c>
      <c r="B381" s="114">
        <v>46106</v>
      </c>
      <c r="C381" s="115">
        <v>0.474178240740741</v>
      </c>
      <c r="D381" s="114">
        <v>46106</v>
      </c>
      <c r="E381" s="115">
        <v>0.475115740740741</v>
      </c>
      <c r="F381" s="116" t="s">
        <v>3929</v>
      </c>
      <c r="G381" s="114">
        <v>46086</v>
      </c>
      <c r="H381" s="116">
        <v>2567436621</v>
      </c>
      <c r="I381" s="116" t="s">
        <v>3930</v>
      </c>
      <c r="J381" s="116" t="s">
        <v>2226</v>
      </c>
      <c r="K381" s="116" t="s">
        <v>2566</v>
      </c>
      <c r="L381" s="116" t="s">
        <v>2567</v>
      </c>
      <c r="M381" s="116" t="s">
        <v>2331</v>
      </c>
      <c r="N381" s="116" t="s">
        <v>3931</v>
      </c>
      <c r="O381" s="119"/>
      <c r="P381" s="116">
        <v>7805274</v>
      </c>
      <c r="Q381" s="116" t="s">
        <v>2477</v>
      </c>
      <c r="R381" s="116" t="s">
        <v>2435</v>
      </c>
      <c r="S381" s="116" t="s">
        <v>3932</v>
      </c>
      <c r="T381" s="116">
        <v>797999.55</v>
      </c>
      <c r="U381" s="119"/>
      <c r="V381" s="116" t="s">
        <v>2570</v>
      </c>
      <c r="W381" s="116">
        <v>261531000000000</v>
      </c>
      <c r="X381" s="114">
        <v>46106</v>
      </c>
      <c r="Y381" s="116">
        <v>2041125</v>
      </c>
      <c r="Z381" s="116" t="s">
        <v>3930</v>
      </c>
      <c r="AA381" s="116">
        <v>0.03</v>
      </c>
      <c r="AB381" s="119"/>
      <c r="AC381" s="119"/>
      <c r="AD381" s="119"/>
      <c r="AE381" s="119"/>
      <c r="AF381" s="119"/>
      <c r="AG381" s="119"/>
      <c r="AH381" s="119"/>
      <c r="AI381" s="119"/>
      <c r="AJ381" s="119"/>
      <c r="AK381" s="119"/>
      <c r="AL381" s="119"/>
      <c r="AM381" s="122"/>
      <c r="AN381" s="116" t="s">
        <v>2346</v>
      </c>
      <c r="AO381" s="116" t="s">
        <v>2346</v>
      </c>
      <c r="AP381" s="116" t="s">
        <v>2571</v>
      </c>
    </row>
    <row r="382" spans="1:42">
      <c r="A382" s="113" t="s">
        <v>3933</v>
      </c>
      <c r="B382" s="114">
        <v>46106</v>
      </c>
      <c r="C382" s="115">
        <v>0.476180555555556</v>
      </c>
      <c r="D382" s="114">
        <v>46106</v>
      </c>
      <c r="E382" s="115">
        <v>0.478599537037037</v>
      </c>
      <c r="F382" s="116" t="s">
        <v>3934</v>
      </c>
      <c r="G382" s="114">
        <v>46025</v>
      </c>
      <c r="H382" s="116">
        <v>2566433132</v>
      </c>
      <c r="I382" s="116" t="s">
        <v>3935</v>
      </c>
      <c r="J382" s="116" t="s">
        <v>2226</v>
      </c>
      <c r="K382" s="116" t="s">
        <v>2566</v>
      </c>
      <c r="L382" s="116" t="s">
        <v>2567</v>
      </c>
      <c r="M382" s="116" t="s">
        <v>2331</v>
      </c>
      <c r="N382" s="116" t="s">
        <v>3936</v>
      </c>
      <c r="O382" s="119"/>
      <c r="P382" s="116">
        <v>7805323</v>
      </c>
      <c r="Q382" s="116" t="s">
        <v>3923</v>
      </c>
      <c r="R382" s="116" t="s">
        <v>2335</v>
      </c>
      <c r="S382" s="116" t="s">
        <v>3937</v>
      </c>
      <c r="T382" s="116">
        <v>681899.87</v>
      </c>
      <c r="U382" s="119"/>
      <c r="V382" s="116" t="s">
        <v>2570</v>
      </c>
      <c r="W382" s="116">
        <v>261531000000000</v>
      </c>
      <c r="X382" s="114">
        <v>46106</v>
      </c>
      <c r="Y382" s="116">
        <v>2015126</v>
      </c>
      <c r="Z382" s="116" t="s">
        <v>3935</v>
      </c>
      <c r="AA382" s="116">
        <v>0</v>
      </c>
      <c r="AB382" s="119"/>
      <c r="AC382" s="119"/>
      <c r="AD382" s="119"/>
      <c r="AE382" s="119"/>
      <c r="AF382" s="119"/>
      <c r="AG382" s="119"/>
      <c r="AH382" s="119"/>
      <c r="AI382" s="119"/>
      <c r="AJ382" s="119"/>
      <c r="AK382" s="119"/>
      <c r="AL382" s="119"/>
      <c r="AM382" s="122"/>
      <c r="AN382" s="116" t="s">
        <v>2346</v>
      </c>
      <c r="AO382" s="116" t="s">
        <v>2346</v>
      </c>
      <c r="AP382" s="116" t="s">
        <v>2571</v>
      </c>
    </row>
    <row r="383" spans="1:42">
      <c r="A383" s="113" t="s">
        <v>3938</v>
      </c>
      <c r="B383" s="114">
        <v>46106</v>
      </c>
      <c r="C383" s="115">
        <v>0.478611111111111</v>
      </c>
      <c r="D383" s="114">
        <v>46106</v>
      </c>
      <c r="E383" s="115">
        <v>0.482071759259259</v>
      </c>
      <c r="F383" s="116" t="s">
        <v>3939</v>
      </c>
      <c r="G383" s="114">
        <v>46102</v>
      </c>
      <c r="H383" s="116">
        <v>2567726967</v>
      </c>
      <c r="I383" s="116" t="s">
        <v>3940</v>
      </c>
      <c r="J383" s="116" t="s">
        <v>2226</v>
      </c>
      <c r="K383" s="116" t="s">
        <v>2566</v>
      </c>
      <c r="L383" s="116" t="s">
        <v>2567</v>
      </c>
      <c r="M383" s="116" t="s">
        <v>2331</v>
      </c>
      <c r="N383" s="116" t="s">
        <v>3941</v>
      </c>
      <c r="O383" s="119"/>
      <c r="P383" s="116">
        <v>7805694</v>
      </c>
      <c r="Q383" s="116" t="s">
        <v>2477</v>
      </c>
      <c r="R383" s="116" t="s">
        <v>2585</v>
      </c>
      <c r="S383" s="116" t="s">
        <v>3927</v>
      </c>
      <c r="T383" s="116">
        <v>799499.54</v>
      </c>
      <c r="U383" s="119"/>
      <c r="V383" s="116" t="s">
        <v>2570</v>
      </c>
      <c r="W383" s="116">
        <v>261531000000000</v>
      </c>
      <c r="X383" s="114">
        <v>46106</v>
      </c>
      <c r="Y383" s="116">
        <v>1977961</v>
      </c>
      <c r="Z383" s="116" t="s">
        <v>3940</v>
      </c>
      <c r="AA383" s="116">
        <v>0.04</v>
      </c>
      <c r="AB383" s="119"/>
      <c r="AC383" s="119"/>
      <c r="AD383" s="119"/>
      <c r="AE383" s="119"/>
      <c r="AF383" s="119"/>
      <c r="AG383" s="119"/>
      <c r="AH383" s="119"/>
      <c r="AI383" s="119"/>
      <c r="AJ383" s="119"/>
      <c r="AK383" s="119"/>
      <c r="AL383" s="119"/>
      <c r="AM383" s="122"/>
      <c r="AN383" s="116" t="s">
        <v>2346</v>
      </c>
      <c r="AO383" s="116" t="s">
        <v>2346</v>
      </c>
      <c r="AP383" s="116" t="s">
        <v>2571</v>
      </c>
    </row>
    <row r="384" spans="1:42">
      <c r="A384" s="113" t="s">
        <v>3942</v>
      </c>
      <c r="B384" s="114">
        <v>46106</v>
      </c>
      <c r="C384" s="115">
        <v>0.498506944444444</v>
      </c>
      <c r="D384" s="114">
        <v>46106</v>
      </c>
      <c r="E384" s="115">
        <v>0.499479166666667</v>
      </c>
      <c r="F384" s="116" t="s">
        <v>3943</v>
      </c>
      <c r="G384" s="114">
        <v>46102</v>
      </c>
      <c r="H384" s="116">
        <v>2567732014</v>
      </c>
      <c r="I384" s="116" t="s">
        <v>3944</v>
      </c>
      <c r="J384" s="116" t="s">
        <v>2226</v>
      </c>
      <c r="K384" s="116" t="s">
        <v>2566</v>
      </c>
      <c r="L384" s="116" t="s">
        <v>2567</v>
      </c>
      <c r="M384" s="116" t="s">
        <v>2331</v>
      </c>
      <c r="N384" s="116" t="s">
        <v>3945</v>
      </c>
      <c r="O384" s="119"/>
      <c r="P384" s="116">
        <v>4899647</v>
      </c>
      <c r="Q384" s="116" t="s">
        <v>2783</v>
      </c>
      <c r="R384" s="116" t="s">
        <v>2530</v>
      </c>
      <c r="S384" s="116" t="s">
        <v>3927</v>
      </c>
      <c r="T384" s="116">
        <v>661899.76</v>
      </c>
      <c r="U384" s="116">
        <v>602000</v>
      </c>
      <c r="V384" s="116" t="s">
        <v>2570</v>
      </c>
      <c r="W384" s="116">
        <v>261531000000000</v>
      </c>
      <c r="X384" s="114">
        <v>46106</v>
      </c>
      <c r="Y384" s="116">
        <v>2047369</v>
      </c>
      <c r="Z384" s="116" t="s">
        <v>3944</v>
      </c>
      <c r="AA384" s="116">
        <v>-0.01</v>
      </c>
      <c r="AB384" s="119"/>
      <c r="AC384" s="119"/>
      <c r="AD384" s="119"/>
      <c r="AE384" s="119"/>
      <c r="AF384" s="119"/>
      <c r="AG384" s="119"/>
      <c r="AH384" s="119"/>
      <c r="AI384" s="119"/>
      <c r="AJ384" s="119"/>
      <c r="AK384" s="119"/>
      <c r="AL384" s="119"/>
      <c r="AM384" s="122"/>
      <c r="AN384" s="116" t="s">
        <v>2346</v>
      </c>
      <c r="AO384" s="116" t="s">
        <v>2346</v>
      </c>
      <c r="AP384" s="116" t="s">
        <v>2659</v>
      </c>
    </row>
    <row r="385" spans="1:42">
      <c r="A385" s="113" t="s">
        <v>3946</v>
      </c>
      <c r="B385" s="114">
        <v>46106</v>
      </c>
      <c r="C385" s="115">
        <v>0.524074074074074</v>
      </c>
      <c r="D385" s="114">
        <v>46106</v>
      </c>
      <c r="E385" s="115">
        <v>0.527233796296296</v>
      </c>
      <c r="F385" s="116" t="s">
        <v>3947</v>
      </c>
      <c r="G385" s="114">
        <v>46058</v>
      </c>
      <c r="H385" s="116">
        <v>2566987820</v>
      </c>
      <c r="I385" s="116" t="s">
        <v>3948</v>
      </c>
      <c r="J385" s="116" t="s">
        <v>2226</v>
      </c>
      <c r="K385" s="116" t="s">
        <v>2566</v>
      </c>
      <c r="L385" s="116" t="s">
        <v>2567</v>
      </c>
      <c r="M385" s="116" t="s">
        <v>2331</v>
      </c>
      <c r="N385" s="116" t="s">
        <v>3949</v>
      </c>
      <c r="O385" s="119"/>
      <c r="P385" s="116">
        <v>4917246</v>
      </c>
      <c r="Q385" s="116" t="s">
        <v>2490</v>
      </c>
      <c r="R385" s="116" t="s">
        <v>2376</v>
      </c>
      <c r="S385" s="116" t="s">
        <v>3950</v>
      </c>
      <c r="T385" s="116">
        <v>622500</v>
      </c>
      <c r="U385" s="116">
        <v>650000</v>
      </c>
      <c r="V385" s="116" t="s">
        <v>2570</v>
      </c>
      <c r="W385" s="116">
        <v>261531000000000</v>
      </c>
      <c r="X385" s="114">
        <v>46106</v>
      </c>
      <c r="Y385" s="116">
        <v>2020807</v>
      </c>
      <c r="Z385" s="116" t="s">
        <v>3948</v>
      </c>
      <c r="AA385" s="116">
        <v>0</v>
      </c>
      <c r="AB385" s="119"/>
      <c r="AC385" s="119"/>
      <c r="AD385" s="119"/>
      <c r="AE385" s="119"/>
      <c r="AF385" s="119"/>
      <c r="AG385" s="119"/>
      <c r="AH385" s="119"/>
      <c r="AI385" s="119"/>
      <c r="AJ385" s="119"/>
      <c r="AK385" s="119"/>
      <c r="AL385" s="119"/>
      <c r="AM385" s="122"/>
      <c r="AN385" s="116" t="s">
        <v>2346</v>
      </c>
      <c r="AO385" s="116" t="s">
        <v>2346</v>
      </c>
      <c r="AP385" s="116" t="s">
        <v>2571</v>
      </c>
    </row>
    <row r="386" spans="1:42">
      <c r="A386" s="113" t="s">
        <v>1153</v>
      </c>
      <c r="B386" s="114">
        <v>46106</v>
      </c>
      <c r="C386" s="115">
        <v>0.533518518518519</v>
      </c>
      <c r="D386" s="114">
        <v>46106</v>
      </c>
      <c r="E386" s="115">
        <v>0.53412037037037</v>
      </c>
      <c r="F386" s="116" t="s">
        <v>1150</v>
      </c>
      <c r="G386" s="114">
        <v>46042</v>
      </c>
      <c r="H386" s="116">
        <v>2566692451</v>
      </c>
      <c r="I386" s="116" t="s">
        <v>1581</v>
      </c>
      <c r="J386" s="116" t="s">
        <v>2141</v>
      </c>
      <c r="K386" s="116" t="s">
        <v>2329</v>
      </c>
      <c r="L386" s="116" t="s">
        <v>2330</v>
      </c>
      <c r="M386" s="116" t="s">
        <v>2331</v>
      </c>
      <c r="N386" s="116" t="s">
        <v>3951</v>
      </c>
      <c r="O386" s="119"/>
      <c r="P386" s="116">
        <v>1432824</v>
      </c>
      <c r="Q386" s="116" t="s">
        <v>3952</v>
      </c>
      <c r="R386" s="116" t="s">
        <v>2344</v>
      </c>
      <c r="S386" s="116" t="s">
        <v>3588</v>
      </c>
      <c r="T386" s="116">
        <v>478900.41</v>
      </c>
      <c r="U386" s="116">
        <v>424000</v>
      </c>
      <c r="V386" s="116" t="s">
        <v>2337</v>
      </c>
      <c r="W386" s="116">
        <v>261501000000000</v>
      </c>
      <c r="X386" s="114">
        <v>46106</v>
      </c>
      <c r="Y386" s="116">
        <v>2022643</v>
      </c>
      <c r="Z386" s="116" t="s">
        <v>1581</v>
      </c>
      <c r="AA386" s="116">
        <v>-0.02</v>
      </c>
      <c r="AB386" s="119"/>
      <c r="AC386" s="119"/>
      <c r="AD386" s="119"/>
      <c r="AE386" s="119"/>
      <c r="AF386" s="119"/>
      <c r="AG386" s="119"/>
      <c r="AH386" s="119"/>
      <c r="AI386" s="119"/>
      <c r="AJ386" s="119"/>
      <c r="AK386" s="119"/>
      <c r="AL386" s="119"/>
      <c r="AM386" s="122"/>
      <c r="AN386" s="116" t="s">
        <v>3589</v>
      </c>
      <c r="AO386" s="116" t="s">
        <v>2561</v>
      </c>
      <c r="AP386" s="116" t="s">
        <v>2562</v>
      </c>
    </row>
    <row r="387" spans="1:42">
      <c r="A387" s="113" t="s">
        <v>1144</v>
      </c>
      <c r="B387" s="114">
        <v>46106</v>
      </c>
      <c r="C387" s="115">
        <v>0.536851851851852</v>
      </c>
      <c r="D387" s="114">
        <v>46106</v>
      </c>
      <c r="E387" s="115">
        <v>0.537650462962963</v>
      </c>
      <c r="F387" s="116" t="s">
        <v>1141</v>
      </c>
      <c r="G387" s="114">
        <v>46092</v>
      </c>
      <c r="H387" s="116">
        <v>2567796557</v>
      </c>
      <c r="I387" s="116" t="s">
        <v>3953</v>
      </c>
      <c r="J387" s="116" t="s">
        <v>2189</v>
      </c>
      <c r="K387" s="116" t="s">
        <v>2463</v>
      </c>
      <c r="L387" s="116" t="s">
        <v>2464</v>
      </c>
      <c r="M387" s="116" t="s">
        <v>2331</v>
      </c>
      <c r="N387" s="116" t="s">
        <v>3954</v>
      </c>
      <c r="O387" s="119"/>
      <c r="P387" s="116" t="s">
        <v>1143</v>
      </c>
      <c r="Q387" s="116" t="s">
        <v>2797</v>
      </c>
      <c r="R387" s="116" t="s">
        <v>2335</v>
      </c>
      <c r="S387" s="116" t="s">
        <v>3955</v>
      </c>
      <c r="T387" s="116">
        <v>1009184.82</v>
      </c>
      <c r="U387" s="116">
        <v>990000</v>
      </c>
      <c r="V387" s="116" t="s">
        <v>2469</v>
      </c>
      <c r="W387" s="116">
        <v>261517000000000</v>
      </c>
      <c r="X387" s="114">
        <v>46106</v>
      </c>
      <c r="Y387" s="116">
        <v>2043483</v>
      </c>
      <c r="Z387" s="116" t="s">
        <v>3953</v>
      </c>
      <c r="AA387" s="116">
        <v>14285.69</v>
      </c>
      <c r="AB387" s="119"/>
      <c r="AC387" s="119"/>
      <c r="AD387" s="119"/>
      <c r="AE387" s="119"/>
      <c r="AF387" s="119"/>
      <c r="AG387" s="119"/>
      <c r="AH387" s="119"/>
      <c r="AI387" s="119"/>
      <c r="AJ387" s="119"/>
      <c r="AK387" s="119"/>
      <c r="AL387" s="119"/>
      <c r="AM387" s="122"/>
      <c r="AN387" s="116" t="s">
        <v>2754</v>
      </c>
      <c r="AO387" s="116" t="s">
        <v>2471</v>
      </c>
      <c r="AP387" s="116" t="s">
        <v>2472</v>
      </c>
    </row>
    <row r="388" spans="1:42">
      <c r="A388" s="113" t="s">
        <v>3956</v>
      </c>
      <c r="B388" s="114">
        <v>46106</v>
      </c>
      <c r="C388" s="115">
        <v>0.541793981481482</v>
      </c>
      <c r="D388" s="114">
        <v>46106</v>
      </c>
      <c r="E388" s="115">
        <v>0.544699074074074</v>
      </c>
      <c r="F388" s="116" t="s">
        <v>3957</v>
      </c>
      <c r="G388" s="114">
        <v>46085</v>
      </c>
      <c r="H388" s="116">
        <v>2567427591</v>
      </c>
      <c r="I388" s="116" t="s">
        <v>3958</v>
      </c>
      <c r="J388" s="116" t="s">
        <v>2226</v>
      </c>
      <c r="K388" s="116" t="s">
        <v>2566</v>
      </c>
      <c r="L388" s="116" t="s">
        <v>2567</v>
      </c>
      <c r="M388" s="116" t="s">
        <v>2331</v>
      </c>
      <c r="N388" s="116" t="s">
        <v>3959</v>
      </c>
      <c r="O388" s="119"/>
      <c r="P388" s="116">
        <v>7907552</v>
      </c>
      <c r="Q388" s="116" t="s">
        <v>3885</v>
      </c>
      <c r="R388" s="116" t="s">
        <v>3081</v>
      </c>
      <c r="S388" s="116" t="s">
        <v>3161</v>
      </c>
      <c r="T388" s="116">
        <v>1030794.85</v>
      </c>
      <c r="U388" s="116">
        <v>980000</v>
      </c>
      <c r="V388" s="116" t="s">
        <v>2570</v>
      </c>
      <c r="W388" s="116">
        <v>261531000000000</v>
      </c>
      <c r="X388" s="114">
        <v>46106</v>
      </c>
      <c r="Y388" s="116">
        <v>2040685</v>
      </c>
      <c r="Z388" s="116" t="s">
        <v>3958</v>
      </c>
      <c r="AA388" s="116">
        <v>-0.01</v>
      </c>
      <c r="AB388" s="119"/>
      <c r="AC388" s="119"/>
      <c r="AD388" s="119"/>
      <c r="AE388" s="119"/>
      <c r="AF388" s="119"/>
      <c r="AG388" s="119"/>
      <c r="AH388" s="119"/>
      <c r="AI388" s="119"/>
      <c r="AJ388" s="119"/>
      <c r="AK388" s="119"/>
      <c r="AL388" s="119"/>
      <c r="AM388" s="122"/>
      <c r="AN388" s="116" t="s">
        <v>2346</v>
      </c>
      <c r="AO388" s="116" t="s">
        <v>2346</v>
      </c>
      <c r="AP388" s="116" t="s">
        <v>2571</v>
      </c>
    </row>
    <row r="389" spans="1:42">
      <c r="A389" s="113" t="s">
        <v>3960</v>
      </c>
      <c r="B389" s="114">
        <v>46106</v>
      </c>
      <c r="C389" s="115">
        <v>0.570162037037037</v>
      </c>
      <c r="D389" s="114">
        <v>46106</v>
      </c>
      <c r="E389" s="115">
        <v>0.575856481481481</v>
      </c>
      <c r="F389" s="116" t="s">
        <v>3961</v>
      </c>
      <c r="G389" s="114">
        <v>46105</v>
      </c>
      <c r="H389" s="116">
        <v>2567776941</v>
      </c>
      <c r="I389" s="116" t="s">
        <v>3962</v>
      </c>
      <c r="J389" s="116" t="s">
        <v>2226</v>
      </c>
      <c r="K389" s="116" t="s">
        <v>2566</v>
      </c>
      <c r="L389" s="116" t="s">
        <v>2567</v>
      </c>
      <c r="M389" s="116" t="s">
        <v>2331</v>
      </c>
      <c r="N389" s="116" t="s">
        <v>3963</v>
      </c>
      <c r="O389" s="119"/>
      <c r="P389" s="116">
        <v>4878760</v>
      </c>
      <c r="Q389" s="116" t="s">
        <v>2939</v>
      </c>
      <c r="R389" s="116" t="s">
        <v>2435</v>
      </c>
      <c r="S389" s="116" t="s">
        <v>2619</v>
      </c>
      <c r="T389" s="116">
        <v>846900.51</v>
      </c>
      <c r="U389" s="119"/>
      <c r="V389" s="116" t="s">
        <v>2570</v>
      </c>
      <c r="W389" s="116">
        <v>261531000000000</v>
      </c>
      <c r="X389" s="114">
        <v>46106</v>
      </c>
      <c r="Y389" s="116">
        <v>2048593</v>
      </c>
      <c r="Z389" s="116" t="s">
        <v>3962</v>
      </c>
      <c r="AA389" s="116">
        <v>-0.01</v>
      </c>
      <c r="AB389" s="119"/>
      <c r="AC389" s="119"/>
      <c r="AD389" s="119"/>
      <c r="AE389" s="119"/>
      <c r="AF389" s="119"/>
      <c r="AG389" s="119"/>
      <c r="AH389" s="119"/>
      <c r="AI389" s="119"/>
      <c r="AJ389" s="119"/>
      <c r="AK389" s="119"/>
      <c r="AL389" s="119"/>
      <c r="AM389" s="122"/>
      <c r="AN389" s="116" t="s">
        <v>2346</v>
      </c>
      <c r="AO389" s="116" t="s">
        <v>2346</v>
      </c>
      <c r="AP389" s="116" t="s">
        <v>2571</v>
      </c>
    </row>
    <row r="390" spans="1:42">
      <c r="A390" s="113" t="s">
        <v>1180</v>
      </c>
      <c r="B390" s="114">
        <v>46106</v>
      </c>
      <c r="C390" s="115">
        <v>0.630358796296296</v>
      </c>
      <c r="D390" s="114">
        <v>46106</v>
      </c>
      <c r="E390" s="115">
        <v>0.631377314814815</v>
      </c>
      <c r="F390" s="116" t="s">
        <v>1177</v>
      </c>
      <c r="G390" s="114">
        <v>46093</v>
      </c>
      <c r="H390" s="116">
        <v>2567561761</v>
      </c>
      <c r="I390" s="116" t="s">
        <v>1181</v>
      </c>
      <c r="J390" s="116" t="s">
        <v>2151</v>
      </c>
      <c r="K390" s="116" t="s">
        <v>2414</v>
      </c>
      <c r="L390" s="116" t="s">
        <v>2415</v>
      </c>
      <c r="M390" s="116" t="s">
        <v>2331</v>
      </c>
      <c r="N390" s="116" t="s">
        <v>3964</v>
      </c>
      <c r="O390" s="119"/>
      <c r="P390" s="116">
        <v>9261626</v>
      </c>
      <c r="Q390" s="116" t="s">
        <v>2673</v>
      </c>
      <c r="R390" s="116" t="s">
        <v>2376</v>
      </c>
      <c r="S390" s="116" t="s">
        <v>3965</v>
      </c>
      <c r="T390" s="116">
        <v>655399.72</v>
      </c>
      <c r="U390" s="116">
        <v>728212</v>
      </c>
      <c r="V390" s="116" t="s">
        <v>2419</v>
      </c>
      <c r="W390" s="116">
        <v>261503000000000</v>
      </c>
      <c r="X390" s="114">
        <v>46106</v>
      </c>
      <c r="Y390" s="116">
        <v>2043906</v>
      </c>
      <c r="Z390" s="116" t="s">
        <v>1181</v>
      </c>
      <c r="AA390" s="116">
        <v>0</v>
      </c>
      <c r="AB390" s="119"/>
      <c r="AC390" s="119"/>
      <c r="AD390" s="119"/>
      <c r="AE390" s="119"/>
      <c r="AF390" s="119"/>
      <c r="AG390" s="119"/>
      <c r="AH390" s="119"/>
      <c r="AI390" s="119"/>
      <c r="AJ390" s="119"/>
      <c r="AK390" s="119"/>
      <c r="AL390" s="119"/>
      <c r="AM390" s="122"/>
      <c r="AN390" s="116" t="s">
        <v>3295</v>
      </c>
      <c r="AO390" s="116" t="s">
        <v>3296</v>
      </c>
      <c r="AP390" s="116" t="s">
        <v>2413</v>
      </c>
    </row>
    <row r="391" spans="1:42">
      <c r="A391" s="113" t="s">
        <v>3966</v>
      </c>
      <c r="B391" s="114">
        <v>46106</v>
      </c>
      <c r="C391" s="115">
        <v>0.632094907407407</v>
      </c>
      <c r="D391" s="114">
        <v>46106</v>
      </c>
      <c r="E391" s="115">
        <v>0.634837962962963</v>
      </c>
      <c r="F391" s="116" t="s">
        <v>1221</v>
      </c>
      <c r="G391" s="114">
        <v>46087</v>
      </c>
      <c r="H391" s="116">
        <v>2567452661</v>
      </c>
      <c r="I391" s="116" t="s">
        <v>3967</v>
      </c>
      <c r="J391" s="116" t="s">
        <v>2222</v>
      </c>
      <c r="K391" s="116" t="s">
        <v>2357</v>
      </c>
      <c r="L391" s="116" t="s">
        <v>2358</v>
      </c>
      <c r="M391" s="116" t="s">
        <v>2331</v>
      </c>
      <c r="N391" s="116" t="s">
        <v>3968</v>
      </c>
      <c r="O391" s="119"/>
      <c r="P391" s="116">
        <v>7696794</v>
      </c>
      <c r="Q391" s="116" t="s">
        <v>3969</v>
      </c>
      <c r="R391" s="116" t="s">
        <v>2435</v>
      </c>
      <c r="S391" s="116" t="s">
        <v>3265</v>
      </c>
      <c r="T391" s="116">
        <v>1386325.98</v>
      </c>
      <c r="U391" s="116">
        <v>900000</v>
      </c>
      <c r="V391" s="116" t="s">
        <v>2364</v>
      </c>
      <c r="W391" s="116">
        <v>261534000000000</v>
      </c>
      <c r="X391" s="114">
        <v>46106</v>
      </c>
      <c r="Y391" s="116">
        <v>2041735</v>
      </c>
      <c r="Z391" s="116" t="s">
        <v>3967</v>
      </c>
      <c r="AA391" s="116">
        <v>-0.03</v>
      </c>
      <c r="AB391" s="119"/>
      <c r="AC391" s="119"/>
      <c r="AD391" s="119"/>
      <c r="AE391" s="119"/>
      <c r="AF391" s="119"/>
      <c r="AG391" s="119"/>
      <c r="AH391" s="119"/>
      <c r="AI391" s="119"/>
      <c r="AJ391" s="119"/>
      <c r="AK391" s="119"/>
      <c r="AL391" s="119"/>
      <c r="AM391" s="122"/>
      <c r="AN391" s="116" t="s">
        <v>3663</v>
      </c>
      <c r="AO391" s="116" t="s">
        <v>2608</v>
      </c>
      <c r="AP391" s="116" t="s">
        <v>2367</v>
      </c>
    </row>
    <row r="392" spans="1:42">
      <c r="A392" s="113" t="s">
        <v>3970</v>
      </c>
      <c r="B392" s="114">
        <v>46106</v>
      </c>
      <c r="C392" s="115">
        <v>0.641782407407407</v>
      </c>
      <c r="D392" s="114">
        <v>46106</v>
      </c>
      <c r="E392" s="115">
        <v>0.645243055555556</v>
      </c>
      <c r="F392" s="116" t="s">
        <v>3971</v>
      </c>
      <c r="G392" s="114">
        <v>46042</v>
      </c>
      <c r="H392" s="116">
        <v>2566687419</v>
      </c>
      <c r="I392" s="116" t="s">
        <v>3972</v>
      </c>
      <c r="J392" s="116" t="s">
        <v>2222</v>
      </c>
      <c r="K392" s="116" t="s">
        <v>2357</v>
      </c>
      <c r="L392" s="116" t="s">
        <v>2358</v>
      </c>
      <c r="M392" s="116" t="s">
        <v>2331</v>
      </c>
      <c r="N392" s="116" t="s">
        <v>3973</v>
      </c>
      <c r="O392" s="119"/>
      <c r="P392" s="116">
        <v>4896891</v>
      </c>
      <c r="Q392" s="116" t="s">
        <v>2783</v>
      </c>
      <c r="R392" s="116" t="s">
        <v>2435</v>
      </c>
      <c r="S392" s="116" t="s">
        <v>2634</v>
      </c>
      <c r="T392" s="116">
        <v>655809.84</v>
      </c>
      <c r="U392" s="116">
        <v>600000</v>
      </c>
      <c r="V392" s="116" t="s">
        <v>2364</v>
      </c>
      <c r="W392" s="116">
        <v>261534000000000</v>
      </c>
      <c r="X392" s="114">
        <v>46106</v>
      </c>
      <c r="Y392" s="116">
        <v>2022623</v>
      </c>
      <c r="Z392" s="116" t="s">
        <v>3972</v>
      </c>
      <c r="AA392" s="116">
        <v>-0.03</v>
      </c>
      <c r="AB392" s="119"/>
      <c r="AC392" s="119"/>
      <c r="AD392" s="119"/>
      <c r="AE392" s="119"/>
      <c r="AF392" s="119"/>
      <c r="AG392" s="119"/>
      <c r="AH392" s="119"/>
      <c r="AI392" s="119"/>
      <c r="AJ392" s="119"/>
      <c r="AK392" s="119"/>
      <c r="AL392" s="119"/>
      <c r="AM392" s="122"/>
      <c r="AN392" s="116" t="s">
        <v>2767</v>
      </c>
      <c r="AO392" s="116" t="s">
        <v>2768</v>
      </c>
      <c r="AP392" s="116" t="s">
        <v>2769</v>
      </c>
    </row>
    <row r="393" spans="1:42">
      <c r="A393" s="113" t="s">
        <v>3974</v>
      </c>
      <c r="B393" s="114">
        <v>46106</v>
      </c>
      <c r="C393" s="115">
        <v>0.645069444444444</v>
      </c>
      <c r="D393" s="114">
        <v>46106</v>
      </c>
      <c r="E393" s="115">
        <v>0.645243055555556</v>
      </c>
      <c r="F393" s="116" t="s">
        <v>3975</v>
      </c>
      <c r="G393" s="114">
        <v>46013</v>
      </c>
      <c r="H393" s="116">
        <v>2566132882</v>
      </c>
      <c r="I393" s="116" t="s">
        <v>3976</v>
      </c>
      <c r="J393" s="116" t="s">
        <v>3055</v>
      </c>
      <c r="K393" s="116" t="s">
        <v>3056</v>
      </c>
      <c r="L393" s="116" t="s">
        <v>3057</v>
      </c>
      <c r="M393" s="116" t="s">
        <v>2331</v>
      </c>
      <c r="N393" s="116" t="s">
        <v>3977</v>
      </c>
      <c r="O393" s="119"/>
      <c r="P393" s="116">
        <v>4897072</v>
      </c>
      <c r="Q393" s="116" t="s">
        <v>2702</v>
      </c>
      <c r="R393" s="116" t="s">
        <v>2335</v>
      </c>
      <c r="S393" s="116" t="s">
        <v>3978</v>
      </c>
      <c r="T393" s="116">
        <v>707899.91</v>
      </c>
      <c r="U393" s="116">
        <v>779000</v>
      </c>
      <c r="V393" s="116" t="s">
        <v>3061</v>
      </c>
      <c r="W393" s="116">
        <v>261538000000000</v>
      </c>
      <c r="X393" s="114">
        <v>46106</v>
      </c>
      <c r="Y393" s="116">
        <v>2009337</v>
      </c>
      <c r="Z393" s="116" t="s">
        <v>3976</v>
      </c>
      <c r="AA393" s="116">
        <v>0</v>
      </c>
      <c r="AB393" s="119"/>
      <c r="AC393" s="119"/>
      <c r="AD393" s="119"/>
      <c r="AE393" s="119"/>
      <c r="AF393" s="119"/>
      <c r="AG393" s="119"/>
      <c r="AH393" s="119"/>
      <c r="AI393" s="119"/>
      <c r="AJ393" s="119"/>
      <c r="AK393" s="119"/>
      <c r="AL393" s="119"/>
      <c r="AM393" s="122"/>
      <c r="AN393" s="116" t="s">
        <v>2346</v>
      </c>
      <c r="AO393" s="116" t="s">
        <v>2346</v>
      </c>
      <c r="AP393" s="116" t="s">
        <v>3979</v>
      </c>
    </row>
    <row r="394" spans="1:42">
      <c r="A394" s="113" t="s">
        <v>1148</v>
      </c>
      <c r="B394" s="114">
        <v>46106</v>
      </c>
      <c r="C394" s="115">
        <v>0.646527777777778</v>
      </c>
      <c r="D394" s="114">
        <v>46106</v>
      </c>
      <c r="E394" s="115">
        <v>0.648842592592593</v>
      </c>
      <c r="F394" s="116" t="s">
        <v>923</v>
      </c>
      <c r="G394" s="114">
        <v>46090</v>
      </c>
      <c r="H394" s="116">
        <v>2567504132</v>
      </c>
      <c r="I394" s="116" t="s">
        <v>1149</v>
      </c>
      <c r="J394" s="116" t="s">
        <v>2189</v>
      </c>
      <c r="K394" s="116" t="s">
        <v>2463</v>
      </c>
      <c r="L394" s="116" t="s">
        <v>2464</v>
      </c>
      <c r="M394" s="116" t="s">
        <v>2331</v>
      </c>
      <c r="N394" s="116" t="s">
        <v>3980</v>
      </c>
      <c r="O394" s="119"/>
      <c r="P394" s="116" t="s">
        <v>1147</v>
      </c>
      <c r="Q394" s="116" t="s">
        <v>3620</v>
      </c>
      <c r="R394" s="116" t="s">
        <v>2335</v>
      </c>
      <c r="S394" s="116" t="s">
        <v>3955</v>
      </c>
      <c r="T394" s="116">
        <v>1319103.22</v>
      </c>
      <c r="U394" s="119"/>
      <c r="V394" s="116" t="s">
        <v>2469</v>
      </c>
      <c r="W394" s="116">
        <v>261517000000000</v>
      </c>
      <c r="X394" s="114">
        <v>46106</v>
      </c>
      <c r="Y394" s="116">
        <v>2042620</v>
      </c>
      <c r="Z394" s="116" t="s">
        <v>1149</v>
      </c>
      <c r="AA394" s="116">
        <v>14285.67</v>
      </c>
      <c r="AB394" s="119"/>
      <c r="AC394" s="119"/>
      <c r="AD394" s="119"/>
      <c r="AE394" s="119"/>
      <c r="AF394" s="119"/>
      <c r="AG394" s="119"/>
      <c r="AH394" s="119"/>
      <c r="AI394" s="119"/>
      <c r="AJ394" s="119"/>
      <c r="AK394" s="119"/>
      <c r="AL394" s="119"/>
      <c r="AM394" s="122"/>
      <c r="AN394" s="116" t="s">
        <v>2754</v>
      </c>
      <c r="AO394" s="116" t="s">
        <v>2471</v>
      </c>
      <c r="AP394" s="116" t="s">
        <v>2472</v>
      </c>
    </row>
    <row r="395" spans="1:42">
      <c r="A395" s="113" t="s">
        <v>3981</v>
      </c>
      <c r="B395" s="114">
        <v>46106</v>
      </c>
      <c r="C395" s="115">
        <v>0.653634259259259</v>
      </c>
      <c r="D395" s="114">
        <v>46106</v>
      </c>
      <c r="E395" s="115">
        <v>0.655787037037037</v>
      </c>
      <c r="F395" s="116" t="s">
        <v>2780</v>
      </c>
      <c r="G395" s="114">
        <v>46098</v>
      </c>
      <c r="H395" s="116">
        <v>2567640428</v>
      </c>
      <c r="I395" s="116" t="s">
        <v>3982</v>
      </c>
      <c r="J395" s="116" t="s">
        <v>2213</v>
      </c>
      <c r="K395" s="116" t="s">
        <v>2454</v>
      </c>
      <c r="L395" s="116" t="s">
        <v>2455</v>
      </c>
      <c r="M395" s="116" t="s">
        <v>2331</v>
      </c>
      <c r="N395" s="116" t="s">
        <v>3983</v>
      </c>
      <c r="O395" s="119"/>
      <c r="P395" s="116" t="s">
        <v>3984</v>
      </c>
      <c r="Q395" s="116" t="s">
        <v>3985</v>
      </c>
      <c r="R395" s="116" t="s">
        <v>2335</v>
      </c>
      <c r="S395" s="116" t="s">
        <v>3176</v>
      </c>
      <c r="T395" s="116">
        <v>1623978.64</v>
      </c>
      <c r="U395" s="116">
        <v>1637900</v>
      </c>
      <c r="V395" s="116" t="s">
        <v>2460</v>
      </c>
      <c r="W395" s="116">
        <v>261532000000000</v>
      </c>
      <c r="X395" s="114">
        <v>46106</v>
      </c>
      <c r="Y395" s="116">
        <v>2046141</v>
      </c>
      <c r="Z395" s="116" t="s">
        <v>3982</v>
      </c>
      <c r="AA395" s="116">
        <v>-0.11</v>
      </c>
      <c r="AB395" s="119"/>
      <c r="AC395" s="119"/>
      <c r="AD395" s="119"/>
      <c r="AE395" s="119"/>
      <c r="AF395" s="119"/>
      <c r="AG395" s="119"/>
      <c r="AH395" s="119"/>
      <c r="AI395" s="119"/>
      <c r="AJ395" s="119"/>
      <c r="AK395" s="119"/>
      <c r="AL395" s="119"/>
      <c r="AM395" s="122"/>
      <c r="AN395" s="116" t="s">
        <v>2346</v>
      </c>
      <c r="AO395" s="116" t="s">
        <v>2346</v>
      </c>
      <c r="AP395" s="116" t="s">
        <v>2659</v>
      </c>
    </row>
    <row r="396" spans="1:42">
      <c r="A396" s="113" t="s">
        <v>3986</v>
      </c>
      <c r="B396" s="114">
        <v>46106</v>
      </c>
      <c r="C396" s="115">
        <v>0.654780092592593</v>
      </c>
      <c r="D396" s="114">
        <v>46106</v>
      </c>
      <c r="E396" s="115">
        <v>0.655787037037037</v>
      </c>
      <c r="F396" s="116" t="s">
        <v>3987</v>
      </c>
      <c r="G396" s="114">
        <v>46106</v>
      </c>
      <c r="H396" s="116">
        <v>2567793494</v>
      </c>
      <c r="I396" s="116" t="s">
        <v>3988</v>
      </c>
      <c r="J396" s="116" t="s">
        <v>2222</v>
      </c>
      <c r="K396" s="116" t="s">
        <v>2357</v>
      </c>
      <c r="L396" s="116" t="s">
        <v>2358</v>
      </c>
      <c r="M396" s="116" t="s">
        <v>2331</v>
      </c>
      <c r="N396" s="116" t="s">
        <v>3989</v>
      </c>
      <c r="O396" s="119"/>
      <c r="P396" s="116">
        <v>4917051</v>
      </c>
      <c r="Q396" s="116" t="s">
        <v>3024</v>
      </c>
      <c r="R396" s="116" t="s">
        <v>2984</v>
      </c>
      <c r="S396" s="116" t="s">
        <v>2831</v>
      </c>
      <c r="T396" s="116">
        <v>656000.63</v>
      </c>
      <c r="U396" s="116">
        <v>600000</v>
      </c>
      <c r="V396" s="116" t="s">
        <v>2364</v>
      </c>
      <c r="W396" s="116">
        <v>261534000000000</v>
      </c>
      <c r="X396" s="114">
        <v>46106</v>
      </c>
      <c r="Y396" s="116">
        <v>2048908</v>
      </c>
      <c r="Z396" s="116" t="s">
        <v>3988</v>
      </c>
      <c r="AA396" s="116">
        <v>0.02</v>
      </c>
      <c r="AB396" s="119"/>
      <c r="AC396" s="119"/>
      <c r="AD396" s="119"/>
      <c r="AE396" s="119"/>
      <c r="AF396" s="119"/>
      <c r="AG396" s="119"/>
      <c r="AH396" s="119"/>
      <c r="AI396" s="119"/>
      <c r="AJ396" s="119"/>
      <c r="AK396" s="119"/>
      <c r="AL396" s="119"/>
      <c r="AM396" s="122"/>
      <c r="AN396" s="116" t="s">
        <v>2920</v>
      </c>
      <c r="AO396" s="116" t="s">
        <v>2833</v>
      </c>
      <c r="AP396" s="116" t="s">
        <v>2367</v>
      </c>
    </row>
    <row r="397" spans="1:42">
      <c r="A397" s="113" t="s">
        <v>3990</v>
      </c>
      <c r="B397" s="114">
        <v>46106</v>
      </c>
      <c r="C397" s="115">
        <v>0.657256944444444</v>
      </c>
      <c r="D397" s="114">
        <v>46106</v>
      </c>
      <c r="E397" s="115">
        <v>0.659155092592593</v>
      </c>
      <c r="F397" s="116" t="s">
        <v>3991</v>
      </c>
      <c r="G397" s="114">
        <v>46092</v>
      </c>
      <c r="H397" s="116">
        <v>2567531590</v>
      </c>
      <c r="I397" s="116" t="s">
        <v>3992</v>
      </c>
      <c r="J397" s="116" t="s">
        <v>2199</v>
      </c>
      <c r="K397" s="116" t="s">
        <v>2371</v>
      </c>
      <c r="L397" s="116" t="s">
        <v>2372</v>
      </c>
      <c r="M397" s="116" t="s">
        <v>2331</v>
      </c>
      <c r="N397" s="116" t="s">
        <v>3993</v>
      </c>
      <c r="O397" s="119"/>
      <c r="P397" s="116">
        <v>4894243</v>
      </c>
      <c r="Q397" s="116" t="s">
        <v>2939</v>
      </c>
      <c r="R397" s="116" t="s">
        <v>2376</v>
      </c>
      <c r="S397" s="116" t="s">
        <v>2426</v>
      </c>
      <c r="T397" s="116">
        <v>834900.51</v>
      </c>
      <c r="U397" s="119"/>
      <c r="V397" s="116" t="s">
        <v>2378</v>
      </c>
      <c r="W397" s="116">
        <v>261502000000000</v>
      </c>
      <c r="X397" s="114">
        <v>46106</v>
      </c>
      <c r="Y397" s="116">
        <v>2043234</v>
      </c>
      <c r="Z397" s="116" t="s">
        <v>3992</v>
      </c>
      <c r="AA397" s="116">
        <v>0</v>
      </c>
      <c r="AB397" s="119"/>
      <c r="AC397" s="119"/>
      <c r="AD397" s="119"/>
      <c r="AE397" s="119"/>
      <c r="AF397" s="119"/>
      <c r="AG397" s="119"/>
      <c r="AH397" s="119"/>
      <c r="AI397" s="119"/>
      <c r="AJ397" s="119"/>
      <c r="AK397" s="119"/>
      <c r="AL397" s="119"/>
      <c r="AM397" s="122"/>
      <c r="AN397" s="116" t="s">
        <v>2792</v>
      </c>
      <c r="AO397" s="116" t="s">
        <v>69</v>
      </c>
      <c r="AP397" s="116" t="s">
        <v>2397</v>
      </c>
    </row>
    <row r="398" spans="1:42">
      <c r="A398" s="113" t="s">
        <v>3994</v>
      </c>
      <c r="B398" s="114">
        <v>46106</v>
      </c>
      <c r="C398" s="115">
        <v>0.660497685185185</v>
      </c>
      <c r="D398" s="114">
        <v>46106</v>
      </c>
      <c r="E398" s="115">
        <v>0.662627314814815</v>
      </c>
      <c r="F398" s="116" t="s">
        <v>3995</v>
      </c>
      <c r="G398" s="114">
        <v>46035</v>
      </c>
      <c r="H398" s="116">
        <v>2566569878</v>
      </c>
      <c r="I398" s="116" t="s">
        <v>3996</v>
      </c>
      <c r="J398" s="116" t="s">
        <v>2199</v>
      </c>
      <c r="K398" s="116" t="s">
        <v>2371</v>
      </c>
      <c r="L398" s="116" t="s">
        <v>2372</v>
      </c>
      <c r="M398" s="116" t="s">
        <v>2331</v>
      </c>
      <c r="N398" s="116" t="s">
        <v>3997</v>
      </c>
      <c r="O398" s="119"/>
      <c r="P398" s="116">
        <v>4896007</v>
      </c>
      <c r="Q398" s="116" t="s">
        <v>2702</v>
      </c>
      <c r="R398" s="116" t="s">
        <v>2435</v>
      </c>
      <c r="S398" s="116" t="s">
        <v>2600</v>
      </c>
      <c r="T398" s="116">
        <v>703899.94</v>
      </c>
      <c r="U398" s="116">
        <v>500000</v>
      </c>
      <c r="V398" s="116" t="s">
        <v>2378</v>
      </c>
      <c r="W398" s="116">
        <v>261502000000000</v>
      </c>
      <c r="X398" s="114">
        <v>46106</v>
      </c>
      <c r="Y398" s="116">
        <v>1817989</v>
      </c>
      <c r="Z398" s="116" t="s">
        <v>3996</v>
      </c>
      <c r="AA398" s="116">
        <v>0.02</v>
      </c>
      <c r="AB398" s="119"/>
      <c r="AC398" s="119"/>
      <c r="AD398" s="119"/>
      <c r="AE398" s="119"/>
      <c r="AF398" s="119"/>
      <c r="AG398" s="119"/>
      <c r="AH398" s="119"/>
      <c r="AI398" s="119"/>
      <c r="AJ398" s="119"/>
      <c r="AK398" s="119"/>
      <c r="AL398" s="119"/>
      <c r="AM398" s="122"/>
      <c r="AN398" s="116" t="s">
        <v>2350</v>
      </c>
      <c r="AO398" s="116" t="s">
        <v>2351</v>
      </c>
      <c r="AP398" s="116" t="s">
        <v>2347</v>
      </c>
    </row>
    <row r="399" spans="1:42">
      <c r="A399" s="113" t="s">
        <v>3998</v>
      </c>
      <c r="B399" s="114">
        <v>46106</v>
      </c>
      <c r="C399" s="115">
        <v>0.663356481481482</v>
      </c>
      <c r="D399" s="114">
        <v>46106</v>
      </c>
      <c r="E399" s="115">
        <v>0.666076388888889</v>
      </c>
      <c r="F399" s="116" t="s">
        <v>3999</v>
      </c>
      <c r="G399" s="114">
        <v>46106</v>
      </c>
      <c r="H399" s="116">
        <v>2567802103</v>
      </c>
      <c r="I399" s="116" t="s">
        <v>4000</v>
      </c>
      <c r="J399" s="116" t="s">
        <v>2213</v>
      </c>
      <c r="K399" s="116" t="s">
        <v>2454</v>
      </c>
      <c r="L399" s="116" t="s">
        <v>2455</v>
      </c>
      <c r="M399" s="116" t="s">
        <v>2331</v>
      </c>
      <c r="N399" s="116" t="s">
        <v>4001</v>
      </c>
      <c r="O399" s="119"/>
      <c r="P399" s="116" t="s">
        <v>4002</v>
      </c>
      <c r="Q399" s="116" t="s">
        <v>2417</v>
      </c>
      <c r="R399" s="116" t="s">
        <v>2723</v>
      </c>
      <c r="S399" s="116" t="s">
        <v>2826</v>
      </c>
      <c r="T399" s="116">
        <v>1045247.43</v>
      </c>
      <c r="U399" s="119"/>
      <c r="V399" s="116" t="s">
        <v>2460</v>
      </c>
      <c r="W399" s="116">
        <v>261532000000000</v>
      </c>
      <c r="X399" s="114">
        <v>46106</v>
      </c>
      <c r="Y399" s="116">
        <v>2033282</v>
      </c>
      <c r="Z399" s="116" t="s">
        <v>4000</v>
      </c>
      <c r="AA399" s="116">
        <v>0</v>
      </c>
      <c r="AB399" s="119"/>
      <c r="AC399" s="119"/>
      <c r="AD399" s="119"/>
      <c r="AE399" s="119"/>
      <c r="AF399" s="119"/>
      <c r="AG399" s="119"/>
      <c r="AH399" s="119"/>
      <c r="AI399" s="119"/>
      <c r="AJ399" s="119"/>
      <c r="AK399" s="119"/>
      <c r="AL399" s="119"/>
      <c r="AM399" s="122"/>
      <c r="AN399" s="116" t="s">
        <v>2346</v>
      </c>
      <c r="AO399" s="116" t="s">
        <v>2346</v>
      </c>
      <c r="AP399" s="116" t="s">
        <v>2462</v>
      </c>
    </row>
    <row r="400" spans="1:42">
      <c r="A400" s="113" t="s">
        <v>4003</v>
      </c>
      <c r="B400" s="114">
        <v>46106</v>
      </c>
      <c r="C400" s="115">
        <v>0.687743055555556</v>
      </c>
      <c r="D400" s="114">
        <v>46106</v>
      </c>
      <c r="E400" s="115">
        <v>0.690601851851852</v>
      </c>
      <c r="F400" s="116" t="s">
        <v>4004</v>
      </c>
      <c r="G400" s="114">
        <v>46009</v>
      </c>
      <c r="H400" s="116">
        <v>2566080084</v>
      </c>
      <c r="I400" s="116" t="s">
        <v>4005</v>
      </c>
      <c r="J400" s="116" t="s">
        <v>2213</v>
      </c>
      <c r="K400" s="116" t="s">
        <v>2454</v>
      </c>
      <c r="L400" s="116" t="s">
        <v>2455</v>
      </c>
      <c r="M400" s="116" t="s">
        <v>2331</v>
      </c>
      <c r="N400" s="116" t="s">
        <v>4006</v>
      </c>
      <c r="O400" s="119"/>
      <c r="P400" s="116">
        <v>1437748</v>
      </c>
      <c r="Q400" s="116" t="s">
        <v>2788</v>
      </c>
      <c r="R400" s="116" t="s">
        <v>2984</v>
      </c>
      <c r="S400" s="116" t="s">
        <v>4007</v>
      </c>
      <c r="T400" s="116">
        <v>460400.26</v>
      </c>
      <c r="U400" s="116">
        <v>494900</v>
      </c>
      <c r="V400" s="116" t="s">
        <v>2460</v>
      </c>
      <c r="W400" s="116">
        <v>261532000000000</v>
      </c>
      <c r="X400" s="114">
        <v>46106</v>
      </c>
      <c r="Y400" s="116">
        <v>2008461</v>
      </c>
      <c r="Z400" s="116" t="s">
        <v>4005</v>
      </c>
      <c r="AA400" s="116">
        <v>-0.02</v>
      </c>
      <c r="AB400" s="119"/>
      <c r="AC400" s="119"/>
      <c r="AD400" s="119"/>
      <c r="AE400" s="119"/>
      <c r="AF400" s="119"/>
      <c r="AG400" s="119"/>
      <c r="AH400" s="119"/>
      <c r="AI400" s="119"/>
      <c r="AJ400" s="119"/>
      <c r="AK400" s="119"/>
      <c r="AL400" s="119"/>
      <c r="AM400" s="122"/>
      <c r="AN400" s="116" t="s">
        <v>2346</v>
      </c>
      <c r="AO400" s="116" t="s">
        <v>2346</v>
      </c>
      <c r="AP400" s="116" t="s">
        <v>2571</v>
      </c>
    </row>
    <row r="401" spans="1:42">
      <c r="A401" s="113" t="s">
        <v>4008</v>
      </c>
      <c r="B401" s="114">
        <v>46106</v>
      </c>
      <c r="C401" s="115">
        <v>0.693333333333333</v>
      </c>
      <c r="D401" s="114">
        <v>46106</v>
      </c>
      <c r="E401" s="115">
        <v>0.694456018518519</v>
      </c>
      <c r="F401" s="116" t="s">
        <v>4009</v>
      </c>
      <c r="G401" s="114">
        <v>46070</v>
      </c>
      <c r="H401" s="116">
        <v>2567184484</v>
      </c>
      <c r="I401" s="116" t="s">
        <v>4010</v>
      </c>
      <c r="J401" s="116" t="s">
        <v>3055</v>
      </c>
      <c r="K401" s="116" t="s">
        <v>3056</v>
      </c>
      <c r="L401" s="116" t="s">
        <v>3057</v>
      </c>
      <c r="M401" s="116" t="s">
        <v>2331</v>
      </c>
      <c r="N401" s="116" t="s">
        <v>4011</v>
      </c>
      <c r="O401" s="119"/>
      <c r="P401" s="116">
        <v>4898486</v>
      </c>
      <c r="Q401" s="116" t="s">
        <v>2529</v>
      </c>
      <c r="R401" s="116" t="s">
        <v>2376</v>
      </c>
      <c r="S401" s="116" t="s">
        <v>4012</v>
      </c>
      <c r="T401" s="116">
        <v>781399.83</v>
      </c>
      <c r="U401" s="116">
        <v>830000</v>
      </c>
      <c r="V401" s="116" t="s">
        <v>3061</v>
      </c>
      <c r="W401" s="116">
        <v>261538000000000</v>
      </c>
      <c r="X401" s="114">
        <v>46106</v>
      </c>
      <c r="Y401" s="116">
        <v>2035359</v>
      </c>
      <c r="Z401" s="116" t="s">
        <v>4010</v>
      </c>
      <c r="AA401" s="116">
        <v>0.03</v>
      </c>
      <c r="AB401" s="119"/>
      <c r="AC401" s="119"/>
      <c r="AD401" s="119"/>
      <c r="AE401" s="119"/>
      <c r="AF401" s="119"/>
      <c r="AG401" s="119"/>
      <c r="AH401" s="119"/>
      <c r="AI401" s="119"/>
      <c r="AJ401" s="119"/>
      <c r="AK401" s="119"/>
      <c r="AL401" s="119"/>
      <c r="AM401" s="122"/>
      <c r="AN401" s="116" t="s">
        <v>2346</v>
      </c>
      <c r="AO401" s="116" t="s">
        <v>2346</v>
      </c>
      <c r="AP401" s="116" t="s">
        <v>2557</v>
      </c>
    </row>
    <row r="402" spans="1:42">
      <c r="A402" s="113" t="s">
        <v>1159</v>
      </c>
      <c r="B402" s="114">
        <v>46106</v>
      </c>
      <c r="C402" s="115">
        <v>0.712881944444444</v>
      </c>
      <c r="D402" s="114">
        <v>46106</v>
      </c>
      <c r="E402" s="115">
        <v>0.714895833333333</v>
      </c>
      <c r="F402" s="116" t="s">
        <v>1156</v>
      </c>
      <c r="G402" s="114">
        <v>46092</v>
      </c>
      <c r="H402" s="116">
        <v>2567538167</v>
      </c>
      <c r="I402" s="116" t="s">
        <v>1160</v>
      </c>
      <c r="J402" s="116" t="s">
        <v>2141</v>
      </c>
      <c r="K402" s="116" t="s">
        <v>2329</v>
      </c>
      <c r="L402" s="116" t="s">
        <v>2330</v>
      </c>
      <c r="M402" s="116" t="s">
        <v>2331</v>
      </c>
      <c r="N402" s="116" t="s">
        <v>4013</v>
      </c>
      <c r="O402" s="119"/>
      <c r="P402" s="116" t="s">
        <v>1158</v>
      </c>
      <c r="Q402" s="116" t="s">
        <v>2788</v>
      </c>
      <c r="R402" s="116" t="s">
        <v>2538</v>
      </c>
      <c r="S402" s="116" t="s">
        <v>3304</v>
      </c>
      <c r="T402" s="116">
        <v>456399.72</v>
      </c>
      <c r="U402" s="119"/>
      <c r="V402" s="116" t="s">
        <v>2337</v>
      </c>
      <c r="W402" s="116">
        <v>261501000000000</v>
      </c>
      <c r="X402" s="114">
        <v>46106</v>
      </c>
      <c r="Y402" s="116">
        <v>2043492</v>
      </c>
      <c r="Z402" s="116" t="s">
        <v>1160</v>
      </c>
      <c r="AA402" s="116">
        <v>-0.03</v>
      </c>
      <c r="AB402" s="119"/>
      <c r="AC402" s="119"/>
      <c r="AD402" s="119"/>
      <c r="AE402" s="119"/>
      <c r="AF402" s="119"/>
      <c r="AG402" s="119"/>
      <c r="AH402" s="119"/>
      <c r="AI402" s="119"/>
      <c r="AJ402" s="119"/>
      <c r="AK402" s="119"/>
      <c r="AL402" s="119"/>
      <c r="AM402" s="122"/>
      <c r="AN402" s="116" t="s">
        <v>3305</v>
      </c>
      <c r="AO402" s="116" t="s">
        <v>3223</v>
      </c>
      <c r="AP402" s="116" t="s">
        <v>2397</v>
      </c>
    </row>
    <row r="403" spans="1:42">
      <c r="A403" s="113" t="s">
        <v>4014</v>
      </c>
      <c r="B403" s="114">
        <v>46106</v>
      </c>
      <c r="C403" s="115">
        <v>0.718148148148148</v>
      </c>
      <c r="D403" s="114">
        <v>46106</v>
      </c>
      <c r="E403" s="115">
        <v>0.718414351851852</v>
      </c>
      <c r="F403" s="116" t="s">
        <v>4015</v>
      </c>
      <c r="G403" s="114">
        <v>46104</v>
      </c>
      <c r="H403" s="116">
        <v>2567738644</v>
      </c>
      <c r="I403" s="116" t="s">
        <v>4016</v>
      </c>
      <c r="J403" s="116" t="s">
        <v>2199</v>
      </c>
      <c r="K403" s="116" t="s">
        <v>2371</v>
      </c>
      <c r="L403" s="116" t="s">
        <v>2372</v>
      </c>
      <c r="M403" s="116" t="s">
        <v>2331</v>
      </c>
      <c r="N403" s="116" t="s">
        <v>4017</v>
      </c>
      <c r="O403" s="119"/>
      <c r="P403" s="116">
        <v>7804486</v>
      </c>
      <c r="Q403" s="116" t="s">
        <v>2954</v>
      </c>
      <c r="R403" s="116" t="s">
        <v>2585</v>
      </c>
      <c r="S403" s="116" t="s">
        <v>2886</v>
      </c>
      <c r="T403" s="116">
        <v>846499.69</v>
      </c>
      <c r="U403" s="116">
        <v>500000</v>
      </c>
      <c r="V403" s="116" t="s">
        <v>2378</v>
      </c>
      <c r="W403" s="116">
        <v>261502000000000</v>
      </c>
      <c r="X403" s="114">
        <v>46106</v>
      </c>
      <c r="Y403" s="116">
        <v>2047909</v>
      </c>
      <c r="Z403" s="116" t="s">
        <v>4016</v>
      </c>
      <c r="AA403" s="116">
        <v>0.04</v>
      </c>
      <c r="AB403" s="119"/>
      <c r="AC403" s="119"/>
      <c r="AD403" s="119"/>
      <c r="AE403" s="119"/>
      <c r="AF403" s="119"/>
      <c r="AG403" s="119"/>
      <c r="AH403" s="119"/>
      <c r="AI403" s="119"/>
      <c r="AJ403" s="119"/>
      <c r="AK403" s="119"/>
      <c r="AL403" s="119"/>
      <c r="AM403" s="122"/>
      <c r="AN403" s="116" t="s">
        <v>2346</v>
      </c>
      <c r="AO403" s="116" t="s">
        <v>2346</v>
      </c>
      <c r="AP403" s="116" t="s">
        <v>2340</v>
      </c>
    </row>
    <row r="404" spans="1:42">
      <c r="A404" s="113" t="s">
        <v>4018</v>
      </c>
      <c r="B404" s="114">
        <v>46106</v>
      </c>
      <c r="C404" s="115">
        <v>0.720127314814815</v>
      </c>
      <c r="D404" s="114">
        <v>46106</v>
      </c>
      <c r="E404" s="115">
        <v>0.721805555555556</v>
      </c>
      <c r="F404" s="116" t="s">
        <v>4019</v>
      </c>
      <c r="G404" s="114">
        <v>46013</v>
      </c>
      <c r="H404" s="116">
        <v>2566128650</v>
      </c>
      <c r="I404" s="116" t="s">
        <v>4020</v>
      </c>
      <c r="J404" s="116" t="s">
        <v>2203</v>
      </c>
      <c r="K404" s="116" t="s">
        <v>2526</v>
      </c>
      <c r="L404" s="116" t="s">
        <v>2527</v>
      </c>
      <c r="M404" s="116" t="s">
        <v>2331</v>
      </c>
      <c r="N404" s="116" t="s">
        <v>4021</v>
      </c>
      <c r="O404" s="119"/>
      <c r="P404" s="116">
        <v>4893781</v>
      </c>
      <c r="Q404" s="116" t="s">
        <v>2702</v>
      </c>
      <c r="R404" s="116" t="s">
        <v>2435</v>
      </c>
      <c r="S404" s="116" t="s">
        <v>2940</v>
      </c>
      <c r="T404" s="116">
        <v>705899.95</v>
      </c>
      <c r="U404" s="119"/>
      <c r="V404" s="116" t="s">
        <v>2532</v>
      </c>
      <c r="W404" s="116">
        <v>261536000000000</v>
      </c>
      <c r="X404" s="114">
        <v>46106</v>
      </c>
      <c r="Y404" s="116">
        <v>2009350</v>
      </c>
      <c r="Z404" s="116" t="s">
        <v>4020</v>
      </c>
      <c r="AA404" s="116">
        <v>0.04</v>
      </c>
      <c r="AB404" s="119"/>
      <c r="AC404" s="119"/>
      <c r="AD404" s="119"/>
      <c r="AE404" s="119"/>
      <c r="AF404" s="119"/>
      <c r="AG404" s="119"/>
      <c r="AH404" s="119"/>
      <c r="AI404" s="119"/>
      <c r="AJ404" s="119"/>
      <c r="AK404" s="119"/>
      <c r="AL404" s="119"/>
      <c r="AM404" s="122"/>
      <c r="AN404" s="116" t="s">
        <v>2909</v>
      </c>
      <c r="AO404" s="116" t="s">
        <v>2346</v>
      </c>
      <c r="AP404" s="116" t="s">
        <v>2686</v>
      </c>
    </row>
    <row r="405" spans="1:42">
      <c r="A405" s="113" t="s">
        <v>1164</v>
      </c>
      <c r="B405" s="114">
        <v>46106</v>
      </c>
      <c r="C405" s="115">
        <v>0.723472222222222</v>
      </c>
      <c r="D405" s="114">
        <v>46106</v>
      </c>
      <c r="E405" s="115">
        <v>0.725266203703704</v>
      </c>
      <c r="F405" s="116" t="s">
        <v>1161</v>
      </c>
      <c r="G405" s="114">
        <v>46067</v>
      </c>
      <c r="H405" s="116">
        <v>2567131245</v>
      </c>
      <c r="I405" s="116" t="s">
        <v>1165</v>
      </c>
      <c r="J405" s="116" t="s">
        <v>2141</v>
      </c>
      <c r="K405" s="116" t="s">
        <v>2329</v>
      </c>
      <c r="L405" s="116" t="s">
        <v>2330</v>
      </c>
      <c r="M405" s="116" t="s">
        <v>2331</v>
      </c>
      <c r="N405" s="116" t="s">
        <v>4022</v>
      </c>
      <c r="O405" s="119"/>
      <c r="P405" s="116">
        <v>9261629</v>
      </c>
      <c r="Q405" s="116" t="s">
        <v>3070</v>
      </c>
      <c r="R405" s="116" t="s">
        <v>4023</v>
      </c>
      <c r="S405" s="116" t="s">
        <v>2399</v>
      </c>
      <c r="T405" s="116">
        <v>569399.94</v>
      </c>
      <c r="U405" s="119"/>
      <c r="V405" s="116" t="s">
        <v>2337</v>
      </c>
      <c r="W405" s="116">
        <v>261501000000000</v>
      </c>
      <c r="X405" s="114">
        <v>46106</v>
      </c>
      <c r="Y405" s="116">
        <v>2033999</v>
      </c>
      <c r="Z405" s="116" t="s">
        <v>1165</v>
      </c>
      <c r="AA405" s="116">
        <v>0.02</v>
      </c>
      <c r="AB405" s="119"/>
      <c r="AC405" s="119"/>
      <c r="AD405" s="119"/>
      <c r="AE405" s="119"/>
      <c r="AF405" s="119"/>
      <c r="AG405" s="119"/>
      <c r="AH405" s="119"/>
      <c r="AI405" s="119"/>
      <c r="AJ405" s="119"/>
      <c r="AK405" s="119"/>
      <c r="AL405" s="119"/>
      <c r="AM405" s="122"/>
      <c r="AN405" s="116" t="s">
        <v>2933</v>
      </c>
      <c r="AO405" s="116" t="s">
        <v>2934</v>
      </c>
      <c r="AP405" s="116" t="s">
        <v>2340</v>
      </c>
    </row>
    <row r="406" spans="1:42">
      <c r="A406" s="113" t="s">
        <v>1169</v>
      </c>
      <c r="B406" s="114">
        <v>46106</v>
      </c>
      <c r="C406" s="115">
        <v>0.728078703703704</v>
      </c>
      <c r="D406" s="114">
        <v>46106</v>
      </c>
      <c r="E406" s="115">
        <v>0.72875</v>
      </c>
      <c r="F406" s="116" t="s">
        <v>1166</v>
      </c>
      <c r="G406" s="114">
        <v>46091</v>
      </c>
      <c r="H406" s="116">
        <v>2567514953</v>
      </c>
      <c r="I406" s="116" t="s">
        <v>4024</v>
      </c>
      <c r="J406" s="116" t="s">
        <v>2141</v>
      </c>
      <c r="K406" s="116" t="s">
        <v>2329</v>
      </c>
      <c r="L406" s="116" t="s">
        <v>2330</v>
      </c>
      <c r="M406" s="116" t="s">
        <v>2331</v>
      </c>
      <c r="N406" s="116" t="s">
        <v>4025</v>
      </c>
      <c r="O406" s="119"/>
      <c r="P406" s="116">
        <v>1435566</v>
      </c>
      <c r="Q406" s="116" t="s">
        <v>2343</v>
      </c>
      <c r="R406" s="116" t="s">
        <v>2344</v>
      </c>
      <c r="S406" s="116" t="s">
        <v>2345</v>
      </c>
      <c r="T406" s="116">
        <v>569900.17</v>
      </c>
      <c r="U406" s="116">
        <v>500000</v>
      </c>
      <c r="V406" s="116" t="s">
        <v>2337</v>
      </c>
      <c r="W406" s="116">
        <v>261501000000000</v>
      </c>
      <c r="X406" s="114">
        <v>46106</v>
      </c>
      <c r="Y406" s="116">
        <v>2042964</v>
      </c>
      <c r="Z406" s="116" t="s">
        <v>4024</v>
      </c>
      <c r="AA406" s="116">
        <v>-0.04</v>
      </c>
      <c r="AB406" s="119"/>
      <c r="AC406" s="119"/>
      <c r="AD406" s="119"/>
      <c r="AE406" s="119"/>
      <c r="AF406" s="119"/>
      <c r="AG406" s="119"/>
      <c r="AH406" s="119"/>
      <c r="AI406" s="119"/>
      <c r="AJ406" s="119"/>
      <c r="AK406" s="119"/>
      <c r="AL406" s="119"/>
      <c r="AM406" s="122"/>
      <c r="AN406" s="116" t="s">
        <v>2346</v>
      </c>
      <c r="AO406" s="116" t="s">
        <v>2346</v>
      </c>
      <c r="AP406" s="116" t="s">
        <v>2347</v>
      </c>
    </row>
    <row r="407" spans="1:42">
      <c r="A407" s="113" t="s">
        <v>4026</v>
      </c>
      <c r="B407" s="114">
        <v>46106</v>
      </c>
      <c r="C407" s="115">
        <v>0.730844907407407</v>
      </c>
      <c r="D407" s="114">
        <v>46106</v>
      </c>
      <c r="E407" s="115">
        <v>0.732326388888889</v>
      </c>
      <c r="F407" s="116" t="s">
        <v>4027</v>
      </c>
      <c r="G407" s="114">
        <v>46106</v>
      </c>
      <c r="H407" s="116">
        <v>2567805796</v>
      </c>
      <c r="I407" s="116" t="s">
        <v>4028</v>
      </c>
      <c r="J407" s="116" t="s">
        <v>2213</v>
      </c>
      <c r="K407" s="116" t="s">
        <v>2454</v>
      </c>
      <c r="L407" s="116" t="s">
        <v>2455</v>
      </c>
      <c r="M407" s="116" t="s">
        <v>2331</v>
      </c>
      <c r="N407" s="116" t="s">
        <v>4029</v>
      </c>
      <c r="O407" s="119"/>
      <c r="P407" s="116">
        <v>9261664</v>
      </c>
      <c r="Q407" s="116" t="s">
        <v>2673</v>
      </c>
      <c r="R407" s="116" t="s">
        <v>2764</v>
      </c>
      <c r="S407" s="116" t="s">
        <v>3315</v>
      </c>
      <c r="T407" s="116">
        <v>661399.73</v>
      </c>
      <c r="U407" s="119"/>
      <c r="V407" s="116" t="s">
        <v>2460</v>
      </c>
      <c r="W407" s="116">
        <v>261532000000000</v>
      </c>
      <c r="X407" s="114">
        <v>46106</v>
      </c>
      <c r="Y407" s="116">
        <v>2049048</v>
      </c>
      <c r="Z407" s="116" t="s">
        <v>4028</v>
      </c>
      <c r="AA407" s="116">
        <v>0.05</v>
      </c>
      <c r="AB407" s="119"/>
      <c r="AC407" s="119"/>
      <c r="AD407" s="119"/>
      <c r="AE407" s="119"/>
      <c r="AF407" s="119"/>
      <c r="AG407" s="119"/>
      <c r="AH407" s="119"/>
      <c r="AI407" s="119"/>
      <c r="AJ407" s="119"/>
      <c r="AK407" s="119"/>
      <c r="AL407" s="119"/>
      <c r="AM407" s="122"/>
      <c r="AN407" s="116" t="s">
        <v>2346</v>
      </c>
      <c r="AO407" s="116" t="s">
        <v>2346</v>
      </c>
      <c r="AP407" s="116" t="s">
        <v>2659</v>
      </c>
    </row>
    <row r="408" spans="1:42">
      <c r="A408" s="113" t="s">
        <v>4030</v>
      </c>
      <c r="B408" s="114">
        <v>46106</v>
      </c>
      <c r="C408" s="115">
        <v>0.731655092592593</v>
      </c>
      <c r="D408" s="114">
        <v>46106</v>
      </c>
      <c r="E408" s="115">
        <v>0.732326388888889</v>
      </c>
      <c r="F408" s="116" t="s">
        <v>4031</v>
      </c>
      <c r="G408" s="114">
        <v>46087</v>
      </c>
      <c r="H408" s="116">
        <v>2567465387</v>
      </c>
      <c r="I408" s="116" t="s">
        <v>4032</v>
      </c>
      <c r="J408" s="116" t="s">
        <v>2199</v>
      </c>
      <c r="K408" s="116" t="s">
        <v>2371</v>
      </c>
      <c r="L408" s="116" t="s">
        <v>2372</v>
      </c>
      <c r="M408" s="116" t="s">
        <v>2331</v>
      </c>
      <c r="N408" s="116" t="s">
        <v>4033</v>
      </c>
      <c r="O408" s="119"/>
      <c r="P408" s="116">
        <v>4877983</v>
      </c>
      <c r="Q408" s="116" t="s">
        <v>2584</v>
      </c>
      <c r="R408" s="116" t="s">
        <v>2335</v>
      </c>
      <c r="S408" s="116" t="s">
        <v>2866</v>
      </c>
      <c r="T408" s="116">
        <v>882899.52</v>
      </c>
      <c r="U408" s="116">
        <v>500000</v>
      </c>
      <c r="V408" s="116" t="s">
        <v>2378</v>
      </c>
      <c r="W408" s="116">
        <v>261502000000000</v>
      </c>
      <c r="X408" s="114">
        <v>46106</v>
      </c>
      <c r="Y408" s="116">
        <v>2041713</v>
      </c>
      <c r="Z408" s="116" t="s">
        <v>4032</v>
      </c>
      <c r="AA408" s="116">
        <v>0.04</v>
      </c>
      <c r="AB408" s="119"/>
      <c r="AC408" s="119"/>
      <c r="AD408" s="119"/>
      <c r="AE408" s="119"/>
      <c r="AF408" s="119"/>
      <c r="AG408" s="119"/>
      <c r="AH408" s="119"/>
      <c r="AI408" s="119"/>
      <c r="AJ408" s="119"/>
      <c r="AK408" s="119"/>
      <c r="AL408" s="119"/>
      <c r="AM408" s="122"/>
      <c r="AN408" s="116" t="s">
        <v>2867</v>
      </c>
      <c r="AO408" s="116" t="s">
        <v>2346</v>
      </c>
      <c r="AP408" s="116" t="s">
        <v>2340</v>
      </c>
    </row>
    <row r="409" spans="1:42">
      <c r="A409" s="113" t="s">
        <v>4034</v>
      </c>
      <c r="B409" s="114">
        <v>46106</v>
      </c>
      <c r="C409" s="115">
        <v>0.733159722222222</v>
      </c>
      <c r="D409" s="114">
        <v>46106</v>
      </c>
      <c r="E409" s="115">
        <v>0.735740740740741</v>
      </c>
      <c r="F409" s="116" t="s">
        <v>3891</v>
      </c>
      <c r="G409" s="114">
        <v>45973</v>
      </c>
      <c r="H409" s="116">
        <v>2565458156</v>
      </c>
      <c r="I409" s="116" t="s">
        <v>4035</v>
      </c>
      <c r="J409" s="116" t="s">
        <v>3055</v>
      </c>
      <c r="K409" s="116" t="s">
        <v>3056</v>
      </c>
      <c r="L409" s="116" t="s">
        <v>3057</v>
      </c>
      <c r="M409" s="116" t="s">
        <v>2331</v>
      </c>
      <c r="N409" s="116" t="s">
        <v>4036</v>
      </c>
      <c r="O409" s="119"/>
      <c r="P409" s="116">
        <v>7805168</v>
      </c>
      <c r="Q409" s="116" t="s">
        <v>2954</v>
      </c>
      <c r="R409" s="116" t="s">
        <v>2376</v>
      </c>
      <c r="S409" s="116" t="s">
        <v>4037</v>
      </c>
      <c r="T409" s="116">
        <v>849498.81</v>
      </c>
      <c r="U409" s="116">
        <v>800000</v>
      </c>
      <c r="V409" s="116" t="s">
        <v>3061</v>
      </c>
      <c r="W409" s="116">
        <v>261538000000000</v>
      </c>
      <c r="X409" s="114">
        <v>46106</v>
      </c>
      <c r="Y409" s="116">
        <v>1989618</v>
      </c>
      <c r="Z409" s="116" t="s">
        <v>4035</v>
      </c>
      <c r="AA409" s="116">
        <v>0</v>
      </c>
      <c r="AB409" s="119"/>
      <c r="AC409" s="119"/>
      <c r="AD409" s="119"/>
      <c r="AE409" s="119"/>
      <c r="AF409" s="119"/>
      <c r="AG409" s="119"/>
      <c r="AH409" s="119"/>
      <c r="AI409" s="119"/>
      <c r="AJ409" s="119"/>
      <c r="AK409" s="119"/>
      <c r="AL409" s="119"/>
      <c r="AM409" s="122"/>
      <c r="AN409" s="116" t="s">
        <v>2346</v>
      </c>
      <c r="AO409" s="116" t="s">
        <v>2346</v>
      </c>
      <c r="AP409" s="116" t="s">
        <v>2557</v>
      </c>
    </row>
    <row r="410" spans="1:42">
      <c r="A410" s="113" t="s">
        <v>4038</v>
      </c>
      <c r="B410" s="114">
        <v>46106</v>
      </c>
      <c r="C410" s="115">
        <v>0.738136574074074</v>
      </c>
      <c r="D410" s="114">
        <v>46106</v>
      </c>
      <c r="E410" s="115">
        <v>0.739189814814815</v>
      </c>
      <c r="F410" s="116" t="s">
        <v>4039</v>
      </c>
      <c r="G410" s="114">
        <v>46106</v>
      </c>
      <c r="H410" s="116">
        <v>2567783924</v>
      </c>
      <c r="I410" s="116" t="s">
        <v>4040</v>
      </c>
      <c r="J410" s="116" t="s">
        <v>2199</v>
      </c>
      <c r="K410" s="116" t="s">
        <v>2371</v>
      </c>
      <c r="L410" s="116" t="s">
        <v>2372</v>
      </c>
      <c r="M410" s="116" t="s">
        <v>2331</v>
      </c>
      <c r="N410" s="116" t="s">
        <v>4041</v>
      </c>
      <c r="O410" s="119"/>
      <c r="P410" s="116">
        <v>4916867</v>
      </c>
      <c r="Q410" s="116" t="s">
        <v>2679</v>
      </c>
      <c r="R410" s="116" t="s">
        <v>2335</v>
      </c>
      <c r="S410" s="116" t="s">
        <v>2886</v>
      </c>
      <c r="T410" s="116">
        <v>445099.6</v>
      </c>
      <c r="U410" s="119"/>
      <c r="V410" s="116" t="s">
        <v>2378</v>
      </c>
      <c r="W410" s="116">
        <v>261502000000000</v>
      </c>
      <c r="X410" s="114">
        <v>46106</v>
      </c>
      <c r="Y410" s="116">
        <v>2048875</v>
      </c>
      <c r="Z410" s="116" t="s">
        <v>4040</v>
      </c>
      <c r="AA410" s="116">
        <v>0</v>
      </c>
      <c r="AB410" s="119"/>
      <c r="AC410" s="119"/>
      <c r="AD410" s="119"/>
      <c r="AE410" s="119"/>
      <c r="AF410" s="119"/>
      <c r="AG410" s="119"/>
      <c r="AH410" s="119"/>
      <c r="AI410" s="119"/>
      <c r="AJ410" s="119"/>
      <c r="AK410" s="119"/>
      <c r="AL410" s="119"/>
      <c r="AM410" s="122"/>
      <c r="AN410" s="116" t="s">
        <v>2346</v>
      </c>
      <c r="AO410" s="116" t="s">
        <v>2346</v>
      </c>
      <c r="AP410" s="116" t="s">
        <v>2340</v>
      </c>
    </row>
    <row r="411" spans="1:42">
      <c r="A411" s="113" t="s">
        <v>4042</v>
      </c>
      <c r="B411" s="114">
        <v>46106</v>
      </c>
      <c r="C411" s="115">
        <v>0.741493055555556</v>
      </c>
      <c r="D411" s="114">
        <v>46106</v>
      </c>
      <c r="E411" s="115">
        <v>0.742615740740741</v>
      </c>
      <c r="F411" s="116" t="s">
        <v>4043</v>
      </c>
      <c r="G411" s="114">
        <v>46106</v>
      </c>
      <c r="H411" s="116">
        <v>2567804551</v>
      </c>
      <c r="I411" s="116" t="s">
        <v>4044</v>
      </c>
      <c r="J411" s="116" t="s">
        <v>2217</v>
      </c>
      <c r="K411" s="116" t="s">
        <v>2497</v>
      </c>
      <c r="L411" s="116" t="s">
        <v>2498</v>
      </c>
      <c r="M411" s="116" t="s">
        <v>2331</v>
      </c>
      <c r="N411" s="116" t="s">
        <v>4045</v>
      </c>
      <c r="O411" s="119"/>
      <c r="P411" s="116" t="s">
        <v>4046</v>
      </c>
      <c r="Q411" s="116" t="s">
        <v>4047</v>
      </c>
      <c r="R411" s="116" t="s">
        <v>2335</v>
      </c>
      <c r="S411" s="116" t="s">
        <v>3896</v>
      </c>
      <c r="T411" s="116">
        <v>615553.05</v>
      </c>
      <c r="U411" s="119"/>
      <c r="V411" s="116" t="s">
        <v>2502</v>
      </c>
      <c r="W411" s="116">
        <v>261535000000000</v>
      </c>
      <c r="X411" s="114">
        <v>46106</v>
      </c>
      <c r="Y411" s="116">
        <v>2043758</v>
      </c>
      <c r="Z411" s="116" t="s">
        <v>4044</v>
      </c>
      <c r="AA411" s="116">
        <v>0.01</v>
      </c>
      <c r="AB411" s="119"/>
      <c r="AC411" s="119"/>
      <c r="AD411" s="119"/>
      <c r="AE411" s="119"/>
      <c r="AF411" s="119"/>
      <c r="AG411" s="119"/>
      <c r="AH411" s="119"/>
      <c r="AI411" s="119"/>
      <c r="AJ411" s="119"/>
      <c r="AK411" s="119"/>
      <c r="AL411" s="119"/>
      <c r="AM411" s="122"/>
      <c r="AN411" s="116" t="s">
        <v>3576</v>
      </c>
      <c r="AO411" s="116" t="s">
        <v>2346</v>
      </c>
      <c r="AP411" s="116" t="s">
        <v>2462</v>
      </c>
    </row>
    <row r="412" spans="1:42">
      <c r="A412" s="113" t="s">
        <v>4048</v>
      </c>
      <c r="B412" s="114">
        <v>46106</v>
      </c>
      <c r="C412" s="115">
        <v>0.748611111111111</v>
      </c>
      <c r="D412" s="114">
        <v>46106</v>
      </c>
      <c r="E412" s="115">
        <v>0.749444444444444</v>
      </c>
      <c r="F412" s="116" t="s">
        <v>4049</v>
      </c>
      <c r="G412" s="114">
        <v>46106</v>
      </c>
      <c r="H412" s="116">
        <v>2567809071</v>
      </c>
      <c r="I412" s="116" t="s">
        <v>3031</v>
      </c>
      <c r="J412" s="116" t="s">
        <v>2213</v>
      </c>
      <c r="K412" s="116" t="s">
        <v>2454</v>
      </c>
      <c r="L412" s="116" t="s">
        <v>2455</v>
      </c>
      <c r="M412" s="116" t="s">
        <v>2331</v>
      </c>
      <c r="N412" s="116" t="s">
        <v>4050</v>
      </c>
      <c r="O412" s="119"/>
      <c r="P412" s="116">
        <v>7912767</v>
      </c>
      <c r="Q412" s="116" t="s">
        <v>2589</v>
      </c>
      <c r="R412" s="116" t="s">
        <v>4051</v>
      </c>
      <c r="S412" s="116" t="s">
        <v>3315</v>
      </c>
      <c r="T412" s="116">
        <v>1094366</v>
      </c>
      <c r="U412" s="119"/>
      <c r="V412" s="116" t="s">
        <v>2460</v>
      </c>
      <c r="W412" s="116">
        <v>261532000000000</v>
      </c>
      <c r="X412" s="114">
        <v>46106</v>
      </c>
      <c r="Y412" s="116">
        <v>1031003</v>
      </c>
      <c r="Z412" s="116" t="s">
        <v>3031</v>
      </c>
      <c r="AA412" s="116">
        <v>0</v>
      </c>
      <c r="AB412" s="119"/>
      <c r="AC412" s="119"/>
      <c r="AD412" s="119"/>
      <c r="AE412" s="119"/>
      <c r="AF412" s="119"/>
      <c r="AG412" s="119"/>
      <c r="AH412" s="119"/>
      <c r="AI412" s="119"/>
      <c r="AJ412" s="119"/>
      <c r="AK412" s="119"/>
      <c r="AL412" s="119"/>
      <c r="AM412" s="122"/>
      <c r="AN412" s="116" t="s">
        <v>2346</v>
      </c>
      <c r="AO412" s="116" t="s">
        <v>2346</v>
      </c>
      <c r="AP412" s="116" t="s">
        <v>2367</v>
      </c>
    </row>
    <row r="413" spans="1:42">
      <c r="A413" s="113" t="s">
        <v>4052</v>
      </c>
      <c r="B413" s="114">
        <v>46106</v>
      </c>
      <c r="C413" s="115">
        <v>0.770960648148148</v>
      </c>
      <c r="D413" s="114">
        <v>46106</v>
      </c>
      <c r="E413" s="115">
        <v>0.77369212962963</v>
      </c>
      <c r="F413" s="116" t="s">
        <v>4053</v>
      </c>
      <c r="G413" s="114">
        <v>46070</v>
      </c>
      <c r="H413" s="116">
        <v>2567157710</v>
      </c>
      <c r="I413" s="116" t="s">
        <v>4054</v>
      </c>
      <c r="J413" s="116" t="s">
        <v>2207</v>
      </c>
      <c r="K413" s="116" t="s">
        <v>2662</v>
      </c>
      <c r="L413" s="116" t="s">
        <v>2663</v>
      </c>
      <c r="M413" s="116" t="s">
        <v>2331</v>
      </c>
      <c r="N413" s="116" t="s">
        <v>4055</v>
      </c>
      <c r="O413" s="119"/>
      <c r="P413" s="116">
        <v>4893578</v>
      </c>
      <c r="Q413" s="116" t="s">
        <v>2584</v>
      </c>
      <c r="R413" s="116" t="s">
        <v>2376</v>
      </c>
      <c r="S413" s="116" t="s">
        <v>2665</v>
      </c>
      <c r="T413" s="116">
        <v>886900.24</v>
      </c>
      <c r="U413" s="116">
        <v>500000</v>
      </c>
      <c r="V413" s="116" t="s">
        <v>2666</v>
      </c>
      <c r="W413" s="116">
        <v>261537000000000</v>
      </c>
      <c r="X413" s="114">
        <v>46106</v>
      </c>
      <c r="Y413" s="116">
        <v>2035229</v>
      </c>
      <c r="Z413" s="116" t="s">
        <v>4054</v>
      </c>
      <c r="AA413" s="116">
        <v>-0.01</v>
      </c>
      <c r="AB413" s="119"/>
      <c r="AC413" s="119"/>
      <c r="AD413" s="119"/>
      <c r="AE413" s="119"/>
      <c r="AF413" s="119"/>
      <c r="AG413" s="119"/>
      <c r="AH413" s="119"/>
      <c r="AI413" s="119"/>
      <c r="AJ413" s="119"/>
      <c r="AK413" s="119"/>
      <c r="AL413" s="119"/>
      <c r="AM413" s="122"/>
      <c r="AN413" s="116" t="s">
        <v>2591</v>
      </c>
      <c r="AO413" s="116" t="s">
        <v>2592</v>
      </c>
      <c r="AP413" s="116" t="s">
        <v>2669</v>
      </c>
    </row>
    <row r="414" spans="1:42">
      <c r="A414" s="113" t="s">
        <v>1175</v>
      </c>
      <c r="B414" s="114">
        <v>46106</v>
      </c>
      <c r="C414" s="115">
        <v>0.777523148148148</v>
      </c>
      <c r="D414" s="114">
        <v>46106</v>
      </c>
      <c r="E414" s="115">
        <v>0.78068287037037</v>
      </c>
      <c r="F414" s="116" t="s">
        <v>1171</v>
      </c>
      <c r="G414" s="114">
        <v>46060</v>
      </c>
      <c r="H414" s="116">
        <v>2567018294</v>
      </c>
      <c r="I414" s="116" t="s">
        <v>1176</v>
      </c>
      <c r="J414" s="116" t="s">
        <v>2141</v>
      </c>
      <c r="K414" s="116" t="s">
        <v>2329</v>
      </c>
      <c r="L414" s="116" t="s">
        <v>2330</v>
      </c>
      <c r="M414" s="116" t="s">
        <v>2331</v>
      </c>
      <c r="N414" s="116" t="s">
        <v>4056</v>
      </c>
      <c r="O414" s="119"/>
      <c r="P414" s="116" t="s">
        <v>1174</v>
      </c>
      <c r="Q414" s="116" t="s">
        <v>2334</v>
      </c>
      <c r="R414" s="116" t="s">
        <v>2335</v>
      </c>
      <c r="S414" s="116" t="s">
        <v>2399</v>
      </c>
      <c r="T414" s="116">
        <v>1074033.99</v>
      </c>
      <c r="U414" s="116">
        <v>900000</v>
      </c>
      <c r="V414" s="116" t="s">
        <v>2337</v>
      </c>
      <c r="W414" s="116">
        <v>261501000000000</v>
      </c>
      <c r="X414" s="114">
        <v>46107</v>
      </c>
      <c r="Y414" s="116">
        <v>2031708</v>
      </c>
      <c r="Z414" s="116" t="s">
        <v>1176</v>
      </c>
      <c r="AA414" s="116">
        <v>-0.04</v>
      </c>
      <c r="AB414" s="119"/>
      <c r="AC414" s="119"/>
      <c r="AD414" s="119"/>
      <c r="AE414" s="119"/>
      <c r="AF414" s="119"/>
      <c r="AG414" s="119"/>
      <c r="AH414" s="119"/>
      <c r="AI414" s="119"/>
      <c r="AJ414" s="119"/>
      <c r="AK414" s="119"/>
      <c r="AL414" s="119"/>
      <c r="AM414" s="122"/>
      <c r="AN414" s="116" t="s">
        <v>4057</v>
      </c>
      <c r="AO414" s="116" t="s">
        <v>2346</v>
      </c>
      <c r="AP414" s="116" t="s">
        <v>2340</v>
      </c>
    </row>
    <row r="415" spans="1:42">
      <c r="A415" s="109" t="s">
        <v>1234</v>
      </c>
      <c r="B415" s="110">
        <v>46107</v>
      </c>
      <c r="C415" s="111">
        <v>0.491087962962963</v>
      </c>
      <c r="D415" s="110">
        <v>46107</v>
      </c>
      <c r="E415" s="111">
        <v>0.493888888888889</v>
      </c>
      <c r="F415" s="112" t="s">
        <v>1231</v>
      </c>
      <c r="G415" s="110">
        <v>46093</v>
      </c>
      <c r="H415" s="112">
        <v>2567569434</v>
      </c>
      <c r="I415" s="112" t="s">
        <v>4058</v>
      </c>
      <c r="J415" s="112" t="s">
        <v>2162</v>
      </c>
      <c r="K415" s="112" t="s">
        <v>2692</v>
      </c>
      <c r="L415" s="112" t="s">
        <v>2693</v>
      </c>
      <c r="M415" s="112" t="s">
        <v>2331</v>
      </c>
      <c r="N415" s="112" t="s">
        <v>4059</v>
      </c>
      <c r="O415" s="118"/>
      <c r="P415" s="112" t="s">
        <v>1233</v>
      </c>
      <c r="Q415" s="112" t="s">
        <v>2797</v>
      </c>
      <c r="R415" s="112" t="s">
        <v>2335</v>
      </c>
      <c r="S415" s="112" t="s">
        <v>2892</v>
      </c>
      <c r="T415" s="112">
        <v>1045249.55</v>
      </c>
      <c r="U415" s="112">
        <v>1000000</v>
      </c>
      <c r="V415" s="112" t="s">
        <v>2696</v>
      </c>
      <c r="W415" s="112">
        <v>261507000000000</v>
      </c>
      <c r="X415" s="110">
        <v>46107</v>
      </c>
      <c r="Y415" s="112">
        <v>2005809</v>
      </c>
      <c r="Z415" s="112" t="s">
        <v>4058</v>
      </c>
      <c r="AA415" s="112">
        <v>0.03</v>
      </c>
      <c r="AB415" s="118"/>
      <c r="AC415" s="118"/>
      <c r="AD415" s="118"/>
      <c r="AE415" s="118"/>
      <c r="AF415" s="118"/>
      <c r="AG415" s="118"/>
      <c r="AH415" s="118"/>
      <c r="AI415" s="118"/>
      <c r="AJ415" s="118"/>
      <c r="AK415" s="118"/>
      <c r="AL415" s="118"/>
      <c r="AM415" s="121"/>
      <c r="AN415" s="112" t="s">
        <v>2772</v>
      </c>
      <c r="AO415" s="112" t="s">
        <v>2773</v>
      </c>
      <c r="AP415" s="112" t="s">
        <v>2593</v>
      </c>
    </row>
    <row r="416" spans="1:42">
      <c r="A416" s="113" t="s">
        <v>1240</v>
      </c>
      <c r="B416" s="114">
        <v>46107</v>
      </c>
      <c r="C416" s="115">
        <v>0.503506944444444</v>
      </c>
      <c r="D416" s="114">
        <v>46107</v>
      </c>
      <c r="E416" s="115">
        <v>0.507847222222222</v>
      </c>
      <c r="F416" s="116" t="s">
        <v>1236</v>
      </c>
      <c r="G416" s="114">
        <v>46083</v>
      </c>
      <c r="H416" s="116">
        <v>2567400760</v>
      </c>
      <c r="I416" s="116" t="s">
        <v>1241</v>
      </c>
      <c r="J416" s="116" t="s">
        <v>2162</v>
      </c>
      <c r="K416" s="116" t="s">
        <v>2692</v>
      </c>
      <c r="L416" s="116" t="s">
        <v>2693</v>
      </c>
      <c r="M416" s="116" t="s">
        <v>2331</v>
      </c>
      <c r="N416" s="116" t="s">
        <v>4060</v>
      </c>
      <c r="O416" s="119"/>
      <c r="P416" s="116" t="s">
        <v>1239</v>
      </c>
      <c r="Q416" s="116" t="s">
        <v>2548</v>
      </c>
      <c r="R416" s="116" t="s">
        <v>2458</v>
      </c>
      <c r="S416" s="116" t="s">
        <v>4061</v>
      </c>
      <c r="T416" s="116">
        <v>476900.38</v>
      </c>
      <c r="U416" s="116">
        <v>400000</v>
      </c>
      <c r="V416" s="116" t="s">
        <v>2696</v>
      </c>
      <c r="W416" s="116">
        <v>261507000000000</v>
      </c>
      <c r="X416" s="114">
        <v>46107</v>
      </c>
      <c r="Y416" s="116">
        <v>2040077</v>
      </c>
      <c r="Z416" s="116" t="s">
        <v>1241</v>
      </c>
      <c r="AA416" s="116">
        <v>-0.06</v>
      </c>
      <c r="AB416" s="119"/>
      <c r="AC416" s="119"/>
      <c r="AD416" s="119"/>
      <c r="AE416" s="119"/>
      <c r="AF416" s="119"/>
      <c r="AG416" s="119"/>
      <c r="AH416" s="119"/>
      <c r="AI416" s="119"/>
      <c r="AJ416" s="119"/>
      <c r="AK416" s="119"/>
      <c r="AL416" s="119"/>
      <c r="AM416" s="122"/>
      <c r="AN416" s="116" t="s">
        <v>4062</v>
      </c>
      <c r="AO416" s="116" t="s">
        <v>2592</v>
      </c>
      <c r="AP416" s="116" t="s">
        <v>2593</v>
      </c>
    </row>
    <row r="417" spans="1:42">
      <c r="A417" s="113" t="s">
        <v>1196</v>
      </c>
      <c r="B417" s="114">
        <v>46107</v>
      </c>
      <c r="C417" s="115">
        <v>0.509884259259259</v>
      </c>
      <c r="D417" s="114">
        <v>46107</v>
      </c>
      <c r="E417" s="115">
        <v>0.511203703703704</v>
      </c>
      <c r="F417" s="116" t="s">
        <v>1194</v>
      </c>
      <c r="G417" s="114">
        <v>46073</v>
      </c>
      <c r="H417" s="116">
        <v>2567246749</v>
      </c>
      <c r="I417" s="116" t="s">
        <v>4063</v>
      </c>
      <c r="J417" s="116" t="s">
        <v>2141</v>
      </c>
      <c r="K417" s="116" t="s">
        <v>2329</v>
      </c>
      <c r="L417" s="116" t="s">
        <v>2330</v>
      </c>
      <c r="M417" s="116" t="s">
        <v>2331</v>
      </c>
      <c r="N417" s="116" t="s">
        <v>4064</v>
      </c>
      <c r="O417" s="119"/>
      <c r="P417" s="116">
        <v>1394856</v>
      </c>
      <c r="Q417" s="116" t="s">
        <v>3441</v>
      </c>
      <c r="R417" s="116" t="s">
        <v>2538</v>
      </c>
      <c r="S417" s="116" t="s">
        <v>2908</v>
      </c>
      <c r="T417" s="116">
        <v>507400.29</v>
      </c>
      <c r="U417" s="116">
        <v>500000</v>
      </c>
      <c r="V417" s="116" t="s">
        <v>2337</v>
      </c>
      <c r="W417" s="116">
        <v>261501000000000</v>
      </c>
      <c r="X417" s="114">
        <v>46107</v>
      </c>
      <c r="Y417" s="116">
        <v>2036607</v>
      </c>
      <c r="Z417" s="116" t="s">
        <v>4063</v>
      </c>
      <c r="AA417" s="116">
        <v>0</v>
      </c>
      <c r="AB417" s="119"/>
      <c r="AC417" s="119"/>
      <c r="AD417" s="119"/>
      <c r="AE417" s="119"/>
      <c r="AF417" s="119"/>
      <c r="AG417" s="119"/>
      <c r="AH417" s="119"/>
      <c r="AI417" s="119"/>
      <c r="AJ417" s="119"/>
      <c r="AK417" s="119"/>
      <c r="AL417" s="119"/>
      <c r="AM417" s="122"/>
      <c r="AN417" s="116" t="s">
        <v>3424</v>
      </c>
      <c r="AO417" s="116" t="s">
        <v>2351</v>
      </c>
      <c r="AP417" s="116" t="s">
        <v>2347</v>
      </c>
    </row>
    <row r="418" spans="1:42">
      <c r="A418" s="113" t="s">
        <v>1202</v>
      </c>
      <c r="B418" s="114">
        <v>46107</v>
      </c>
      <c r="C418" s="115">
        <v>0.512037037037037</v>
      </c>
      <c r="D418" s="114">
        <v>46107</v>
      </c>
      <c r="E418" s="115">
        <v>0.514733796296296</v>
      </c>
      <c r="F418" s="116" t="s">
        <v>1198</v>
      </c>
      <c r="G418" s="114">
        <v>46056</v>
      </c>
      <c r="H418" s="116">
        <v>2567817389</v>
      </c>
      <c r="I418" s="116" t="s">
        <v>4065</v>
      </c>
      <c r="J418" s="116" t="s">
        <v>2141</v>
      </c>
      <c r="K418" s="116" t="s">
        <v>2329</v>
      </c>
      <c r="L418" s="116" t="s">
        <v>2330</v>
      </c>
      <c r="M418" s="116" t="s">
        <v>2331</v>
      </c>
      <c r="N418" s="116" t="s">
        <v>4066</v>
      </c>
      <c r="O418" s="119"/>
      <c r="P418" s="116" t="s">
        <v>1201</v>
      </c>
      <c r="Q418" s="116" t="s">
        <v>2334</v>
      </c>
      <c r="R418" s="116" t="s">
        <v>2335</v>
      </c>
      <c r="S418" s="116" t="s">
        <v>2394</v>
      </c>
      <c r="T418" s="116">
        <v>1076054</v>
      </c>
      <c r="U418" s="116">
        <v>1136426</v>
      </c>
      <c r="V418" s="116" t="s">
        <v>2337</v>
      </c>
      <c r="W418" s="116">
        <v>261501000000000</v>
      </c>
      <c r="X418" s="114">
        <v>46107</v>
      </c>
      <c r="Y418" s="116">
        <v>2029700</v>
      </c>
      <c r="Z418" s="116" t="s">
        <v>4065</v>
      </c>
      <c r="AA418" s="116">
        <v>-0.02</v>
      </c>
      <c r="AB418" s="119"/>
      <c r="AC418" s="119"/>
      <c r="AD418" s="119"/>
      <c r="AE418" s="119"/>
      <c r="AF418" s="119"/>
      <c r="AG418" s="119"/>
      <c r="AH418" s="119"/>
      <c r="AI418" s="119"/>
      <c r="AJ418" s="119"/>
      <c r="AK418" s="119"/>
      <c r="AL418" s="119"/>
      <c r="AM418" s="122"/>
      <c r="AN418" s="116" t="s">
        <v>4067</v>
      </c>
      <c r="AO418" s="116" t="s">
        <v>2396</v>
      </c>
      <c r="AP418" s="116" t="s">
        <v>2397</v>
      </c>
    </row>
    <row r="419" spans="1:42">
      <c r="A419" s="113" t="s">
        <v>1207</v>
      </c>
      <c r="B419" s="114">
        <v>46107</v>
      </c>
      <c r="C419" s="115">
        <v>0.523159722222222</v>
      </c>
      <c r="D419" s="114">
        <v>46107</v>
      </c>
      <c r="E419" s="115">
        <v>0.525208333333333</v>
      </c>
      <c r="F419" s="116" t="s">
        <v>1204</v>
      </c>
      <c r="G419" s="114">
        <v>46099</v>
      </c>
      <c r="H419" s="116">
        <v>2567674222</v>
      </c>
      <c r="I419" s="116" t="s">
        <v>4068</v>
      </c>
      <c r="J419" s="116" t="s">
        <v>2141</v>
      </c>
      <c r="K419" s="116" t="s">
        <v>2329</v>
      </c>
      <c r="L419" s="116" t="s">
        <v>2330</v>
      </c>
      <c r="M419" s="116" t="s">
        <v>2331</v>
      </c>
      <c r="N419" s="116" t="s">
        <v>4069</v>
      </c>
      <c r="O419" s="119"/>
      <c r="P419" s="116" t="s">
        <v>1206</v>
      </c>
      <c r="Q419" s="116" t="s">
        <v>2797</v>
      </c>
      <c r="R419" s="116" t="s">
        <v>2335</v>
      </c>
      <c r="S419" s="116" t="s">
        <v>2353</v>
      </c>
      <c r="T419" s="116">
        <v>1004849.53</v>
      </c>
      <c r="U419" s="116">
        <v>800000</v>
      </c>
      <c r="V419" s="116" t="s">
        <v>2337</v>
      </c>
      <c r="W419" s="116">
        <v>261501000000000</v>
      </c>
      <c r="X419" s="114">
        <v>46107</v>
      </c>
      <c r="Y419" s="116">
        <v>2046297</v>
      </c>
      <c r="Z419" s="116" t="s">
        <v>4068</v>
      </c>
      <c r="AA419" s="116">
        <v>-0.01</v>
      </c>
      <c r="AB419" s="119"/>
      <c r="AC419" s="119"/>
      <c r="AD419" s="119"/>
      <c r="AE419" s="119"/>
      <c r="AF419" s="119"/>
      <c r="AG419" s="119"/>
      <c r="AH419" s="119"/>
      <c r="AI419" s="119"/>
      <c r="AJ419" s="119"/>
      <c r="AK419" s="119"/>
      <c r="AL419" s="119"/>
      <c r="AM419" s="122"/>
      <c r="AN419" s="116" t="s">
        <v>2391</v>
      </c>
      <c r="AO419" s="116" t="s">
        <v>2392</v>
      </c>
      <c r="AP419" s="116" t="s">
        <v>2347</v>
      </c>
    </row>
    <row r="420" spans="1:42">
      <c r="A420" s="113" t="s">
        <v>4070</v>
      </c>
      <c r="B420" s="114">
        <v>46107</v>
      </c>
      <c r="C420" s="115">
        <v>0.527303240740741</v>
      </c>
      <c r="D420" s="114">
        <v>46107</v>
      </c>
      <c r="E420" s="115">
        <v>0.54974537037037</v>
      </c>
      <c r="F420" s="116" t="s">
        <v>4071</v>
      </c>
      <c r="G420" s="114">
        <v>46106</v>
      </c>
      <c r="H420" s="116">
        <v>2567799472</v>
      </c>
      <c r="I420" s="116" t="s">
        <v>3031</v>
      </c>
      <c r="J420" s="116" t="s">
        <v>2226</v>
      </c>
      <c r="K420" s="116" t="s">
        <v>2566</v>
      </c>
      <c r="L420" s="116" t="s">
        <v>2567</v>
      </c>
      <c r="M420" s="116" t="s">
        <v>2331</v>
      </c>
      <c r="N420" s="116" t="s">
        <v>4072</v>
      </c>
      <c r="O420" s="119"/>
      <c r="P420" s="116">
        <v>7802679</v>
      </c>
      <c r="Q420" s="116" t="s">
        <v>2477</v>
      </c>
      <c r="R420" s="116" t="s">
        <v>2376</v>
      </c>
      <c r="S420" s="116" t="s">
        <v>4073</v>
      </c>
      <c r="T420" s="116">
        <v>793590.93</v>
      </c>
      <c r="U420" s="116">
        <v>736426</v>
      </c>
      <c r="V420" s="116" t="s">
        <v>2570</v>
      </c>
      <c r="W420" s="116">
        <v>261531000000000</v>
      </c>
      <c r="X420" s="114">
        <v>46107</v>
      </c>
      <c r="Y420" s="116">
        <v>1031003</v>
      </c>
      <c r="Z420" s="116" t="s">
        <v>3031</v>
      </c>
      <c r="AA420" s="116">
        <v>0.04</v>
      </c>
      <c r="AB420" s="119"/>
      <c r="AC420" s="119"/>
      <c r="AD420" s="119"/>
      <c r="AE420" s="119"/>
      <c r="AF420" s="119"/>
      <c r="AG420" s="119"/>
      <c r="AH420" s="119"/>
      <c r="AI420" s="119"/>
      <c r="AJ420" s="119"/>
      <c r="AK420" s="119"/>
      <c r="AL420" s="119"/>
      <c r="AM420" s="122"/>
      <c r="AN420" s="116" t="s">
        <v>2346</v>
      </c>
      <c r="AO420" s="116" t="s">
        <v>2346</v>
      </c>
      <c r="AP420" s="116" t="s">
        <v>2571</v>
      </c>
    </row>
    <row r="421" spans="1:42">
      <c r="A421" s="113" t="s">
        <v>1213</v>
      </c>
      <c r="B421" s="114">
        <v>46107</v>
      </c>
      <c r="C421" s="115">
        <v>0.542604166666667</v>
      </c>
      <c r="D421" s="114">
        <v>46107</v>
      </c>
      <c r="E421" s="115">
        <v>0.54974537037037</v>
      </c>
      <c r="F421" s="116" t="s">
        <v>1209</v>
      </c>
      <c r="G421" s="114">
        <v>46079</v>
      </c>
      <c r="H421" s="116">
        <v>2567338754</v>
      </c>
      <c r="I421" s="116" t="s">
        <v>4074</v>
      </c>
      <c r="J421" s="116" t="s">
        <v>2141</v>
      </c>
      <c r="K421" s="116" t="s">
        <v>2329</v>
      </c>
      <c r="L421" s="116" t="s">
        <v>2330</v>
      </c>
      <c r="M421" s="116" t="s">
        <v>2331</v>
      </c>
      <c r="N421" s="116" t="s">
        <v>4075</v>
      </c>
      <c r="O421" s="119"/>
      <c r="P421" s="116" t="s">
        <v>1212</v>
      </c>
      <c r="Q421" s="116" t="s">
        <v>4076</v>
      </c>
      <c r="R421" s="116" t="s">
        <v>2376</v>
      </c>
      <c r="S421" s="116" t="s">
        <v>2519</v>
      </c>
      <c r="T421" s="116">
        <v>621899.89</v>
      </c>
      <c r="U421" s="119"/>
      <c r="V421" s="116" t="s">
        <v>2337</v>
      </c>
      <c r="W421" s="116">
        <v>261501000000000</v>
      </c>
      <c r="X421" s="114">
        <v>46107</v>
      </c>
      <c r="Y421" s="116">
        <v>2039109</v>
      </c>
      <c r="Z421" s="116" t="s">
        <v>4074</v>
      </c>
      <c r="AA421" s="116">
        <v>0.03</v>
      </c>
      <c r="AB421" s="119"/>
      <c r="AC421" s="119"/>
      <c r="AD421" s="119"/>
      <c r="AE421" s="119"/>
      <c r="AF421" s="119"/>
      <c r="AG421" s="119"/>
      <c r="AH421" s="119"/>
      <c r="AI421" s="119"/>
      <c r="AJ421" s="119"/>
      <c r="AK421" s="119"/>
      <c r="AL421" s="119"/>
      <c r="AM421" s="122"/>
      <c r="AN421" s="116" t="s">
        <v>3137</v>
      </c>
      <c r="AO421" s="116" t="s">
        <v>2428</v>
      </c>
      <c r="AP421" s="116" t="s">
        <v>2429</v>
      </c>
    </row>
    <row r="422" spans="1:42">
      <c r="A422" s="113" t="s">
        <v>1191</v>
      </c>
      <c r="B422" s="114">
        <v>46107</v>
      </c>
      <c r="C422" s="115">
        <v>0.606956018518519</v>
      </c>
      <c r="D422" s="114">
        <v>46107</v>
      </c>
      <c r="E422" s="115">
        <v>0.608472222222222</v>
      </c>
      <c r="F422" s="116" t="s">
        <v>1188</v>
      </c>
      <c r="G422" s="114">
        <v>46072</v>
      </c>
      <c r="H422" s="116">
        <v>2567217890</v>
      </c>
      <c r="I422" s="116" t="s">
        <v>1192</v>
      </c>
      <c r="J422" s="116" t="s">
        <v>2157</v>
      </c>
      <c r="K422" s="116" t="s">
        <v>2534</v>
      </c>
      <c r="L422" s="116" t="s">
        <v>2535</v>
      </c>
      <c r="M422" s="116" t="s">
        <v>2331</v>
      </c>
      <c r="N422" s="116" t="s">
        <v>4077</v>
      </c>
      <c r="O422" s="119"/>
      <c r="P422" s="116" t="s">
        <v>1190</v>
      </c>
      <c r="Q422" s="116" t="s">
        <v>4078</v>
      </c>
      <c r="R422" s="116" t="s">
        <v>2723</v>
      </c>
      <c r="S422" s="116" t="s">
        <v>3836</v>
      </c>
      <c r="T422" s="116">
        <v>1529037.36</v>
      </c>
      <c r="U422" s="116">
        <v>502566</v>
      </c>
      <c r="V422" s="116" t="s">
        <v>2540</v>
      </c>
      <c r="W422" s="116">
        <v>261504000000000</v>
      </c>
      <c r="X422" s="114">
        <v>46107</v>
      </c>
      <c r="Y422" s="116">
        <v>2036039</v>
      </c>
      <c r="Z422" s="116" t="s">
        <v>1192</v>
      </c>
      <c r="AA422" s="116">
        <v>0</v>
      </c>
      <c r="AB422" s="119"/>
      <c r="AC422" s="119"/>
      <c r="AD422" s="119"/>
      <c r="AE422" s="119"/>
      <c r="AF422" s="119"/>
      <c r="AG422" s="119"/>
      <c r="AH422" s="119"/>
      <c r="AI422" s="119"/>
      <c r="AJ422" s="119"/>
      <c r="AK422" s="119"/>
      <c r="AL422" s="119"/>
      <c r="AM422" s="122"/>
      <c r="AN422" s="116" t="s">
        <v>3359</v>
      </c>
      <c r="AO422" s="116" t="s">
        <v>2542</v>
      </c>
      <c r="AP422" s="116" t="s">
        <v>2543</v>
      </c>
    </row>
    <row r="423" spans="1:42">
      <c r="A423" s="113" t="s">
        <v>4079</v>
      </c>
      <c r="B423" s="114">
        <v>46107</v>
      </c>
      <c r="C423" s="115">
        <v>0.615011574074074</v>
      </c>
      <c r="D423" s="114">
        <v>46107</v>
      </c>
      <c r="E423" s="115">
        <v>0.615416666666667</v>
      </c>
      <c r="F423" s="116" t="s">
        <v>4080</v>
      </c>
      <c r="G423" s="114">
        <v>46056</v>
      </c>
      <c r="H423" s="116">
        <v>2566956032</v>
      </c>
      <c r="I423" s="116" t="s">
        <v>4081</v>
      </c>
      <c r="J423" s="116" t="s">
        <v>2203</v>
      </c>
      <c r="K423" s="116" t="s">
        <v>2526</v>
      </c>
      <c r="L423" s="116" t="s">
        <v>2527</v>
      </c>
      <c r="M423" s="116" t="s">
        <v>2331</v>
      </c>
      <c r="N423" s="116" t="s">
        <v>4082</v>
      </c>
      <c r="O423" s="119"/>
      <c r="P423" s="116">
        <v>4894121</v>
      </c>
      <c r="Q423" s="116" t="s">
        <v>2702</v>
      </c>
      <c r="R423" s="116" t="s">
        <v>2585</v>
      </c>
      <c r="S423" s="116" t="s">
        <v>2531</v>
      </c>
      <c r="T423" s="116">
        <v>709899.95</v>
      </c>
      <c r="U423" s="116">
        <v>500000</v>
      </c>
      <c r="V423" s="116" t="s">
        <v>2532</v>
      </c>
      <c r="W423" s="116">
        <v>261536000000000</v>
      </c>
      <c r="X423" s="114">
        <v>46107</v>
      </c>
      <c r="Y423" s="116">
        <v>2029692</v>
      </c>
      <c r="Z423" s="116" t="s">
        <v>4081</v>
      </c>
      <c r="AA423" s="116">
        <v>0.05</v>
      </c>
      <c r="AB423" s="119"/>
      <c r="AC423" s="119"/>
      <c r="AD423" s="119"/>
      <c r="AE423" s="119"/>
      <c r="AF423" s="119"/>
      <c r="AG423" s="119"/>
      <c r="AH423" s="119"/>
      <c r="AI423" s="119"/>
      <c r="AJ423" s="119"/>
      <c r="AK423" s="119"/>
      <c r="AL423" s="119"/>
      <c r="AM423" s="122"/>
      <c r="AN423" s="116" t="s">
        <v>4083</v>
      </c>
      <c r="AO423" s="116" t="s">
        <v>2421</v>
      </c>
      <c r="AP423" s="116" t="s">
        <v>2413</v>
      </c>
    </row>
    <row r="424" spans="1:42">
      <c r="A424" s="113" t="s">
        <v>4084</v>
      </c>
      <c r="B424" s="114">
        <v>46107</v>
      </c>
      <c r="C424" s="115">
        <v>0.627696759259259</v>
      </c>
      <c r="D424" s="114">
        <v>46107</v>
      </c>
      <c r="E424" s="115">
        <v>0.629398148148148</v>
      </c>
      <c r="F424" s="116" t="s">
        <v>4085</v>
      </c>
      <c r="G424" s="114">
        <v>46084</v>
      </c>
      <c r="H424" s="116">
        <v>2567425012</v>
      </c>
      <c r="I424" s="116" t="s">
        <v>4086</v>
      </c>
      <c r="J424" s="116" t="s">
        <v>2213</v>
      </c>
      <c r="K424" s="116" t="s">
        <v>2454</v>
      </c>
      <c r="L424" s="116" t="s">
        <v>2455</v>
      </c>
      <c r="M424" s="116" t="s">
        <v>2331</v>
      </c>
      <c r="N424" s="116" t="s">
        <v>4087</v>
      </c>
      <c r="O424" s="119"/>
      <c r="P424" s="116" t="s">
        <v>4088</v>
      </c>
      <c r="Q424" s="116" t="s">
        <v>2334</v>
      </c>
      <c r="R424" s="116" t="s">
        <v>2335</v>
      </c>
      <c r="S424" s="116" t="s">
        <v>4089</v>
      </c>
      <c r="T424" s="116">
        <v>1076052.58</v>
      </c>
      <c r="U424" s="116">
        <v>950000</v>
      </c>
      <c r="V424" s="116" t="s">
        <v>2460</v>
      </c>
      <c r="W424" s="116">
        <v>261532000000000</v>
      </c>
      <c r="X424" s="114">
        <v>46107</v>
      </c>
      <c r="Y424" s="116">
        <v>2040602</v>
      </c>
      <c r="Z424" s="116" t="s">
        <v>4086</v>
      </c>
      <c r="AA424" s="116">
        <v>-0.04</v>
      </c>
      <c r="AB424" s="119"/>
      <c r="AC424" s="119"/>
      <c r="AD424" s="119"/>
      <c r="AE424" s="119"/>
      <c r="AF424" s="119"/>
      <c r="AG424" s="119"/>
      <c r="AH424" s="119"/>
      <c r="AI424" s="119"/>
      <c r="AJ424" s="119"/>
      <c r="AK424" s="119"/>
      <c r="AL424" s="119"/>
      <c r="AM424" s="122"/>
      <c r="AN424" s="116" t="s">
        <v>2346</v>
      </c>
      <c r="AO424" s="116" t="s">
        <v>2346</v>
      </c>
      <c r="AP424" s="116" t="s">
        <v>2571</v>
      </c>
    </row>
    <row r="425" spans="1:42">
      <c r="A425" s="113" t="s">
        <v>4090</v>
      </c>
      <c r="B425" s="114">
        <v>46107</v>
      </c>
      <c r="C425" s="115">
        <v>0.637256944444444</v>
      </c>
      <c r="D425" s="114">
        <v>46107</v>
      </c>
      <c r="E425" s="115">
        <v>0.639756944444444</v>
      </c>
      <c r="F425" s="116" t="s">
        <v>4091</v>
      </c>
      <c r="G425" s="114">
        <v>46105</v>
      </c>
      <c r="H425" s="116">
        <v>2567781766</v>
      </c>
      <c r="I425" s="116" t="s">
        <v>4092</v>
      </c>
      <c r="J425" s="116" t="s">
        <v>2213</v>
      </c>
      <c r="K425" s="116" t="s">
        <v>2454</v>
      </c>
      <c r="L425" s="116" t="s">
        <v>2455</v>
      </c>
      <c r="M425" s="116" t="s">
        <v>2331</v>
      </c>
      <c r="N425" s="116" t="s">
        <v>4093</v>
      </c>
      <c r="O425" s="119"/>
      <c r="P425" s="116" t="s">
        <v>4094</v>
      </c>
      <c r="Q425" s="116" t="s">
        <v>2963</v>
      </c>
      <c r="R425" s="116" t="s">
        <v>2723</v>
      </c>
      <c r="S425" s="116" t="s">
        <v>3176</v>
      </c>
      <c r="T425" s="116">
        <v>823908.73</v>
      </c>
      <c r="U425" s="116">
        <v>900000</v>
      </c>
      <c r="V425" s="116" t="s">
        <v>2460</v>
      </c>
      <c r="W425" s="116">
        <v>261532000000000</v>
      </c>
      <c r="X425" s="114">
        <v>46107</v>
      </c>
      <c r="Y425" s="116">
        <v>1530816</v>
      </c>
      <c r="Z425" s="116" t="s">
        <v>4092</v>
      </c>
      <c r="AA425" s="116">
        <v>-0.02</v>
      </c>
      <c r="AB425" s="119"/>
      <c r="AC425" s="119"/>
      <c r="AD425" s="119"/>
      <c r="AE425" s="119"/>
      <c r="AF425" s="119"/>
      <c r="AG425" s="119"/>
      <c r="AH425" s="119"/>
      <c r="AI425" s="119"/>
      <c r="AJ425" s="119"/>
      <c r="AK425" s="119"/>
      <c r="AL425" s="119"/>
      <c r="AM425" s="122"/>
      <c r="AN425" s="116" t="s">
        <v>2346</v>
      </c>
      <c r="AO425" s="116" t="s">
        <v>2346</v>
      </c>
      <c r="AP425" s="116" t="s">
        <v>2571</v>
      </c>
    </row>
    <row r="426" spans="1:42">
      <c r="A426" s="113" t="s">
        <v>4095</v>
      </c>
      <c r="B426" s="114">
        <v>46107</v>
      </c>
      <c r="C426" s="115">
        <v>0.638344907407407</v>
      </c>
      <c r="D426" s="114">
        <v>46107</v>
      </c>
      <c r="E426" s="115">
        <v>0.639756944444444</v>
      </c>
      <c r="F426" s="116" t="s">
        <v>838</v>
      </c>
      <c r="G426" s="114">
        <v>46002</v>
      </c>
      <c r="H426" s="116">
        <v>2565926892</v>
      </c>
      <c r="I426" s="116" t="s">
        <v>4096</v>
      </c>
      <c r="J426" s="116" t="s">
        <v>3055</v>
      </c>
      <c r="K426" s="116" t="s">
        <v>3056</v>
      </c>
      <c r="L426" s="116" t="s">
        <v>3057</v>
      </c>
      <c r="M426" s="116" t="s">
        <v>2331</v>
      </c>
      <c r="N426" s="116" t="s">
        <v>4097</v>
      </c>
      <c r="O426" s="119"/>
      <c r="P426" s="116">
        <v>7805648</v>
      </c>
      <c r="Q426" s="116" t="s">
        <v>2477</v>
      </c>
      <c r="R426" s="116" t="s">
        <v>2376</v>
      </c>
      <c r="S426" s="116" t="s">
        <v>4037</v>
      </c>
      <c r="T426" s="116">
        <v>799498.67</v>
      </c>
      <c r="U426" s="119"/>
      <c r="V426" s="116" t="s">
        <v>3061</v>
      </c>
      <c r="W426" s="116">
        <v>261538000000000</v>
      </c>
      <c r="X426" s="114">
        <v>46107</v>
      </c>
      <c r="Y426" s="116">
        <v>2005056</v>
      </c>
      <c r="Z426" s="116" t="s">
        <v>4096</v>
      </c>
      <c r="AA426" s="116">
        <v>0</v>
      </c>
      <c r="AB426" s="119"/>
      <c r="AC426" s="119"/>
      <c r="AD426" s="119"/>
      <c r="AE426" s="119"/>
      <c r="AF426" s="119"/>
      <c r="AG426" s="119"/>
      <c r="AH426" s="119"/>
      <c r="AI426" s="119"/>
      <c r="AJ426" s="119"/>
      <c r="AK426" s="119"/>
      <c r="AL426" s="119"/>
      <c r="AM426" s="122"/>
      <c r="AN426" s="116" t="s">
        <v>2346</v>
      </c>
      <c r="AO426" s="116" t="s">
        <v>2346</v>
      </c>
      <c r="AP426" s="116" t="s">
        <v>2557</v>
      </c>
    </row>
    <row r="427" spans="1:42">
      <c r="A427" s="113" t="s">
        <v>4098</v>
      </c>
      <c r="B427" s="114">
        <v>46107</v>
      </c>
      <c r="C427" s="115">
        <v>0.647303240740741</v>
      </c>
      <c r="D427" s="114">
        <v>46107</v>
      </c>
      <c r="E427" s="115">
        <v>0.650104166666667</v>
      </c>
      <c r="F427" s="116" t="s">
        <v>4099</v>
      </c>
      <c r="G427" s="114">
        <v>46102</v>
      </c>
      <c r="H427" s="116">
        <v>2567737994</v>
      </c>
      <c r="I427" s="116" t="s">
        <v>4100</v>
      </c>
      <c r="J427" s="116" t="s">
        <v>2222</v>
      </c>
      <c r="K427" s="116" t="s">
        <v>2357</v>
      </c>
      <c r="L427" s="116" t="s">
        <v>2358</v>
      </c>
      <c r="M427" s="116" t="s">
        <v>2331</v>
      </c>
      <c r="N427" s="116" t="s">
        <v>4101</v>
      </c>
      <c r="O427" s="119"/>
      <c r="P427" s="116">
        <v>4532376</v>
      </c>
      <c r="Q427" s="116" t="s">
        <v>2425</v>
      </c>
      <c r="R427" s="116" t="s">
        <v>2376</v>
      </c>
      <c r="S427" s="116" t="s">
        <v>2753</v>
      </c>
      <c r="T427" s="116">
        <v>1349562.23</v>
      </c>
      <c r="U427" s="119"/>
      <c r="V427" s="116" t="s">
        <v>2364</v>
      </c>
      <c r="W427" s="116">
        <v>261534000000000</v>
      </c>
      <c r="X427" s="114">
        <v>46107</v>
      </c>
      <c r="Y427" s="116">
        <v>2047572</v>
      </c>
      <c r="Z427" s="116" t="s">
        <v>4100</v>
      </c>
      <c r="AA427" s="116">
        <v>-0.02</v>
      </c>
      <c r="AB427" s="119"/>
      <c r="AC427" s="119"/>
      <c r="AD427" s="119"/>
      <c r="AE427" s="119"/>
      <c r="AF427" s="119"/>
      <c r="AG427" s="119"/>
      <c r="AH427" s="119"/>
      <c r="AI427" s="119"/>
      <c r="AJ427" s="119"/>
      <c r="AK427" s="119"/>
      <c r="AL427" s="119"/>
      <c r="AM427" s="122"/>
      <c r="AN427" s="116" t="s">
        <v>2799</v>
      </c>
      <c r="AO427" s="116" t="s">
        <v>2471</v>
      </c>
      <c r="AP427" s="116" t="s">
        <v>2472</v>
      </c>
    </row>
    <row r="428" spans="1:42">
      <c r="A428" s="113" t="s">
        <v>1186</v>
      </c>
      <c r="B428" s="114">
        <v>46107</v>
      </c>
      <c r="C428" s="115">
        <v>0.653726851851852</v>
      </c>
      <c r="D428" s="114">
        <v>46107</v>
      </c>
      <c r="E428" s="115">
        <v>0.660543981481482</v>
      </c>
      <c r="F428" s="116" t="s">
        <v>778</v>
      </c>
      <c r="G428" s="114">
        <v>46081</v>
      </c>
      <c r="H428" s="116">
        <v>2567350340</v>
      </c>
      <c r="I428" s="116" t="s">
        <v>1187</v>
      </c>
      <c r="J428" s="116" t="s">
        <v>2189</v>
      </c>
      <c r="K428" s="116" t="s">
        <v>2463</v>
      </c>
      <c r="L428" s="116" t="s">
        <v>2464</v>
      </c>
      <c r="M428" s="116" t="s">
        <v>2331</v>
      </c>
      <c r="N428" s="116" t="s">
        <v>4102</v>
      </c>
      <c r="O428" s="119"/>
      <c r="P428" s="116">
        <v>9261671</v>
      </c>
      <c r="Q428" s="116" t="s">
        <v>2673</v>
      </c>
      <c r="R428" s="116" t="s">
        <v>2984</v>
      </c>
      <c r="S428" s="116" t="s">
        <v>2798</v>
      </c>
      <c r="T428" s="116">
        <v>644399.62</v>
      </c>
      <c r="U428" s="119"/>
      <c r="V428" s="116" t="s">
        <v>2469</v>
      </c>
      <c r="W428" s="116">
        <v>261517000000000</v>
      </c>
      <c r="X428" s="114">
        <v>46107</v>
      </c>
      <c r="Y428" s="116">
        <v>2039425</v>
      </c>
      <c r="Z428" s="116" t="s">
        <v>1187</v>
      </c>
      <c r="AA428" s="116">
        <v>0.03</v>
      </c>
      <c r="AB428" s="119"/>
      <c r="AC428" s="119"/>
      <c r="AD428" s="119"/>
      <c r="AE428" s="119"/>
      <c r="AF428" s="119"/>
      <c r="AG428" s="119"/>
      <c r="AH428" s="119"/>
      <c r="AI428" s="119"/>
      <c r="AJ428" s="119"/>
      <c r="AK428" s="119"/>
      <c r="AL428" s="119"/>
      <c r="AM428" s="122"/>
      <c r="AN428" s="116" t="s">
        <v>2799</v>
      </c>
      <c r="AO428" s="116" t="s">
        <v>2471</v>
      </c>
      <c r="AP428" s="116" t="s">
        <v>2472</v>
      </c>
    </row>
    <row r="429" spans="1:42">
      <c r="A429" s="113" t="s">
        <v>1245</v>
      </c>
      <c r="B429" s="114">
        <v>46107</v>
      </c>
      <c r="C429" s="115">
        <v>0.662199074074074</v>
      </c>
      <c r="D429" s="114">
        <v>46107</v>
      </c>
      <c r="E429" s="115">
        <v>0.667650462962963</v>
      </c>
      <c r="F429" s="116" t="s">
        <v>1242</v>
      </c>
      <c r="G429" s="114">
        <v>46105</v>
      </c>
      <c r="H429" s="116">
        <v>2567824335</v>
      </c>
      <c r="I429" s="116" t="s">
        <v>4103</v>
      </c>
      <c r="J429" s="116" t="s">
        <v>2181</v>
      </c>
      <c r="K429" s="116" t="s">
        <v>3615</v>
      </c>
      <c r="L429" s="116" t="s">
        <v>3616</v>
      </c>
      <c r="M429" s="116" t="s">
        <v>2331</v>
      </c>
      <c r="N429" s="116" t="s">
        <v>4104</v>
      </c>
      <c r="O429" s="119"/>
      <c r="P429" s="116" t="s">
        <v>1244</v>
      </c>
      <c r="Q429" s="116" t="s">
        <v>2797</v>
      </c>
      <c r="R429" s="116" t="s">
        <v>2335</v>
      </c>
      <c r="S429" s="116" t="s">
        <v>3618</v>
      </c>
      <c r="T429" s="116">
        <v>994900.53</v>
      </c>
      <c r="U429" s="119"/>
      <c r="V429" s="116" t="s">
        <v>3692</v>
      </c>
      <c r="W429" s="116">
        <v>261515000000000</v>
      </c>
      <c r="X429" s="114">
        <v>46107</v>
      </c>
      <c r="Y429" s="116">
        <v>2048614</v>
      </c>
      <c r="Z429" s="116" t="s">
        <v>4103</v>
      </c>
      <c r="AA429" s="116">
        <v>0</v>
      </c>
      <c r="AB429" s="119"/>
      <c r="AC429" s="119"/>
      <c r="AD429" s="119"/>
      <c r="AE429" s="119"/>
      <c r="AF429" s="119"/>
      <c r="AG429" s="119"/>
      <c r="AH429" s="119"/>
      <c r="AI429" s="119"/>
      <c r="AJ429" s="119"/>
      <c r="AK429" s="119"/>
      <c r="AL429" s="119"/>
      <c r="AM429" s="122"/>
      <c r="AN429" s="116" t="s">
        <v>3658</v>
      </c>
      <c r="AO429" s="116" t="s">
        <v>56</v>
      </c>
      <c r="AP429" s="116" t="s">
        <v>2515</v>
      </c>
    </row>
    <row r="430" spans="1:42">
      <c r="A430" s="113" t="s">
        <v>4105</v>
      </c>
      <c r="B430" s="114">
        <v>46107</v>
      </c>
      <c r="C430" s="115">
        <v>0.671134259259259</v>
      </c>
      <c r="D430" s="114">
        <v>46107</v>
      </c>
      <c r="E430" s="115">
        <v>0.674502314814815</v>
      </c>
      <c r="F430" s="116" t="s">
        <v>4106</v>
      </c>
      <c r="G430" s="114">
        <v>46024</v>
      </c>
      <c r="H430" s="116">
        <v>2567825312</v>
      </c>
      <c r="I430" s="116" t="s">
        <v>3031</v>
      </c>
      <c r="J430" s="116" t="s">
        <v>2213</v>
      </c>
      <c r="K430" s="116" t="s">
        <v>2454</v>
      </c>
      <c r="L430" s="116" t="s">
        <v>2455</v>
      </c>
      <c r="M430" s="116" t="s">
        <v>2331</v>
      </c>
      <c r="N430" s="116" t="s">
        <v>4107</v>
      </c>
      <c r="O430" s="119"/>
      <c r="P430" s="116" t="s">
        <v>4108</v>
      </c>
      <c r="Q430" s="116" t="s">
        <v>3193</v>
      </c>
      <c r="R430" s="116" t="s">
        <v>2458</v>
      </c>
      <c r="S430" s="116" t="s">
        <v>3176</v>
      </c>
      <c r="T430" s="116">
        <v>1139727.38</v>
      </c>
      <c r="U430" s="116">
        <v>850000</v>
      </c>
      <c r="V430" s="116" t="s">
        <v>2460</v>
      </c>
      <c r="W430" s="116">
        <v>261532000000000</v>
      </c>
      <c r="X430" s="114">
        <v>46107</v>
      </c>
      <c r="Y430" s="116">
        <v>1031003</v>
      </c>
      <c r="Z430" s="116" t="s">
        <v>3031</v>
      </c>
      <c r="AA430" s="116">
        <v>-0.02</v>
      </c>
      <c r="AB430" s="119"/>
      <c r="AC430" s="119"/>
      <c r="AD430" s="119"/>
      <c r="AE430" s="119"/>
      <c r="AF430" s="119"/>
      <c r="AG430" s="119"/>
      <c r="AH430" s="119"/>
      <c r="AI430" s="119"/>
      <c r="AJ430" s="119"/>
      <c r="AK430" s="119"/>
      <c r="AL430" s="119"/>
      <c r="AM430" s="122"/>
      <c r="AN430" s="116" t="s">
        <v>2346</v>
      </c>
      <c r="AO430" s="116" t="s">
        <v>2346</v>
      </c>
      <c r="AP430" s="116" t="s">
        <v>2659</v>
      </c>
    </row>
    <row r="431" spans="1:42">
      <c r="A431" s="113" t="s">
        <v>4109</v>
      </c>
      <c r="B431" s="114">
        <v>46107</v>
      </c>
      <c r="C431" s="115">
        <v>0.675798611111111</v>
      </c>
      <c r="D431" s="114">
        <v>46107</v>
      </c>
      <c r="E431" s="115">
        <v>0.677962962962963</v>
      </c>
      <c r="F431" s="116" t="s">
        <v>4110</v>
      </c>
      <c r="G431" s="114">
        <v>46106</v>
      </c>
      <c r="H431" s="116">
        <v>2567807210</v>
      </c>
      <c r="I431" s="116" t="s">
        <v>4111</v>
      </c>
      <c r="J431" s="116" t="s">
        <v>2217</v>
      </c>
      <c r="K431" s="116" t="s">
        <v>2497</v>
      </c>
      <c r="L431" s="116" t="s">
        <v>2498</v>
      </c>
      <c r="M431" s="116" t="s">
        <v>2331</v>
      </c>
      <c r="N431" s="116" t="s">
        <v>2824</v>
      </c>
      <c r="O431" s="119"/>
      <c r="P431" s="116">
        <v>4594864</v>
      </c>
      <c r="Q431" s="116" t="s">
        <v>2825</v>
      </c>
      <c r="R431" s="116" t="s">
        <v>2344</v>
      </c>
      <c r="S431" s="116" t="s">
        <v>3199</v>
      </c>
      <c r="T431" s="116">
        <v>494752.39</v>
      </c>
      <c r="U431" s="116">
        <v>512000</v>
      </c>
      <c r="V431" s="116" t="s">
        <v>2502</v>
      </c>
      <c r="W431" s="116">
        <v>261535000000000</v>
      </c>
      <c r="X431" s="114">
        <v>46107</v>
      </c>
      <c r="Y431" s="116">
        <v>2005180</v>
      </c>
      <c r="Z431" s="116" t="s">
        <v>4111</v>
      </c>
      <c r="AA431" s="116">
        <v>0.01</v>
      </c>
      <c r="AB431" s="119"/>
      <c r="AC431" s="119"/>
      <c r="AD431" s="119"/>
      <c r="AE431" s="119"/>
      <c r="AF431" s="119"/>
      <c r="AG431" s="119"/>
      <c r="AH431" s="119"/>
      <c r="AI431" s="119"/>
      <c r="AJ431" s="119"/>
      <c r="AK431" s="119"/>
      <c r="AL431" s="119"/>
      <c r="AM431" s="122"/>
      <c r="AN431" s="116" t="s">
        <v>3200</v>
      </c>
      <c r="AO431" s="116" t="s">
        <v>2346</v>
      </c>
      <c r="AP431" s="116" t="s">
        <v>2462</v>
      </c>
    </row>
    <row r="432" spans="1:42">
      <c r="A432" s="113" t="s">
        <v>1229</v>
      </c>
      <c r="B432" s="114">
        <v>46107</v>
      </c>
      <c r="C432" s="115">
        <v>0.680844907407407</v>
      </c>
      <c r="D432" s="114">
        <v>46107</v>
      </c>
      <c r="E432" s="115">
        <v>0.681493055555556</v>
      </c>
      <c r="F432" s="116" t="s">
        <v>1227</v>
      </c>
      <c r="G432" s="114">
        <v>46087</v>
      </c>
      <c r="H432" s="116">
        <v>2567463171</v>
      </c>
      <c r="I432" s="116" t="s">
        <v>4112</v>
      </c>
      <c r="J432" s="116" t="s">
        <v>2151</v>
      </c>
      <c r="K432" s="116" t="s">
        <v>2414</v>
      </c>
      <c r="L432" s="116" t="s">
        <v>2415</v>
      </c>
      <c r="M432" s="116" t="s">
        <v>2331</v>
      </c>
      <c r="N432" s="116" t="s">
        <v>4113</v>
      </c>
      <c r="O432" s="119"/>
      <c r="P432" s="116">
        <v>1433335</v>
      </c>
      <c r="Q432" s="116" t="s">
        <v>2517</v>
      </c>
      <c r="R432" s="116" t="s">
        <v>2538</v>
      </c>
      <c r="S432" s="116" t="s">
        <v>4114</v>
      </c>
      <c r="T432" s="116">
        <v>362799.58</v>
      </c>
      <c r="U432" s="116">
        <v>325000</v>
      </c>
      <c r="V432" s="116" t="s">
        <v>2419</v>
      </c>
      <c r="W432" s="116">
        <v>261503000000000</v>
      </c>
      <c r="X432" s="114">
        <v>46107</v>
      </c>
      <c r="Y432" s="116">
        <v>1006600</v>
      </c>
      <c r="Z432" s="116" t="s">
        <v>4112</v>
      </c>
      <c r="AA432" s="116">
        <v>-0.03</v>
      </c>
      <c r="AB432" s="119"/>
      <c r="AC432" s="119"/>
      <c r="AD432" s="119"/>
      <c r="AE432" s="119"/>
      <c r="AF432" s="119"/>
      <c r="AG432" s="119"/>
      <c r="AH432" s="119"/>
      <c r="AI432" s="119"/>
      <c r="AJ432" s="119"/>
      <c r="AK432" s="119"/>
      <c r="AL432" s="119"/>
      <c r="AM432" s="122"/>
      <c r="AN432" s="116" t="s">
        <v>4083</v>
      </c>
      <c r="AO432" s="116" t="s">
        <v>2421</v>
      </c>
      <c r="AP432" s="116" t="s">
        <v>2413</v>
      </c>
    </row>
    <row r="433" spans="1:42">
      <c r="A433" s="113" t="s">
        <v>1219</v>
      </c>
      <c r="B433" s="114">
        <v>46107</v>
      </c>
      <c r="C433" s="115">
        <v>0.685775462962963</v>
      </c>
      <c r="D433" s="114">
        <v>46107</v>
      </c>
      <c r="E433" s="115">
        <v>0.688356481481481</v>
      </c>
      <c r="F433" s="116" t="s">
        <v>1216</v>
      </c>
      <c r="G433" s="114">
        <v>46107</v>
      </c>
      <c r="H433" s="116">
        <v>2567808397</v>
      </c>
      <c r="I433" s="116" t="s">
        <v>4115</v>
      </c>
      <c r="J433" s="116" t="s">
        <v>2141</v>
      </c>
      <c r="K433" s="116" t="s">
        <v>2329</v>
      </c>
      <c r="L433" s="116" t="s">
        <v>2330</v>
      </c>
      <c r="M433" s="116" t="s">
        <v>2331</v>
      </c>
      <c r="N433" s="116" t="s">
        <v>4116</v>
      </c>
      <c r="O433" s="119"/>
      <c r="P433" s="116">
        <v>1435687</v>
      </c>
      <c r="Q433" s="116" t="s">
        <v>2343</v>
      </c>
      <c r="R433" s="116" t="s">
        <v>2344</v>
      </c>
      <c r="S433" s="116" t="s">
        <v>2908</v>
      </c>
      <c r="T433" s="116">
        <v>553900.18</v>
      </c>
      <c r="U433" s="116">
        <v>500000</v>
      </c>
      <c r="V433" s="116" t="s">
        <v>2337</v>
      </c>
      <c r="W433" s="116">
        <v>261501000000000</v>
      </c>
      <c r="X433" s="114">
        <v>46107</v>
      </c>
      <c r="Y433" s="116">
        <v>2038674</v>
      </c>
      <c r="Z433" s="116" t="s">
        <v>4115</v>
      </c>
      <c r="AA433" s="116">
        <v>-0.03</v>
      </c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  <c r="AL433" s="119"/>
      <c r="AM433" s="122"/>
      <c r="AN433" s="116" t="s">
        <v>4117</v>
      </c>
      <c r="AO433" s="116" t="s">
        <v>2384</v>
      </c>
      <c r="AP433" s="116" t="s">
        <v>2686</v>
      </c>
    </row>
    <row r="434" spans="1:42">
      <c r="A434" s="113" t="s">
        <v>4118</v>
      </c>
      <c r="B434" s="114">
        <v>46107</v>
      </c>
      <c r="C434" s="115">
        <v>0.691400462962963</v>
      </c>
      <c r="D434" s="114">
        <v>46107</v>
      </c>
      <c r="E434" s="115">
        <v>0.691851851851852</v>
      </c>
      <c r="F434" s="116" t="s">
        <v>4119</v>
      </c>
      <c r="G434" s="114">
        <v>46090</v>
      </c>
      <c r="H434" s="116">
        <v>2567482980</v>
      </c>
      <c r="I434" s="116" t="s">
        <v>4120</v>
      </c>
      <c r="J434" s="116" t="s">
        <v>2207</v>
      </c>
      <c r="K434" s="116" t="s">
        <v>2662</v>
      </c>
      <c r="L434" s="116" t="s">
        <v>2663</v>
      </c>
      <c r="M434" s="116" t="s">
        <v>2331</v>
      </c>
      <c r="N434" s="116" t="s">
        <v>4121</v>
      </c>
      <c r="O434" s="119"/>
      <c r="P434" s="116">
        <v>4884439</v>
      </c>
      <c r="Q434" s="116" t="s">
        <v>2702</v>
      </c>
      <c r="R434" s="116" t="s">
        <v>2335</v>
      </c>
      <c r="S434" s="116" t="s">
        <v>4122</v>
      </c>
      <c r="T434" s="116">
        <v>681899.93</v>
      </c>
      <c r="U434" s="116">
        <v>500000</v>
      </c>
      <c r="V434" s="116" t="s">
        <v>2666</v>
      </c>
      <c r="W434" s="116">
        <v>261537000000000</v>
      </c>
      <c r="X434" s="114">
        <v>46107</v>
      </c>
      <c r="Y434" s="116">
        <v>2041078</v>
      </c>
      <c r="Z434" s="116" t="s">
        <v>4120</v>
      </c>
      <c r="AA434" s="116">
        <v>0.02</v>
      </c>
      <c r="AB434" s="119"/>
      <c r="AC434" s="119"/>
      <c r="AD434" s="119"/>
      <c r="AE434" s="119"/>
      <c r="AF434" s="119"/>
      <c r="AG434" s="119"/>
      <c r="AH434" s="119"/>
      <c r="AI434" s="119"/>
      <c r="AJ434" s="119"/>
      <c r="AK434" s="119"/>
      <c r="AL434" s="119"/>
      <c r="AM434" s="122"/>
      <c r="AN434" s="116" t="s">
        <v>2960</v>
      </c>
      <c r="AO434" s="116" t="s">
        <v>2346</v>
      </c>
      <c r="AP434" s="116" t="s">
        <v>2669</v>
      </c>
    </row>
    <row r="435" spans="1:42">
      <c r="A435" s="113" t="s">
        <v>4123</v>
      </c>
      <c r="B435" s="114">
        <v>46107</v>
      </c>
      <c r="C435" s="115">
        <v>0.695150462962963</v>
      </c>
      <c r="D435" s="114">
        <v>46107</v>
      </c>
      <c r="E435" s="115">
        <v>0.6953125</v>
      </c>
      <c r="F435" s="116" t="s">
        <v>4124</v>
      </c>
      <c r="G435" s="114">
        <v>46099</v>
      </c>
      <c r="H435" s="116">
        <v>2567672198</v>
      </c>
      <c r="I435" s="116" t="s">
        <v>4125</v>
      </c>
      <c r="J435" s="116" t="s">
        <v>2222</v>
      </c>
      <c r="K435" s="116" t="s">
        <v>2357</v>
      </c>
      <c r="L435" s="116" t="s">
        <v>2358</v>
      </c>
      <c r="M435" s="116" t="s">
        <v>2331</v>
      </c>
      <c r="N435" s="116" t="s">
        <v>4126</v>
      </c>
      <c r="O435" s="119"/>
      <c r="P435" s="116">
        <v>4896622</v>
      </c>
      <c r="Q435" s="116" t="s">
        <v>2759</v>
      </c>
      <c r="R435" s="116" t="s">
        <v>2335</v>
      </c>
      <c r="S435" s="116" t="s">
        <v>2606</v>
      </c>
      <c r="T435" s="116">
        <v>580899.87</v>
      </c>
      <c r="U435" s="116">
        <v>638199</v>
      </c>
      <c r="V435" s="116" t="s">
        <v>2364</v>
      </c>
      <c r="W435" s="116">
        <v>261534000000000</v>
      </c>
      <c r="X435" s="114">
        <v>46107</v>
      </c>
      <c r="Y435" s="116">
        <v>2046350</v>
      </c>
      <c r="Z435" s="116" t="s">
        <v>4125</v>
      </c>
      <c r="AA435" s="116">
        <v>0.01</v>
      </c>
      <c r="AB435" s="119"/>
      <c r="AC435" s="119"/>
      <c r="AD435" s="119"/>
      <c r="AE435" s="119"/>
      <c r="AF435" s="119"/>
      <c r="AG435" s="119"/>
      <c r="AH435" s="119"/>
      <c r="AI435" s="119"/>
      <c r="AJ435" s="119"/>
      <c r="AK435" s="119"/>
      <c r="AL435" s="119"/>
      <c r="AM435" s="122"/>
      <c r="AN435" s="116" t="s">
        <v>2607</v>
      </c>
      <c r="AO435" s="116" t="s">
        <v>2608</v>
      </c>
      <c r="AP435" s="116" t="s">
        <v>2367</v>
      </c>
    </row>
    <row r="436" spans="1:42">
      <c r="A436" s="113" t="s">
        <v>4127</v>
      </c>
      <c r="B436" s="114">
        <v>46107</v>
      </c>
      <c r="C436" s="115">
        <v>0.697719907407407</v>
      </c>
      <c r="D436" s="114">
        <v>46107</v>
      </c>
      <c r="E436" s="115">
        <v>0.698819444444444</v>
      </c>
      <c r="F436" s="116" t="s">
        <v>4128</v>
      </c>
      <c r="G436" s="114">
        <v>46084</v>
      </c>
      <c r="H436" s="116">
        <v>2567422795</v>
      </c>
      <c r="I436" s="116" t="s">
        <v>4129</v>
      </c>
      <c r="J436" s="116" t="s">
        <v>2199</v>
      </c>
      <c r="K436" s="116" t="s">
        <v>2371</v>
      </c>
      <c r="L436" s="116" t="s">
        <v>2372</v>
      </c>
      <c r="M436" s="116" t="s">
        <v>2331</v>
      </c>
      <c r="N436" s="116" t="s">
        <v>4130</v>
      </c>
      <c r="O436" s="119"/>
      <c r="P436" s="116">
        <v>7933143</v>
      </c>
      <c r="Q436" s="116" t="s">
        <v>3301</v>
      </c>
      <c r="R436" s="116" t="s">
        <v>2335</v>
      </c>
      <c r="S436" s="116" t="s">
        <v>2850</v>
      </c>
      <c r="T436" s="116">
        <v>1251591.82</v>
      </c>
      <c r="U436" s="116">
        <v>500000</v>
      </c>
      <c r="V436" s="116" t="s">
        <v>2378</v>
      </c>
      <c r="W436" s="116">
        <v>261502000000000</v>
      </c>
      <c r="X436" s="114">
        <v>46107</v>
      </c>
      <c r="Y436" s="116">
        <v>2040575</v>
      </c>
      <c r="Z436" s="116" t="s">
        <v>4129</v>
      </c>
      <c r="AA436" s="116">
        <v>0.02</v>
      </c>
      <c r="AB436" s="119"/>
      <c r="AC436" s="119"/>
      <c r="AD436" s="119"/>
      <c r="AE436" s="119"/>
      <c r="AF436" s="119"/>
      <c r="AG436" s="119"/>
      <c r="AH436" s="119"/>
      <c r="AI436" s="119"/>
      <c r="AJ436" s="119"/>
      <c r="AK436" s="119"/>
      <c r="AL436" s="119"/>
      <c r="AM436" s="122"/>
      <c r="AN436" s="116" t="s">
        <v>2851</v>
      </c>
      <c r="AO436" s="116" t="s">
        <v>2346</v>
      </c>
      <c r="AP436" s="116" t="s">
        <v>2340</v>
      </c>
    </row>
    <row r="437" spans="1:42">
      <c r="A437" s="113" t="s">
        <v>4131</v>
      </c>
      <c r="B437" s="114">
        <v>46107</v>
      </c>
      <c r="C437" s="115">
        <v>0.704143518518519</v>
      </c>
      <c r="D437" s="114">
        <v>46107</v>
      </c>
      <c r="E437" s="115">
        <v>0.705694444444444</v>
      </c>
      <c r="F437" s="116" t="s">
        <v>4132</v>
      </c>
      <c r="G437" s="114">
        <v>46107</v>
      </c>
      <c r="H437" s="116">
        <v>2567823625</v>
      </c>
      <c r="I437" s="116" t="s">
        <v>3031</v>
      </c>
      <c r="J437" s="116" t="s">
        <v>2199</v>
      </c>
      <c r="K437" s="116" t="s">
        <v>2371</v>
      </c>
      <c r="L437" s="116" t="s">
        <v>2372</v>
      </c>
      <c r="M437" s="116" t="s">
        <v>2331</v>
      </c>
      <c r="N437" s="116" t="s">
        <v>4133</v>
      </c>
      <c r="O437" s="119"/>
      <c r="P437" s="116" t="s">
        <v>4134</v>
      </c>
      <c r="Q437" s="116" t="s">
        <v>2375</v>
      </c>
      <c r="R437" s="116" t="s">
        <v>2585</v>
      </c>
      <c r="S437" s="116" t="s">
        <v>4135</v>
      </c>
      <c r="T437" s="116">
        <v>1216459.63</v>
      </c>
      <c r="U437" s="119"/>
      <c r="V437" s="116" t="s">
        <v>2378</v>
      </c>
      <c r="W437" s="116">
        <v>261502000000000</v>
      </c>
      <c r="X437" s="114">
        <v>46107</v>
      </c>
      <c r="Y437" s="116">
        <v>1031003</v>
      </c>
      <c r="Z437" s="116" t="s">
        <v>3031</v>
      </c>
      <c r="AA437" s="116">
        <v>-0.06</v>
      </c>
      <c r="AB437" s="119"/>
      <c r="AC437" s="119"/>
      <c r="AD437" s="119"/>
      <c r="AE437" s="119"/>
      <c r="AF437" s="119"/>
      <c r="AG437" s="119"/>
      <c r="AH437" s="119"/>
      <c r="AI437" s="119"/>
      <c r="AJ437" s="119"/>
      <c r="AK437" s="119"/>
      <c r="AL437" s="119"/>
      <c r="AM437" s="122"/>
      <c r="AN437" s="116" t="s">
        <v>4136</v>
      </c>
      <c r="AO437" s="116" t="s">
        <v>2957</v>
      </c>
      <c r="AP437" s="116" t="s">
        <v>2340</v>
      </c>
    </row>
    <row r="438" spans="1:42">
      <c r="A438" s="113" t="s">
        <v>4137</v>
      </c>
      <c r="B438" s="114">
        <v>46107</v>
      </c>
      <c r="C438" s="115">
        <v>0.705659722222222</v>
      </c>
      <c r="D438" s="114">
        <v>46107</v>
      </c>
      <c r="E438" s="115">
        <v>0.709224537037037</v>
      </c>
      <c r="F438" s="116" t="s">
        <v>4138</v>
      </c>
      <c r="G438" s="114">
        <v>46066</v>
      </c>
      <c r="H438" s="116">
        <v>2567123927</v>
      </c>
      <c r="I438" s="116" t="s">
        <v>4139</v>
      </c>
      <c r="J438" s="116" t="s">
        <v>2222</v>
      </c>
      <c r="K438" s="116" t="s">
        <v>2357</v>
      </c>
      <c r="L438" s="116" t="s">
        <v>2358</v>
      </c>
      <c r="M438" s="116" t="s">
        <v>2331</v>
      </c>
      <c r="N438" s="116" t="s">
        <v>4140</v>
      </c>
      <c r="O438" s="119"/>
      <c r="P438" s="116">
        <v>4896162</v>
      </c>
      <c r="Q438" s="116" t="s">
        <v>2759</v>
      </c>
      <c r="R438" s="116" t="s">
        <v>2585</v>
      </c>
      <c r="S438" s="116" t="s">
        <v>3005</v>
      </c>
      <c r="T438" s="116">
        <v>573799.96</v>
      </c>
      <c r="U438" s="116">
        <v>600000</v>
      </c>
      <c r="V438" s="116" t="s">
        <v>2364</v>
      </c>
      <c r="W438" s="116">
        <v>261534000000000</v>
      </c>
      <c r="X438" s="114">
        <v>46107</v>
      </c>
      <c r="Y438" s="116">
        <v>2033926</v>
      </c>
      <c r="Z438" s="116" t="s">
        <v>4139</v>
      </c>
      <c r="AA438" s="116">
        <v>0</v>
      </c>
      <c r="AB438" s="119"/>
      <c r="AC438" s="119"/>
      <c r="AD438" s="119"/>
      <c r="AE438" s="119"/>
      <c r="AF438" s="119"/>
      <c r="AG438" s="119"/>
      <c r="AH438" s="119"/>
      <c r="AI438" s="119"/>
      <c r="AJ438" s="119"/>
      <c r="AK438" s="119"/>
      <c r="AL438" s="119"/>
      <c r="AM438" s="122"/>
      <c r="AN438" s="116" t="s">
        <v>3431</v>
      </c>
      <c r="AO438" s="116" t="s">
        <v>2346</v>
      </c>
      <c r="AP438" s="116" t="s">
        <v>2462</v>
      </c>
    </row>
    <row r="439" spans="1:42">
      <c r="A439" s="113" t="s">
        <v>4141</v>
      </c>
      <c r="B439" s="114">
        <v>46107</v>
      </c>
      <c r="C439" s="115">
        <v>0.708796296296296</v>
      </c>
      <c r="D439" s="114">
        <v>46107</v>
      </c>
      <c r="E439" s="115">
        <v>0.709224537037037</v>
      </c>
      <c r="F439" s="116" t="s">
        <v>4142</v>
      </c>
      <c r="G439" s="114">
        <v>46092</v>
      </c>
      <c r="H439" s="116">
        <v>2567549486</v>
      </c>
      <c r="I439" s="116" t="s">
        <v>4143</v>
      </c>
      <c r="J439" s="116" t="s">
        <v>2199</v>
      </c>
      <c r="K439" s="116" t="s">
        <v>2371</v>
      </c>
      <c r="L439" s="116" t="s">
        <v>2372</v>
      </c>
      <c r="M439" s="116" t="s">
        <v>2331</v>
      </c>
      <c r="N439" s="116" t="s">
        <v>4144</v>
      </c>
      <c r="O439" s="119"/>
      <c r="P439" s="116">
        <v>4896309</v>
      </c>
      <c r="Q439" s="116" t="s">
        <v>2584</v>
      </c>
      <c r="R439" s="116" t="s">
        <v>2435</v>
      </c>
      <c r="S439" s="116" t="s">
        <v>2600</v>
      </c>
      <c r="T439" s="116">
        <v>876399.62</v>
      </c>
      <c r="U439" s="116">
        <v>500000</v>
      </c>
      <c r="V439" s="116" t="s">
        <v>2378</v>
      </c>
      <c r="W439" s="116">
        <v>261502000000000</v>
      </c>
      <c r="X439" s="114">
        <v>46107</v>
      </c>
      <c r="Y439" s="116">
        <v>2043599</v>
      </c>
      <c r="Z439" s="116" t="s">
        <v>4143</v>
      </c>
      <c r="AA439" s="116">
        <v>0.03</v>
      </c>
      <c r="AB439" s="119"/>
      <c r="AC439" s="119"/>
      <c r="AD439" s="119"/>
      <c r="AE439" s="119"/>
      <c r="AF439" s="119"/>
      <c r="AG439" s="119"/>
      <c r="AH439" s="119"/>
      <c r="AI439" s="119"/>
      <c r="AJ439" s="119"/>
      <c r="AK439" s="119"/>
      <c r="AL439" s="119"/>
      <c r="AM439" s="122"/>
      <c r="AN439" s="116" t="s">
        <v>3255</v>
      </c>
      <c r="AO439" s="116" t="s">
        <v>2339</v>
      </c>
      <c r="AP439" s="116" t="s">
        <v>2340</v>
      </c>
    </row>
    <row r="440" spans="1:42">
      <c r="A440" s="113" t="s">
        <v>4145</v>
      </c>
      <c r="B440" s="114">
        <v>46107</v>
      </c>
      <c r="C440" s="115">
        <v>0.712569444444444</v>
      </c>
      <c r="D440" s="114">
        <v>46107</v>
      </c>
      <c r="E440" s="115">
        <v>0.712696759259259</v>
      </c>
      <c r="F440" s="116" t="s">
        <v>4146</v>
      </c>
      <c r="G440" s="114">
        <v>46107</v>
      </c>
      <c r="H440" s="116">
        <v>2567825750</v>
      </c>
      <c r="I440" s="116" t="s">
        <v>4147</v>
      </c>
      <c r="J440" s="116" t="s">
        <v>2213</v>
      </c>
      <c r="K440" s="116" t="s">
        <v>2454</v>
      </c>
      <c r="L440" s="116" t="s">
        <v>2455</v>
      </c>
      <c r="M440" s="116" t="s">
        <v>2331</v>
      </c>
      <c r="N440" s="116" t="s">
        <v>4148</v>
      </c>
      <c r="O440" s="119"/>
      <c r="P440" s="116" t="s">
        <v>4149</v>
      </c>
      <c r="Q440" s="116" t="s">
        <v>2334</v>
      </c>
      <c r="R440" s="116" t="s">
        <v>2335</v>
      </c>
      <c r="S440" s="116" t="s">
        <v>2508</v>
      </c>
      <c r="T440" s="116">
        <v>1074032.58</v>
      </c>
      <c r="U440" s="116">
        <v>1100000</v>
      </c>
      <c r="V440" s="116" t="s">
        <v>2460</v>
      </c>
      <c r="W440" s="116">
        <v>261532000000000</v>
      </c>
      <c r="X440" s="114">
        <v>46107</v>
      </c>
      <c r="Y440" s="116">
        <v>2040090</v>
      </c>
      <c r="Z440" s="116" t="s">
        <v>4147</v>
      </c>
      <c r="AA440" s="116">
        <v>-0.05</v>
      </c>
      <c r="AB440" s="119"/>
      <c r="AC440" s="119"/>
      <c r="AD440" s="119"/>
      <c r="AE440" s="119"/>
      <c r="AF440" s="119"/>
      <c r="AG440" s="119"/>
      <c r="AH440" s="119"/>
      <c r="AI440" s="119"/>
      <c r="AJ440" s="119"/>
      <c r="AK440" s="119"/>
      <c r="AL440" s="119"/>
      <c r="AM440" s="122"/>
      <c r="AN440" s="116" t="s">
        <v>3431</v>
      </c>
      <c r="AO440" s="116" t="s">
        <v>2346</v>
      </c>
      <c r="AP440" s="116" t="s">
        <v>2462</v>
      </c>
    </row>
    <row r="441" spans="1:42">
      <c r="A441" s="113" t="s">
        <v>4150</v>
      </c>
      <c r="B441" s="114">
        <v>46107</v>
      </c>
      <c r="C441" s="115">
        <v>0.7209375</v>
      </c>
      <c r="D441" s="114">
        <v>46107</v>
      </c>
      <c r="E441" s="115">
        <v>0.723206018518519</v>
      </c>
      <c r="F441" s="116" t="s">
        <v>4151</v>
      </c>
      <c r="G441" s="114">
        <v>46107</v>
      </c>
      <c r="H441" s="116">
        <v>2567825494</v>
      </c>
      <c r="I441" s="116" t="s">
        <v>3031</v>
      </c>
      <c r="J441" s="116" t="s">
        <v>2226</v>
      </c>
      <c r="K441" s="116" t="s">
        <v>2566</v>
      </c>
      <c r="L441" s="116" t="s">
        <v>2567</v>
      </c>
      <c r="M441" s="116" t="s">
        <v>2331</v>
      </c>
      <c r="N441" s="116" t="s">
        <v>4152</v>
      </c>
      <c r="O441" s="119"/>
      <c r="P441" s="116">
        <v>7799315</v>
      </c>
      <c r="Q441" s="116" t="s">
        <v>2477</v>
      </c>
      <c r="R441" s="116" t="s">
        <v>2585</v>
      </c>
      <c r="S441" s="116" t="s">
        <v>3204</v>
      </c>
      <c r="T441" s="116">
        <v>793590.93</v>
      </c>
      <c r="U441" s="119"/>
      <c r="V441" s="116" t="s">
        <v>2570</v>
      </c>
      <c r="W441" s="116">
        <v>261531000000000</v>
      </c>
      <c r="X441" s="114">
        <v>46107</v>
      </c>
      <c r="Y441" s="116">
        <v>1031003</v>
      </c>
      <c r="Z441" s="116" t="s">
        <v>3031</v>
      </c>
      <c r="AA441" s="116">
        <v>0.04</v>
      </c>
      <c r="AB441" s="119"/>
      <c r="AC441" s="119"/>
      <c r="AD441" s="119"/>
      <c r="AE441" s="119"/>
      <c r="AF441" s="119"/>
      <c r="AG441" s="119"/>
      <c r="AH441" s="119"/>
      <c r="AI441" s="119"/>
      <c r="AJ441" s="119"/>
      <c r="AK441" s="119"/>
      <c r="AL441" s="119"/>
      <c r="AM441" s="122"/>
      <c r="AN441" s="116" t="s">
        <v>2346</v>
      </c>
      <c r="AO441" s="116" t="s">
        <v>2346</v>
      </c>
      <c r="AP441" s="116" t="s">
        <v>2571</v>
      </c>
    </row>
    <row r="442" spans="1:42">
      <c r="A442" s="113" t="s">
        <v>4153</v>
      </c>
      <c r="B442" s="114">
        <v>46107</v>
      </c>
      <c r="C442" s="115">
        <v>0.721863425925926</v>
      </c>
      <c r="D442" s="114">
        <v>46107</v>
      </c>
      <c r="E442" s="115">
        <v>0.723206018518519</v>
      </c>
      <c r="F442" s="116" t="s">
        <v>3961</v>
      </c>
      <c r="G442" s="114">
        <v>46107</v>
      </c>
      <c r="H442" s="116">
        <v>2567825711</v>
      </c>
      <c r="I442" s="116" t="s">
        <v>4154</v>
      </c>
      <c r="J442" s="116" t="s">
        <v>2213</v>
      </c>
      <c r="K442" s="116" t="s">
        <v>2454</v>
      </c>
      <c r="L442" s="116" t="s">
        <v>2455</v>
      </c>
      <c r="M442" s="116" t="s">
        <v>2331</v>
      </c>
      <c r="N442" s="116" t="s">
        <v>4155</v>
      </c>
      <c r="O442" s="119"/>
      <c r="P442" s="116" t="s">
        <v>4156</v>
      </c>
      <c r="Q442" s="116" t="s">
        <v>2334</v>
      </c>
      <c r="R442" s="116" t="s">
        <v>2335</v>
      </c>
      <c r="S442" s="116" t="s">
        <v>2826</v>
      </c>
      <c r="T442" s="116">
        <v>1074032.58</v>
      </c>
      <c r="U442" s="119"/>
      <c r="V442" s="116" t="s">
        <v>2460</v>
      </c>
      <c r="W442" s="116">
        <v>261532000000000</v>
      </c>
      <c r="X442" s="114">
        <v>46107</v>
      </c>
      <c r="Y442" s="116">
        <v>1875658</v>
      </c>
      <c r="Z442" s="116" t="s">
        <v>4154</v>
      </c>
      <c r="AA442" s="116">
        <v>-0.05</v>
      </c>
      <c r="AB442" s="119"/>
      <c r="AC442" s="119"/>
      <c r="AD442" s="119"/>
      <c r="AE442" s="119"/>
      <c r="AF442" s="119"/>
      <c r="AG442" s="119"/>
      <c r="AH442" s="119"/>
      <c r="AI442" s="119"/>
      <c r="AJ442" s="119"/>
      <c r="AK442" s="119"/>
      <c r="AL442" s="119"/>
      <c r="AM442" s="122"/>
      <c r="AN442" s="116" t="s">
        <v>2550</v>
      </c>
      <c r="AO442" s="116" t="s">
        <v>2346</v>
      </c>
      <c r="AP442" s="116" t="s">
        <v>2462</v>
      </c>
    </row>
    <row r="443" spans="1:42">
      <c r="A443" s="113" t="s">
        <v>1225</v>
      </c>
      <c r="B443" s="114">
        <v>46107</v>
      </c>
      <c r="C443" s="115">
        <v>0.734270833333333</v>
      </c>
      <c r="D443" s="114">
        <v>46107</v>
      </c>
      <c r="E443" s="115">
        <v>0.737002314814815</v>
      </c>
      <c r="F443" s="116" t="s">
        <v>1221</v>
      </c>
      <c r="G443" s="114">
        <v>46035</v>
      </c>
      <c r="H443" s="116">
        <v>2566581936</v>
      </c>
      <c r="I443" s="116" t="s">
        <v>1226</v>
      </c>
      <c r="J443" s="116" t="s">
        <v>2141</v>
      </c>
      <c r="K443" s="116" t="s">
        <v>2329</v>
      </c>
      <c r="L443" s="116" t="s">
        <v>2330</v>
      </c>
      <c r="M443" s="116" t="s">
        <v>2331</v>
      </c>
      <c r="N443" s="116" t="s">
        <v>4157</v>
      </c>
      <c r="O443" s="119"/>
      <c r="P443" s="116" t="s">
        <v>1224</v>
      </c>
      <c r="Q443" s="116" t="s">
        <v>2548</v>
      </c>
      <c r="R443" s="116" t="s">
        <v>2458</v>
      </c>
      <c r="S443" s="116" t="s">
        <v>2791</v>
      </c>
      <c r="T443" s="116">
        <v>476399.99</v>
      </c>
      <c r="U443" s="119"/>
      <c r="V443" s="116" t="s">
        <v>2337</v>
      </c>
      <c r="W443" s="116">
        <v>261501000000000</v>
      </c>
      <c r="X443" s="114">
        <v>46107</v>
      </c>
      <c r="Y443" s="116">
        <v>2019778</v>
      </c>
      <c r="Z443" s="116" t="s">
        <v>1226</v>
      </c>
      <c r="AA443" s="116">
        <v>-0.02</v>
      </c>
      <c r="AB443" s="119"/>
      <c r="AC443" s="119"/>
      <c r="AD443" s="119"/>
      <c r="AE443" s="119"/>
      <c r="AF443" s="119"/>
      <c r="AG443" s="119"/>
      <c r="AH443" s="119"/>
      <c r="AI443" s="119"/>
      <c r="AJ443" s="119"/>
      <c r="AK443" s="119"/>
      <c r="AL443" s="119"/>
      <c r="AM443" s="122"/>
      <c r="AN443" s="116" t="s">
        <v>4136</v>
      </c>
      <c r="AO443" s="116" t="s">
        <v>2957</v>
      </c>
      <c r="AP443" s="116" t="s">
        <v>2340</v>
      </c>
    </row>
    <row r="444" spans="1:42">
      <c r="A444" s="113" t="s">
        <v>4158</v>
      </c>
      <c r="B444" s="114">
        <v>46107</v>
      </c>
      <c r="C444" s="115">
        <v>0.736898148148148</v>
      </c>
      <c r="D444" s="114">
        <v>46107</v>
      </c>
      <c r="E444" s="115">
        <v>0.737002314814815</v>
      </c>
      <c r="F444" s="116" t="s">
        <v>4159</v>
      </c>
      <c r="G444" s="114">
        <v>46090</v>
      </c>
      <c r="H444" s="116">
        <v>2567490926</v>
      </c>
      <c r="I444" s="116" t="s">
        <v>4160</v>
      </c>
      <c r="J444" s="116" t="s">
        <v>2199</v>
      </c>
      <c r="K444" s="116" t="s">
        <v>2371</v>
      </c>
      <c r="L444" s="116" t="s">
        <v>2372</v>
      </c>
      <c r="M444" s="116" t="s">
        <v>2331</v>
      </c>
      <c r="N444" s="116" t="s">
        <v>4161</v>
      </c>
      <c r="O444" s="119"/>
      <c r="P444" s="116">
        <v>4893098</v>
      </c>
      <c r="Q444" s="116" t="s">
        <v>2529</v>
      </c>
      <c r="R444" s="116" t="s">
        <v>2376</v>
      </c>
      <c r="S444" s="116" t="s">
        <v>2856</v>
      </c>
      <c r="T444" s="116">
        <v>787900.08</v>
      </c>
      <c r="U444" s="116">
        <v>500000</v>
      </c>
      <c r="V444" s="116" t="s">
        <v>2378</v>
      </c>
      <c r="W444" s="116">
        <v>261502000000000</v>
      </c>
      <c r="X444" s="114">
        <v>46107</v>
      </c>
      <c r="Y444" s="116">
        <v>2042487</v>
      </c>
      <c r="Z444" s="116" t="s">
        <v>4160</v>
      </c>
      <c r="AA444" s="116">
        <v>0.04</v>
      </c>
      <c r="AB444" s="119"/>
      <c r="AC444" s="119"/>
      <c r="AD444" s="119"/>
      <c r="AE444" s="119"/>
      <c r="AF444" s="119"/>
      <c r="AG444" s="119"/>
      <c r="AH444" s="119"/>
      <c r="AI444" s="119"/>
      <c r="AJ444" s="119"/>
      <c r="AK444" s="119"/>
      <c r="AL444" s="119"/>
      <c r="AM444" s="122"/>
      <c r="AN444" s="116" t="s">
        <v>2857</v>
      </c>
      <c r="AO444" s="116" t="s">
        <v>2380</v>
      </c>
      <c r="AP444" s="116" t="s">
        <v>2340</v>
      </c>
    </row>
    <row r="445" spans="1:42">
      <c r="A445" s="109" t="s">
        <v>1263</v>
      </c>
      <c r="B445" s="110">
        <v>46108</v>
      </c>
      <c r="C445" s="111">
        <v>0.505821759259259</v>
      </c>
      <c r="D445" s="110">
        <v>46108</v>
      </c>
      <c r="E445" s="111">
        <v>0.507719907407407</v>
      </c>
      <c r="F445" s="112" t="s">
        <v>1261</v>
      </c>
      <c r="G445" s="110">
        <v>46090</v>
      </c>
      <c r="H445" s="112">
        <v>2567485032</v>
      </c>
      <c r="I445" s="112" t="s">
        <v>1622</v>
      </c>
      <c r="J445" s="112" t="s">
        <v>2141</v>
      </c>
      <c r="K445" s="112" t="s">
        <v>2329</v>
      </c>
      <c r="L445" s="112" t="s">
        <v>2330</v>
      </c>
      <c r="M445" s="112" t="s">
        <v>2331</v>
      </c>
      <c r="N445" s="112" t="s">
        <v>4162</v>
      </c>
      <c r="O445" s="118"/>
      <c r="P445" s="112">
        <v>7942706</v>
      </c>
      <c r="Q445" s="112" t="s">
        <v>2457</v>
      </c>
      <c r="R445" s="112" t="s">
        <v>2335</v>
      </c>
      <c r="S445" s="112" t="s">
        <v>2399</v>
      </c>
      <c r="T445" s="112">
        <v>883900.23</v>
      </c>
      <c r="U445" s="112">
        <v>600000</v>
      </c>
      <c r="V445" s="112" t="s">
        <v>2337</v>
      </c>
      <c r="W445" s="112">
        <v>261501000000000</v>
      </c>
      <c r="X445" s="110">
        <v>46108</v>
      </c>
      <c r="Y445" s="112">
        <v>2042592</v>
      </c>
      <c r="Z445" s="112" t="s">
        <v>1622</v>
      </c>
      <c r="AA445" s="112">
        <v>0.03</v>
      </c>
      <c r="AB445" s="118"/>
      <c r="AC445" s="118"/>
      <c r="AD445" s="118"/>
      <c r="AE445" s="118"/>
      <c r="AF445" s="118"/>
      <c r="AG445" s="118"/>
      <c r="AH445" s="118"/>
      <c r="AI445" s="118"/>
      <c r="AJ445" s="118"/>
      <c r="AK445" s="118"/>
      <c r="AL445" s="118"/>
      <c r="AM445" s="121"/>
      <c r="AN445" s="112" t="s">
        <v>3075</v>
      </c>
      <c r="AO445" s="112" t="s">
        <v>2380</v>
      </c>
      <c r="AP445" s="112" t="s">
        <v>2340</v>
      </c>
    </row>
    <row r="446" spans="1:42">
      <c r="A446" s="113" t="s">
        <v>4163</v>
      </c>
      <c r="B446" s="114">
        <v>46108</v>
      </c>
      <c r="C446" s="115">
        <v>0.525092592592593</v>
      </c>
      <c r="D446" s="114">
        <v>46108</v>
      </c>
      <c r="E446" s="115">
        <v>0.528668981481481</v>
      </c>
      <c r="F446" s="116" t="s">
        <v>756</v>
      </c>
      <c r="G446" s="114">
        <v>46052</v>
      </c>
      <c r="H446" s="116">
        <v>2566878901</v>
      </c>
      <c r="I446" s="116" t="s">
        <v>4164</v>
      </c>
      <c r="J446" s="116" t="s">
        <v>2199</v>
      </c>
      <c r="K446" s="116" t="s">
        <v>2371</v>
      </c>
      <c r="L446" s="116" t="s">
        <v>2372</v>
      </c>
      <c r="M446" s="116" t="s">
        <v>2331</v>
      </c>
      <c r="N446" s="116" t="s">
        <v>4165</v>
      </c>
      <c r="O446" s="119"/>
      <c r="P446" s="116">
        <v>4896025</v>
      </c>
      <c r="Q446" s="116" t="s">
        <v>2702</v>
      </c>
      <c r="R446" s="116" t="s">
        <v>2376</v>
      </c>
      <c r="S446" s="116" t="s">
        <v>4166</v>
      </c>
      <c r="T446" s="116">
        <v>686500.03</v>
      </c>
      <c r="U446" s="116">
        <v>500000</v>
      </c>
      <c r="V446" s="116" t="s">
        <v>2378</v>
      </c>
      <c r="W446" s="116">
        <v>261502000000000</v>
      </c>
      <c r="X446" s="114">
        <v>46108</v>
      </c>
      <c r="Y446" s="116">
        <v>1964102</v>
      </c>
      <c r="Z446" s="116" t="s">
        <v>4164</v>
      </c>
      <c r="AA446" s="116">
        <v>-0.01</v>
      </c>
      <c r="AB446" s="119"/>
      <c r="AC446" s="119"/>
      <c r="AD446" s="119"/>
      <c r="AE446" s="119"/>
      <c r="AF446" s="119"/>
      <c r="AG446" s="119"/>
      <c r="AH446" s="119"/>
      <c r="AI446" s="119"/>
      <c r="AJ446" s="119"/>
      <c r="AK446" s="119"/>
      <c r="AL446" s="119"/>
      <c r="AM446" s="122"/>
      <c r="AN446" s="116" t="s">
        <v>2520</v>
      </c>
      <c r="AO446" s="116" t="s">
        <v>2521</v>
      </c>
      <c r="AP446" s="116" t="s">
        <v>2522</v>
      </c>
    </row>
    <row r="447" spans="1:42">
      <c r="A447" s="113" t="s">
        <v>4167</v>
      </c>
      <c r="B447" s="114">
        <v>46108</v>
      </c>
      <c r="C447" s="115">
        <v>0.528032407407407</v>
      </c>
      <c r="D447" s="114">
        <v>46108</v>
      </c>
      <c r="E447" s="115">
        <v>0.528668981481481</v>
      </c>
      <c r="F447" s="116" t="s">
        <v>4168</v>
      </c>
      <c r="G447" s="114">
        <v>46034</v>
      </c>
      <c r="H447" s="116">
        <v>2566555936</v>
      </c>
      <c r="I447" s="116" t="s">
        <v>4169</v>
      </c>
      <c r="J447" s="116" t="s">
        <v>2199</v>
      </c>
      <c r="K447" s="116" t="s">
        <v>2371</v>
      </c>
      <c r="L447" s="116" t="s">
        <v>2372</v>
      </c>
      <c r="M447" s="116" t="s">
        <v>2331</v>
      </c>
      <c r="N447" s="116" t="s">
        <v>4170</v>
      </c>
      <c r="O447" s="119"/>
      <c r="P447" s="116">
        <v>7802757</v>
      </c>
      <c r="Q447" s="116" t="s">
        <v>2477</v>
      </c>
      <c r="R447" s="116" t="s">
        <v>2335</v>
      </c>
      <c r="S447" s="116" t="s">
        <v>4166</v>
      </c>
      <c r="T447" s="116">
        <v>794499.53</v>
      </c>
      <c r="U447" s="116">
        <v>500000</v>
      </c>
      <c r="V447" s="116" t="s">
        <v>2378</v>
      </c>
      <c r="W447" s="116">
        <v>261502000000000</v>
      </c>
      <c r="X447" s="114">
        <v>46108</v>
      </c>
      <c r="Y447" s="116">
        <v>2018506</v>
      </c>
      <c r="Z447" s="116" t="s">
        <v>4169</v>
      </c>
      <c r="AA447" s="116">
        <v>0.02</v>
      </c>
      <c r="AB447" s="119"/>
      <c r="AC447" s="119"/>
      <c r="AD447" s="119"/>
      <c r="AE447" s="119"/>
      <c r="AF447" s="119"/>
      <c r="AG447" s="119"/>
      <c r="AH447" s="119"/>
      <c r="AI447" s="119"/>
      <c r="AJ447" s="119"/>
      <c r="AK447" s="119"/>
      <c r="AL447" s="119"/>
      <c r="AM447" s="122"/>
      <c r="AN447" s="116" t="s">
        <v>2671</v>
      </c>
      <c r="AO447" s="116" t="s">
        <v>2561</v>
      </c>
      <c r="AP447" s="116" t="s">
        <v>2562</v>
      </c>
    </row>
    <row r="448" spans="1:42">
      <c r="A448" s="113" t="s">
        <v>1268</v>
      </c>
      <c r="B448" s="114">
        <v>46108</v>
      </c>
      <c r="C448" s="115">
        <v>0.530625</v>
      </c>
      <c r="D448" s="114">
        <v>46108</v>
      </c>
      <c r="E448" s="115">
        <v>0.532025462962963</v>
      </c>
      <c r="F448" s="116" t="s">
        <v>1265</v>
      </c>
      <c r="G448" s="114">
        <v>46091</v>
      </c>
      <c r="H448" s="116">
        <v>2567524037</v>
      </c>
      <c r="I448" s="116" t="s">
        <v>1269</v>
      </c>
      <c r="J448" s="116" t="s">
        <v>2141</v>
      </c>
      <c r="K448" s="116" t="s">
        <v>2329</v>
      </c>
      <c r="L448" s="116" t="s">
        <v>2330</v>
      </c>
      <c r="M448" s="116" t="s">
        <v>2331</v>
      </c>
      <c r="N448" s="116" t="s">
        <v>4171</v>
      </c>
      <c r="O448" s="119"/>
      <c r="P448" s="116">
        <v>9261627</v>
      </c>
      <c r="Q448" s="116" t="s">
        <v>2673</v>
      </c>
      <c r="R448" s="116" t="s">
        <v>2764</v>
      </c>
      <c r="S448" s="116" t="s">
        <v>2399</v>
      </c>
      <c r="T448" s="116">
        <v>652399.71</v>
      </c>
      <c r="U448" s="119"/>
      <c r="V448" s="116" t="s">
        <v>2337</v>
      </c>
      <c r="W448" s="116">
        <v>261501000000000</v>
      </c>
      <c r="X448" s="114">
        <v>46108</v>
      </c>
      <c r="Y448" s="116">
        <v>2043340</v>
      </c>
      <c r="Z448" s="116" t="s">
        <v>1269</v>
      </c>
      <c r="AA448" s="116">
        <v>0.03</v>
      </c>
      <c r="AB448" s="119"/>
      <c r="AC448" s="119"/>
      <c r="AD448" s="119"/>
      <c r="AE448" s="119"/>
      <c r="AF448" s="119"/>
      <c r="AG448" s="119"/>
      <c r="AH448" s="119"/>
      <c r="AI448" s="119"/>
      <c r="AJ448" s="119"/>
      <c r="AK448" s="119"/>
      <c r="AL448" s="119"/>
      <c r="AM448" s="122"/>
      <c r="AN448" s="116" t="s">
        <v>2887</v>
      </c>
      <c r="AO448" s="116" t="s">
        <v>2888</v>
      </c>
      <c r="AP448" s="116" t="s">
        <v>2340</v>
      </c>
    </row>
    <row r="449" spans="1:42">
      <c r="A449" s="113" t="s">
        <v>4172</v>
      </c>
      <c r="B449" s="114">
        <v>46108</v>
      </c>
      <c r="C449" s="115">
        <v>0.53119212962963</v>
      </c>
      <c r="D449" s="114">
        <v>46108</v>
      </c>
      <c r="E449" s="115">
        <v>0.532025462962963</v>
      </c>
      <c r="F449" s="116" t="s">
        <v>3912</v>
      </c>
      <c r="G449" s="114">
        <v>46104</v>
      </c>
      <c r="H449" s="116">
        <v>2567840585</v>
      </c>
      <c r="I449" s="116" t="s">
        <v>3031</v>
      </c>
      <c r="J449" s="116" t="s">
        <v>2213</v>
      </c>
      <c r="K449" s="116" t="s">
        <v>2454</v>
      </c>
      <c r="L449" s="116" t="s">
        <v>2455</v>
      </c>
      <c r="M449" s="116" t="s">
        <v>2331</v>
      </c>
      <c r="N449" s="116" t="s">
        <v>4173</v>
      </c>
      <c r="O449" s="119"/>
      <c r="P449" s="116" t="s">
        <v>4174</v>
      </c>
      <c r="Q449" s="116" t="s">
        <v>3045</v>
      </c>
      <c r="R449" s="116" t="s">
        <v>3046</v>
      </c>
      <c r="S449" s="116" t="s">
        <v>3124</v>
      </c>
      <c r="T449" s="116">
        <v>1295099.4</v>
      </c>
      <c r="U449" s="116">
        <v>1000000</v>
      </c>
      <c r="V449" s="116" t="s">
        <v>2460</v>
      </c>
      <c r="W449" s="116">
        <v>261532000000000</v>
      </c>
      <c r="X449" s="114">
        <v>46108</v>
      </c>
      <c r="Y449" s="116">
        <v>1031003</v>
      </c>
      <c r="Z449" s="116" t="s">
        <v>3031</v>
      </c>
      <c r="AA449" s="116">
        <v>0</v>
      </c>
      <c r="AB449" s="119"/>
      <c r="AC449" s="119"/>
      <c r="AD449" s="119"/>
      <c r="AE449" s="119"/>
      <c r="AF449" s="119"/>
      <c r="AG449" s="119"/>
      <c r="AH449" s="119"/>
      <c r="AI449" s="119"/>
      <c r="AJ449" s="119"/>
      <c r="AK449" s="119"/>
      <c r="AL449" s="119"/>
      <c r="AM449" s="122"/>
      <c r="AN449" s="116" t="s">
        <v>4175</v>
      </c>
      <c r="AO449" s="116" t="s">
        <v>4176</v>
      </c>
      <c r="AP449" s="116" t="s">
        <v>2659</v>
      </c>
    </row>
    <row r="450" spans="1:42">
      <c r="A450" s="113" t="s">
        <v>4177</v>
      </c>
      <c r="B450" s="114">
        <v>46108</v>
      </c>
      <c r="C450" s="115">
        <v>0.611944444444444</v>
      </c>
      <c r="D450" s="114">
        <v>46108</v>
      </c>
      <c r="E450" s="115">
        <v>0.623263888888889</v>
      </c>
      <c r="F450" s="116" t="s">
        <v>4178</v>
      </c>
      <c r="G450" s="114">
        <v>46108</v>
      </c>
      <c r="H450" s="116">
        <v>2567840525</v>
      </c>
      <c r="I450" s="116" t="s">
        <v>3031</v>
      </c>
      <c r="J450" s="116" t="s">
        <v>2222</v>
      </c>
      <c r="K450" s="116" t="s">
        <v>2357</v>
      </c>
      <c r="L450" s="116" t="s">
        <v>2358</v>
      </c>
      <c r="M450" s="116" t="s">
        <v>2331</v>
      </c>
      <c r="N450" s="116" t="s">
        <v>4179</v>
      </c>
      <c r="O450" s="119"/>
      <c r="P450" s="116">
        <v>4894590</v>
      </c>
      <c r="Q450" s="116" t="s">
        <v>2405</v>
      </c>
      <c r="R450" s="116" t="s">
        <v>2376</v>
      </c>
      <c r="S450" s="116" t="s">
        <v>3114</v>
      </c>
      <c r="T450" s="116">
        <v>735447.24</v>
      </c>
      <c r="U450" s="116">
        <v>600000</v>
      </c>
      <c r="V450" s="116" t="s">
        <v>2364</v>
      </c>
      <c r="W450" s="116">
        <v>261534000000000</v>
      </c>
      <c r="X450" s="114">
        <v>46108</v>
      </c>
      <c r="Y450" s="116">
        <v>1031003</v>
      </c>
      <c r="Z450" s="116" t="s">
        <v>3031</v>
      </c>
      <c r="AA450" s="116">
        <v>0</v>
      </c>
      <c r="AB450" s="119"/>
      <c r="AC450" s="119"/>
      <c r="AD450" s="119"/>
      <c r="AE450" s="119"/>
      <c r="AF450" s="119"/>
      <c r="AG450" s="119"/>
      <c r="AH450" s="119"/>
      <c r="AI450" s="119"/>
      <c r="AJ450" s="119"/>
      <c r="AK450" s="119"/>
      <c r="AL450" s="119"/>
      <c r="AM450" s="122"/>
      <c r="AN450" s="116" t="s">
        <v>3431</v>
      </c>
      <c r="AO450" s="116" t="s">
        <v>2346</v>
      </c>
      <c r="AP450" s="116" t="s">
        <v>2462</v>
      </c>
    </row>
    <row r="451" spans="1:42">
      <c r="A451" s="113" t="s">
        <v>1288</v>
      </c>
      <c r="B451" s="114">
        <v>46108</v>
      </c>
      <c r="C451" s="115">
        <v>0.634583333333333</v>
      </c>
      <c r="D451" s="114">
        <v>46108</v>
      </c>
      <c r="E451" s="115">
        <v>0.673148148148148</v>
      </c>
      <c r="F451" s="116" t="s">
        <v>1286</v>
      </c>
      <c r="G451" s="114">
        <v>46107</v>
      </c>
      <c r="H451" s="116">
        <v>2567809659</v>
      </c>
      <c r="I451" s="116" t="s">
        <v>4180</v>
      </c>
      <c r="J451" s="116" t="s">
        <v>2151</v>
      </c>
      <c r="K451" s="116" t="s">
        <v>2414</v>
      </c>
      <c r="L451" s="116" t="s">
        <v>2415</v>
      </c>
      <c r="M451" s="116" t="s">
        <v>2331</v>
      </c>
      <c r="N451" s="116" t="s">
        <v>4181</v>
      </c>
      <c r="O451" s="119"/>
      <c r="P451" s="116">
        <v>1429281</v>
      </c>
      <c r="Q451" s="116" t="s">
        <v>2537</v>
      </c>
      <c r="R451" s="116" t="s">
        <v>2518</v>
      </c>
      <c r="S451" s="116" t="s">
        <v>3218</v>
      </c>
      <c r="T451" s="116">
        <v>434899.65</v>
      </c>
      <c r="U451" s="116">
        <v>457700</v>
      </c>
      <c r="V451" s="116" t="s">
        <v>2419</v>
      </c>
      <c r="W451" s="116">
        <v>261503000000000</v>
      </c>
      <c r="X451" s="114">
        <v>46108</v>
      </c>
      <c r="Y451" s="116">
        <v>2049241</v>
      </c>
      <c r="Z451" s="116" t="s">
        <v>4180</v>
      </c>
      <c r="AA451" s="116">
        <v>-0.01</v>
      </c>
      <c r="AB451" s="119"/>
      <c r="AC451" s="119"/>
      <c r="AD451" s="119"/>
      <c r="AE451" s="119"/>
      <c r="AF451" s="119"/>
      <c r="AG451" s="119"/>
      <c r="AH451" s="119"/>
      <c r="AI451" s="119"/>
      <c r="AJ451" s="119"/>
      <c r="AK451" s="119"/>
      <c r="AL451" s="119"/>
      <c r="AM451" s="122"/>
      <c r="AN451" s="116" t="s">
        <v>3326</v>
      </c>
      <c r="AO451" s="116" t="s">
        <v>3296</v>
      </c>
      <c r="AP451" s="116" t="s">
        <v>2413</v>
      </c>
    </row>
    <row r="452" spans="1:42">
      <c r="A452" s="113" t="s">
        <v>4182</v>
      </c>
      <c r="B452" s="114">
        <v>46108</v>
      </c>
      <c r="C452" s="115">
        <v>0.639699074074074</v>
      </c>
      <c r="D452" s="114">
        <v>46108</v>
      </c>
      <c r="E452" s="115">
        <v>0.673148148148148</v>
      </c>
      <c r="F452" s="116" t="s">
        <v>4183</v>
      </c>
      <c r="G452" s="114">
        <v>46098</v>
      </c>
      <c r="H452" s="116">
        <v>2567655453</v>
      </c>
      <c r="I452" s="116" t="s">
        <v>4184</v>
      </c>
      <c r="J452" s="116" t="s">
        <v>2213</v>
      </c>
      <c r="K452" s="116" t="s">
        <v>2454</v>
      </c>
      <c r="L452" s="116" t="s">
        <v>2455</v>
      </c>
      <c r="M452" s="116" t="s">
        <v>2331</v>
      </c>
      <c r="N452" s="116" t="s">
        <v>4185</v>
      </c>
      <c r="O452" s="119"/>
      <c r="P452" s="116" t="s">
        <v>4186</v>
      </c>
      <c r="Q452" s="116" t="s">
        <v>2559</v>
      </c>
      <c r="R452" s="116" t="s">
        <v>2335</v>
      </c>
      <c r="S452" s="116" t="s">
        <v>2549</v>
      </c>
      <c r="T452" s="116">
        <v>696798.26</v>
      </c>
      <c r="U452" s="119"/>
      <c r="V452" s="116" t="s">
        <v>2460</v>
      </c>
      <c r="W452" s="116">
        <v>261532000000000</v>
      </c>
      <c r="X452" s="114">
        <v>46108</v>
      </c>
      <c r="Y452" s="116">
        <v>2046371</v>
      </c>
      <c r="Z452" s="116" t="s">
        <v>4184</v>
      </c>
      <c r="AA452" s="116">
        <v>0</v>
      </c>
      <c r="AB452" s="119"/>
      <c r="AC452" s="119"/>
      <c r="AD452" s="119"/>
      <c r="AE452" s="119"/>
      <c r="AF452" s="119"/>
      <c r="AG452" s="119"/>
      <c r="AH452" s="119"/>
      <c r="AI452" s="119"/>
      <c r="AJ452" s="119"/>
      <c r="AK452" s="119"/>
      <c r="AL452" s="119"/>
      <c r="AM452" s="122"/>
      <c r="AN452" s="116" t="s">
        <v>3872</v>
      </c>
      <c r="AO452" s="116" t="s">
        <v>2346</v>
      </c>
      <c r="AP452" s="116" t="s">
        <v>2659</v>
      </c>
    </row>
    <row r="453" spans="1:42">
      <c r="A453" s="113" t="s">
        <v>4187</v>
      </c>
      <c r="B453" s="114">
        <v>46108</v>
      </c>
      <c r="C453" s="115">
        <v>0.665960648148148</v>
      </c>
      <c r="D453" s="114">
        <v>46108</v>
      </c>
      <c r="E453" s="115">
        <v>0.673148148148148</v>
      </c>
      <c r="F453" s="116" t="s">
        <v>4188</v>
      </c>
      <c r="G453" s="114">
        <v>46106</v>
      </c>
      <c r="H453" s="116">
        <v>2567777044</v>
      </c>
      <c r="I453" s="116" t="s">
        <v>4189</v>
      </c>
      <c r="J453" s="116" t="s">
        <v>2199</v>
      </c>
      <c r="K453" s="116" t="s">
        <v>2371</v>
      </c>
      <c r="L453" s="116" t="s">
        <v>2372</v>
      </c>
      <c r="M453" s="116" t="s">
        <v>2331</v>
      </c>
      <c r="N453" s="116" t="s">
        <v>4190</v>
      </c>
      <c r="O453" s="119"/>
      <c r="P453" s="116">
        <v>4887484</v>
      </c>
      <c r="Q453" s="116" t="s">
        <v>2939</v>
      </c>
      <c r="R453" s="116" t="s">
        <v>2376</v>
      </c>
      <c r="S453" s="116" t="s">
        <v>4191</v>
      </c>
      <c r="T453" s="116">
        <v>837900.51</v>
      </c>
      <c r="U453" s="116">
        <v>500000</v>
      </c>
      <c r="V453" s="116" t="s">
        <v>2378</v>
      </c>
      <c r="W453" s="116">
        <v>261502000000000</v>
      </c>
      <c r="X453" s="114">
        <v>46108</v>
      </c>
      <c r="Y453" s="116">
        <v>2048874</v>
      </c>
      <c r="Z453" s="116" t="s">
        <v>4189</v>
      </c>
      <c r="AA453" s="116">
        <v>-0.01</v>
      </c>
      <c r="AB453" s="119"/>
      <c r="AC453" s="119"/>
      <c r="AD453" s="119"/>
      <c r="AE453" s="119"/>
      <c r="AF453" s="119"/>
      <c r="AG453" s="119"/>
      <c r="AH453" s="119"/>
      <c r="AI453" s="119"/>
      <c r="AJ453" s="119"/>
      <c r="AK453" s="119"/>
      <c r="AL453" s="119"/>
      <c r="AM453" s="122"/>
      <c r="AN453" s="116" t="s">
        <v>4192</v>
      </c>
      <c r="AO453" s="116" t="s">
        <v>2443</v>
      </c>
      <c r="AP453" s="116" t="s">
        <v>2340</v>
      </c>
    </row>
    <row r="454" spans="1:42">
      <c r="A454" s="113" t="s">
        <v>4193</v>
      </c>
      <c r="B454" s="114">
        <v>46108</v>
      </c>
      <c r="C454" s="115">
        <v>0.66775462962963</v>
      </c>
      <c r="D454" s="114">
        <v>46108</v>
      </c>
      <c r="E454" s="115">
        <v>0.673148148148148</v>
      </c>
      <c r="F454" s="116" t="s">
        <v>4194</v>
      </c>
      <c r="G454" s="114">
        <v>46099</v>
      </c>
      <c r="H454" s="116">
        <v>2567667986</v>
      </c>
      <c r="I454" s="116" t="s">
        <v>4195</v>
      </c>
      <c r="J454" s="116" t="s">
        <v>2222</v>
      </c>
      <c r="K454" s="116" t="s">
        <v>2357</v>
      </c>
      <c r="L454" s="116" t="s">
        <v>2358</v>
      </c>
      <c r="M454" s="116" t="s">
        <v>2331</v>
      </c>
      <c r="N454" s="116" t="s">
        <v>4196</v>
      </c>
      <c r="O454" s="119"/>
      <c r="P454" s="116">
        <v>4897413</v>
      </c>
      <c r="Q454" s="116" t="s">
        <v>2529</v>
      </c>
      <c r="R454" s="116" t="s">
        <v>2376</v>
      </c>
      <c r="S454" s="116" t="s">
        <v>2898</v>
      </c>
      <c r="T454" s="116">
        <v>794909.71</v>
      </c>
      <c r="U454" s="116">
        <v>753100</v>
      </c>
      <c r="V454" s="116" t="s">
        <v>2364</v>
      </c>
      <c r="W454" s="116">
        <v>261534000000000</v>
      </c>
      <c r="X454" s="114">
        <v>46108</v>
      </c>
      <c r="Y454" s="116">
        <v>2046293</v>
      </c>
      <c r="Z454" s="116" t="s">
        <v>4195</v>
      </c>
      <c r="AA454" s="116">
        <v>0.02</v>
      </c>
      <c r="AB454" s="119"/>
      <c r="AC454" s="119"/>
      <c r="AD454" s="119"/>
      <c r="AE454" s="119"/>
      <c r="AF454" s="119"/>
      <c r="AG454" s="119"/>
      <c r="AH454" s="119"/>
      <c r="AI454" s="119"/>
      <c r="AJ454" s="119"/>
      <c r="AK454" s="119"/>
      <c r="AL454" s="119"/>
      <c r="AM454" s="122"/>
      <c r="AN454" s="116" t="s">
        <v>3012</v>
      </c>
      <c r="AO454" s="116" t="s">
        <v>2471</v>
      </c>
      <c r="AP454" s="116" t="s">
        <v>2472</v>
      </c>
    </row>
    <row r="455" spans="1:42">
      <c r="A455" s="113" t="s">
        <v>4197</v>
      </c>
      <c r="B455" s="114">
        <v>46108</v>
      </c>
      <c r="C455" s="115">
        <v>0.667789351851852</v>
      </c>
      <c r="D455" s="114">
        <v>46108</v>
      </c>
      <c r="E455" s="115">
        <v>0.673148148148148</v>
      </c>
      <c r="F455" s="116" t="s">
        <v>4198</v>
      </c>
      <c r="G455" s="114">
        <v>46108</v>
      </c>
      <c r="H455" s="116">
        <v>2567847514</v>
      </c>
      <c r="I455" s="116" t="s">
        <v>3031</v>
      </c>
      <c r="J455" s="116" t="s">
        <v>2213</v>
      </c>
      <c r="K455" s="116" t="s">
        <v>2454</v>
      </c>
      <c r="L455" s="116" t="s">
        <v>2455</v>
      </c>
      <c r="M455" s="116" t="s">
        <v>2331</v>
      </c>
      <c r="N455" s="116" t="s">
        <v>4199</v>
      </c>
      <c r="O455" s="119"/>
      <c r="P455" s="116" t="s">
        <v>4200</v>
      </c>
      <c r="Q455" s="116" t="s">
        <v>4201</v>
      </c>
      <c r="R455" s="116" t="s">
        <v>2467</v>
      </c>
      <c r="S455" s="116" t="s">
        <v>3176</v>
      </c>
      <c r="T455" s="116">
        <v>705938.69</v>
      </c>
      <c r="U455" s="119"/>
      <c r="V455" s="116" t="s">
        <v>2460</v>
      </c>
      <c r="W455" s="116">
        <v>261532000000000</v>
      </c>
      <c r="X455" s="114">
        <v>46108</v>
      </c>
      <c r="Y455" s="116">
        <v>1031003</v>
      </c>
      <c r="Z455" s="116" t="s">
        <v>3031</v>
      </c>
      <c r="AA455" s="116">
        <v>0</v>
      </c>
      <c r="AB455" s="119"/>
      <c r="AC455" s="119"/>
      <c r="AD455" s="119"/>
      <c r="AE455" s="119"/>
      <c r="AF455" s="119"/>
      <c r="AG455" s="119"/>
      <c r="AH455" s="119"/>
      <c r="AI455" s="119"/>
      <c r="AJ455" s="119"/>
      <c r="AK455" s="119"/>
      <c r="AL455" s="119"/>
      <c r="AM455" s="122"/>
      <c r="AN455" s="116" t="s">
        <v>2346</v>
      </c>
      <c r="AO455" s="116" t="s">
        <v>2346</v>
      </c>
      <c r="AP455" s="116" t="s">
        <v>2659</v>
      </c>
    </row>
    <row r="456" spans="1:42">
      <c r="A456" s="113" t="s">
        <v>1250</v>
      </c>
      <c r="B456" s="114">
        <v>46108</v>
      </c>
      <c r="C456" s="115">
        <v>0.680173611111111</v>
      </c>
      <c r="D456" s="114">
        <v>46108</v>
      </c>
      <c r="E456" s="115">
        <v>0.683263888888889</v>
      </c>
      <c r="F456" s="116" t="s">
        <v>1247</v>
      </c>
      <c r="G456" s="114">
        <v>46097</v>
      </c>
      <c r="H456" s="116">
        <v>2567626268</v>
      </c>
      <c r="I456" s="116" t="s">
        <v>4202</v>
      </c>
      <c r="J456" s="116" t="s">
        <v>2157</v>
      </c>
      <c r="K456" s="116" t="s">
        <v>2534</v>
      </c>
      <c r="L456" s="116" t="s">
        <v>2535</v>
      </c>
      <c r="M456" s="116" t="s">
        <v>2331</v>
      </c>
      <c r="N456" s="116" t="s">
        <v>4203</v>
      </c>
      <c r="O456" s="119"/>
      <c r="P456" s="116">
        <v>9258739</v>
      </c>
      <c r="Q456" s="116" t="s">
        <v>3070</v>
      </c>
      <c r="R456" s="116" t="s">
        <v>2458</v>
      </c>
      <c r="S456" s="116" t="s">
        <v>3155</v>
      </c>
      <c r="T456" s="116">
        <v>567899.93</v>
      </c>
      <c r="U456" s="116">
        <v>595900</v>
      </c>
      <c r="V456" s="116" t="s">
        <v>2540</v>
      </c>
      <c r="W456" s="116">
        <v>261504000000000</v>
      </c>
      <c r="X456" s="114">
        <v>46108</v>
      </c>
      <c r="Y456" s="116">
        <v>2045507</v>
      </c>
      <c r="Z456" s="116" t="s">
        <v>4202</v>
      </c>
      <c r="AA456" s="116">
        <v>0.02</v>
      </c>
      <c r="AB456" s="119"/>
      <c r="AC456" s="119"/>
      <c r="AD456" s="119"/>
      <c r="AE456" s="119"/>
      <c r="AF456" s="119"/>
      <c r="AG456" s="119"/>
      <c r="AH456" s="119"/>
      <c r="AI456" s="119"/>
      <c r="AJ456" s="119"/>
      <c r="AK456" s="119"/>
      <c r="AL456" s="119"/>
      <c r="AM456" s="122"/>
      <c r="AN456" s="116" t="s">
        <v>3156</v>
      </c>
      <c r="AO456" s="116" t="s">
        <v>2542</v>
      </c>
      <c r="AP456" s="116" t="s">
        <v>2543</v>
      </c>
    </row>
    <row r="457" spans="1:42">
      <c r="A457" s="113" t="s">
        <v>1273</v>
      </c>
      <c r="B457" s="114">
        <v>46108</v>
      </c>
      <c r="C457" s="115">
        <v>0.683819444444444</v>
      </c>
      <c r="D457" s="114">
        <v>46108</v>
      </c>
      <c r="E457" s="115">
        <v>0.690277777777778</v>
      </c>
      <c r="F457" s="116" t="s">
        <v>1270</v>
      </c>
      <c r="G457" s="114">
        <v>46107</v>
      </c>
      <c r="H457" s="116">
        <v>2567827802</v>
      </c>
      <c r="I457" s="119"/>
      <c r="J457" s="116" t="s">
        <v>2141</v>
      </c>
      <c r="K457" s="116" t="s">
        <v>2329</v>
      </c>
      <c r="L457" s="116" t="s">
        <v>2330</v>
      </c>
      <c r="M457" s="116" t="s">
        <v>2331</v>
      </c>
      <c r="N457" s="116" t="s">
        <v>4204</v>
      </c>
      <c r="O457" s="119"/>
      <c r="P457" s="116">
        <v>1434651</v>
      </c>
      <c r="Q457" s="116" t="s">
        <v>2507</v>
      </c>
      <c r="R457" s="116" t="s">
        <v>2467</v>
      </c>
      <c r="S457" s="116" t="s">
        <v>2971</v>
      </c>
      <c r="T457" s="116">
        <v>515500.1</v>
      </c>
      <c r="U457" s="116">
        <v>527000</v>
      </c>
      <c r="V457" s="119"/>
      <c r="W457" s="119"/>
      <c r="X457" s="119"/>
      <c r="Y457" s="119"/>
      <c r="Z457" s="119"/>
      <c r="AA457" s="119"/>
      <c r="AB457" s="119"/>
      <c r="AC457" s="119"/>
      <c r="AD457" s="119"/>
      <c r="AE457" s="119"/>
      <c r="AF457" s="119"/>
      <c r="AG457" s="119"/>
      <c r="AH457" s="119"/>
      <c r="AI457" s="119"/>
      <c r="AJ457" s="119"/>
      <c r="AK457" s="119"/>
      <c r="AL457" s="119"/>
      <c r="AM457" s="122"/>
      <c r="AN457" s="116" t="s">
        <v>2346</v>
      </c>
      <c r="AO457" s="116" t="s">
        <v>2346</v>
      </c>
      <c r="AP457" s="123"/>
    </row>
    <row r="458" spans="1:42">
      <c r="A458" s="113" t="s">
        <v>1299</v>
      </c>
      <c r="B458" s="114">
        <v>46108</v>
      </c>
      <c r="C458" s="115">
        <v>0.685289351851852</v>
      </c>
      <c r="D458" s="114">
        <v>46108</v>
      </c>
      <c r="E458" s="115">
        <v>0.690277777777778</v>
      </c>
      <c r="F458" s="116" t="s">
        <v>1295</v>
      </c>
      <c r="G458" s="114">
        <v>46084</v>
      </c>
      <c r="H458" s="116">
        <v>2567419125</v>
      </c>
      <c r="I458" s="116" t="s">
        <v>4205</v>
      </c>
      <c r="J458" s="116" t="s">
        <v>2168</v>
      </c>
      <c r="K458" s="116" t="s">
        <v>2760</v>
      </c>
      <c r="L458" s="116" t="s">
        <v>2761</v>
      </c>
      <c r="M458" s="116" t="s">
        <v>2331</v>
      </c>
      <c r="N458" s="116" t="s">
        <v>4206</v>
      </c>
      <c r="O458" s="119"/>
      <c r="P458" s="116" t="s">
        <v>1298</v>
      </c>
      <c r="Q458" s="116" t="s">
        <v>3430</v>
      </c>
      <c r="R458" s="116" t="s">
        <v>2335</v>
      </c>
      <c r="S458" s="116" t="s">
        <v>4207</v>
      </c>
      <c r="T458" s="116">
        <v>977298</v>
      </c>
      <c r="U458" s="116">
        <v>600000</v>
      </c>
      <c r="V458" s="116" t="s">
        <v>2766</v>
      </c>
      <c r="W458" s="116">
        <v>261518000000000</v>
      </c>
      <c r="X458" s="114">
        <v>46108</v>
      </c>
      <c r="Y458" s="116">
        <v>2040522</v>
      </c>
      <c r="Z458" s="116" t="s">
        <v>4205</v>
      </c>
      <c r="AA458" s="116">
        <v>-0.02</v>
      </c>
      <c r="AB458" s="119"/>
      <c r="AC458" s="119"/>
      <c r="AD458" s="119"/>
      <c r="AE458" s="119"/>
      <c r="AF458" s="119"/>
      <c r="AG458" s="119"/>
      <c r="AH458" s="119"/>
      <c r="AI458" s="119"/>
      <c r="AJ458" s="119"/>
      <c r="AK458" s="119"/>
      <c r="AL458" s="119"/>
      <c r="AM458" s="122"/>
      <c r="AN458" s="116" t="s">
        <v>3115</v>
      </c>
      <c r="AO458" s="116" t="s">
        <v>2768</v>
      </c>
      <c r="AP458" s="116" t="s">
        <v>2769</v>
      </c>
    </row>
    <row r="459" spans="1:42">
      <c r="A459" s="113" t="s">
        <v>4208</v>
      </c>
      <c r="B459" s="114">
        <v>46108</v>
      </c>
      <c r="C459" s="115">
        <v>0.699699074074074</v>
      </c>
      <c r="D459" s="114">
        <v>46108</v>
      </c>
      <c r="E459" s="115">
        <v>0.700798611111111</v>
      </c>
      <c r="F459" s="116" t="s">
        <v>3506</v>
      </c>
      <c r="G459" s="114">
        <v>46108</v>
      </c>
      <c r="H459" s="116">
        <v>2567847604</v>
      </c>
      <c r="I459" s="116" t="s">
        <v>4209</v>
      </c>
      <c r="J459" s="116" t="s">
        <v>2213</v>
      </c>
      <c r="K459" s="116" t="s">
        <v>2454</v>
      </c>
      <c r="L459" s="116" t="s">
        <v>2455</v>
      </c>
      <c r="M459" s="116" t="s">
        <v>2331</v>
      </c>
      <c r="N459" s="116" t="s">
        <v>4210</v>
      </c>
      <c r="O459" s="119"/>
      <c r="P459" s="116" t="s">
        <v>4211</v>
      </c>
      <c r="Q459" s="116" t="s">
        <v>2559</v>
      </c>
      <c r="R459" s="116" t="s">
        <v>2335</v>
      </c>
      <c r="S459" s="116" t="s">
        <v>2549</v>
      </c>
      <c r="T459" s="116">
        <v>696798.26</v>
      </c>
      <c r="U459" s="116">
        <v>709800</v>
      </c>
      <c r="V459" s="116" t="s">
        <v>2460</v>
      </c>
      <c r="W459" s="116">
        <v>261532000000000</v>
      </c>
      <c r="X459" s="114">
        <v>46108</v>
      </c>
      <c r="Y459" s="116">
        <v>2049806</v>
      </c>
      <c r="Z459" s="116" t="s">
        <v>4209</v>
      </c>
      <c r="AA459" s="116">
        <v>0</v>
      </c>
      <c r="AB459" s="119"/>
      <c r="AC459" s="119"/>
      <c r="AD459" s="119"/>
      <c r="AE459" s="119"/>
      <c r="AF459" s="119"/>
      <c r="AG459" s="119"/>
      <c r="AH459" s="119"/>
      <c r="AI459" s="119"/>
      <c r="AJ459" s="119"/>
      <c r="AK459" s="119"/>
      <c r="AL459" s="119"/>
      <c r="AM459" s="122"/>
      <c r="AN459" s="116" t="s">
        <v>3872</v>
      </c>
      <c r="AO459" s="116" t="s">
        <v>2346</v>
      </c>
      <c r="AP459" s="116" t="s">
        <v>2659</v>
      </c>
    </row>
    <row r="460" spans="1:42">
      <c r="A460" s="113" t="s">
        <v>1277</v>
      </c>
      <c r="B460" s="114">
        <v>46108</v>
      </c>
      <c r="C460" s="115">
        <v>0.700763888888889</v>
      </c>
      <c r="D460" s="114">
        <v>46108</v>
      </c>
      <c r="E460" s="115">
        <v>0.704189814814815</v>
      </c>
      <c r="F460" s="116" t="s">
        <v>1275</v>
      </c>
      <c r="G460" s="114">
        <v>46045</v>
      </c>
      <c r="H460" s="116">
        <v>2566753636</v>
      </c>
      <c r="I460" s="116" t="s">
        <v>1278</v>
      </c>
      <c r="J460" s="116" t="s">
        <v>2141</v>
      </c>
      <c r="K460" s="116" t="s">
        <v>2329</v>
      </c>
      <c r="L460" s="116" t="s">
        <v>2330</v>
      </c>
      <c r="M460" s="116" t="s">
        <v>2331</v>
      </c>
      <c r="N460" s="116" t="s">
        <v>4212</v>
      </c>
      <c r="O460" s="119"/>
      <c r="P460" s="116">
        <v>1431294</v>
      </c>
      <c r="Q460" s="116" t="s">
        <v>4213</v>
      </c>
      <c r="R460" s="116" t="s">
        <v>2344</v>
      </c>
      <c r="S460" s="116" t="s">
        <v>3304</v>
      </c>
      <c r="T460" s="116">
        <v>375899.51</v>
      </c>
      <c r="U460" s="119"/>
      <c r="V460" s="116" t="s">
        <v>2337</v>
      </c>
      <c r="W460" s="116">
        <v>261501000000000</v>
      </c>
      <c r="X460" s="114">
        <v>46108</v>
      </c>
      <c r="Y460" s="116">
        <v>2024093</v>
      </c>
      <c r="Z460" s="116" t="s">
        <v>1278</v>
      </c>
      <c r="AA460" s="116">
        <v>-0.01</v>
      </c>
      <c r="AB460" s="119"/>
      <c r="AC460" s="119"/>
      <c r="AD460" s="119"/>
      <c r="AE460" s="119"/>
      <c r="AF460" s="119"/>
      <c r="AG460" s="119"/>
      <c r="AH460" s="119"/>
      <c r="AI460" s="119"/>
      <c r="AJ460" s="119"/>
      <c r="AK460" s="119"/>
      <c r="AL460" s="119"/>
      <c r="AM460" s="122"/>
      <c r="AN460" s="116" t="s">
        <v>3305</v>
      </c>
      <c r="AO460" s="116" t="s">
        <v>3223</v>
      </c>
      <c r="AP460" s="116" t="s">
        <v>2397</v>
      </c>
    </row>
    <row r="461" spans="1:42">
      <c r="A461" s="113" t="s">
        <v>1255</v>
      </c>
      <c r="B461" s="114">
        <v>46108</v>
      </c>
      <c r="C461" s="115">
        <v>0.71255787037037</v>
      </c>
      <c r="D461" s="114">
        <v>46108</v>
      </c>
      <c r="E461" s="115">
        <v>0.71474537037037</v>
      </c>
      <c r="F461" s="116" t="s">
        <v>730</v>
      </c>
      <c r="G461" s="114">
        <v>46094</v>
      </c>
      <c r="H461" s="116">
        <v>2567580221</v>
      </c>
      <c r="I461" s="116" t="s">
        <v>4214</v>
      </c>
      <c r="J461" s="116" t="s">
        <v>2194</v>
      </c>
      <c r="K461" s="116" t="s">
        <v>3017</v>
      </c>
      <c r="L461" s="116" t="s">
        <v>3018</v>
      </c>
      <c r="M461" s="116" t="s">
        <v>2331</v>
      </c>
      <c r="N461" s="116" t="s">
        <v>4215</v>
      </c>
      <c r="O461" s="119"/>
      <c r="P461" s="116" t="s">
        <v>1254</v>
      </c>
      <c r="Q461" s="116" t="s">
        <v>2343</v>
      </c>
      <c r="R461" s="116" t="s">
        <v>2344</v>
      </c>
      <c r="S461" s="116" t="s">
        <v>3020</v>
      </c>
      <c r="T461" s="116">
        <v>571900.19</v>
      </c>
      <c r="U461" s="116">
        <v>479000</v>
      </c>
      <c r="V461" s="116" t="s">
        <v>3675</v>
      </c>
      <c r="W461" s="116">
        <v>261526000000000</v>
      </c>
      <c r="X461" s="114">
        <v>46108</v>
      </c>
      <c r="Y461" s="116">
        <v>2044360</v>
      </c>
      <c r="Z461" s="116" t="s">
        <v>4214</v>
      </c>
      <c r="AA461" s="116">
        <v>-0.02</v>
      </c>
      <c r="AB461" s="119"/>
      <c r="AC461" s="119"/>
      <c r="AD461" s="119"/>
      <c r="AE461" s="119"/>
      <c r="AF461" s="119"/>
      <c r="AG461" s="119"/>
      <c r="AH461" s="119"/>
      <c r="AI461" s="119"/>
      <c r="AJ461" s="119"/>
      <c r="AK461" s="119"/>
      <c r="AL461" s="119"/>
      <c r="AM461" s="122"/>
      <c r="AN461" s="116" t="s">
        <v>4216</v>
      </c>
      <c r="AO461" s="116" t="s">
        <v>2819</v>
      </c>
      <c r="AP461" s="116" t="s">
        <v>2820</v>
      </c>
    </row>
    <row r="462" spans="1:42">
      <c r="A462" s="113" t="s">
        <v>1259</v>
      </c>
      <c r="B462" s="114">
        <v>46108</v>
      </c>
      <c r="C462" s="115">
        <v>0.720775462962963</v>
      </c>
      <c r="D462" s="114">
        <v>46108</v>
      </c>
      <c r="E462" s="115">
        <v>0.735740740740741</v>
      </c>
      <c r="F462" s="116" t="s">
        <v>1256</v>
      </c>
      <c r="G462" s="114">
        <v>46105</v>
      </c>
      <c r="H462" s="116">
        <v>2567773859</v>
      </c>
      <c r="I462" s="116" t="s">
        <v>1260</v>
      </c>
      <c r="J462" s="116" t="s">
        <v>2145</v>
      </c>
      <c r="K462" s="116" t="s">
        <v>2945</v>
      </c>
      <c r="L462" s="116" t="s">
        <v>2946</v>
      </c>
      <c r="M462" s="116" t="s">
        <v>2331</v>
      </c>
      <c r="N462" s="116" t="s">
        <v>4217</v>
      </c>
      <c r="O462" s="119"/>
      <c r="P462" s="116" t="s">
        <v>1258</v>
      </c>
      <c r="Q462" s="116" t="s">
        <v>3045</v>
      </c>
      <c r="R462" s="116" t="s">
        <v>3046</v>
      </c>
      <c r="S462" s="116" t="s">
        <v>3515</v>
      </c>
      <c r="T462" s="116">
        <v>1283609.05</v>
      </c>
      <c r="U462" s="116">
        <v>1000000</v>
      </c>
      <c r="V462" s="116" t="s">
        <v>2949</v>
      </c>
      <c r="W462" s="116">
        <v>261513000000000</v>
      </c>
      <c r="X462" s="114">
        <v>46108</v>
      </c>
      <c r="Y462" s="116">
        <v>2048588</v>
      </c>
      <c r="Z462" s="116" t="s">
        <v>1260</v>
      </c>
      <c r="AA462" s="116">
        <v>0.01</v>
      </c>
      <c r="AB462" s="119"/>
      <c r="AC462" s="119"/>
      <c r="AD462" s="119"/>
      <c r="AE462" s="119"/>
      <c r="AF462" s="119"/>
      <c r="AG462" s="119"/>
      <c r="AH462" s="119"/>
      <c r="AI462" s="119"/>
      <c r="AJ462" s="119"/>
      <c r="AK462" s="119"/>
      <c r="AL462" s="119"/>
      <c r="AM462" s="122"/>
      <c r="AN462" s="116" t="s">
        <v>4218</v>
      </c>
      <c r="AO462" s="116" t="s">
        <v>2384</v>
      </c>
      <c r="AP462" s="116" t="s">
        <v>2686</v>
      </c>
    </row>
    <row r="463" spans="1:42">
      <c r="A463" s="113" t="s">
        <v>4219</v>
      </c>
      <c r="B463" s="114">
        <v>46108</v>
      </c>
      <c r="C463" s="115">
        <v>0.725810185185185</v>
      </c>
      <c r="D463" s="114">
        <v>46108</v>
      </c>
      <c r="E463" s="115">
        <v>0.735740740740741</v>
      </c>
      <c r="F463" s="116" t="s">
        <v>4220</v>
      </c>
      <c r="G463" s="114">
        <v>46106</v>
      </c>
      <c r="H463" s="116">
        <v>2567797151</v>
      </c>
      <c r="I463" s="116" t="s">
        <v>4221</v>
      </c>
      <c r="J463" s="116" t="s">
        <v>2199</v>
      </c>
      <c r="K463" s="116" t="s">
        <v>2371</v>
      </c>
      <c r="L463" s="116" t="s">
        <v>2372</v>
      </c>
      <c r="M463" s="116" t="s">
        <v>2331</v>
      </c>
      <c r="N463" s="116" t="s">
        <v>4222</v>
      </c>
      <c r="O463" s="119"/>
      <c r="P463" s="116">
        <v>4913761</v>
      </c>
      <c r="Q463" s="116" t="s">
        <v>2644</v>
      </c>
      <c r="R463" s="116" t="s">
        <v>2335</v>
      </c>
      <c r="S463" s="116" t="s">
        <v>2856</v>
      </c>
      <c r="T463" s="116">
        <v>568999.75</v>
      </c>
      <c r="U463" s="119"/>
      <c r="V463" s="116" t="s">
        <v>2378</v>
      </c>
      <c r="W463" s="116">
        <v>261502000000000</v>
      </c>
      <c r="X463" s="114">
        <v>46108</v>
      </c>
      <c r="Y463" s="116">
        <v>2028284</v>
      </c>
      <c r="Z463" s="116" t="s">
        <v>4221</v>
      </c>
      <c r="AA463" s="116">
        <v>0.02</v>
      </c>
      <c r="AB463" s="119"/>
      <c r="AC463" s="119"/>
      <c r="AD463" s="119"/>
      <c r="AE463" s="119"/>
      <c r="AF463" s="119"/>
      <c r="AG463" s="119"/>
      <c r="AH463" s="119"/>
      <c r="AI463" s="119"/>
      <c r="AJ463" s="119"/>
      <c r="AK463" s="119"/>
      <c r="AL463" s="119"/>
      <c r="AM463" s="122"/>
      <c r="AN463" s="116" t="s">
        <v>2857</v>
      </c>
      <c r="AO463" s="116" t="s">
        <v>2380</v>
      </c>
      <c r="AP463" s="116" t="s">
        <v>2340</v>
      </c>
    </row>
    <row r="464" spans="1:42">
      <c r="A464" s="113" t="s">
        <v>1284</v>
      </c>
      <c r="B464" s="114">
        <v>46108</v>
      </c>
      <c r="C464" s="115">
        <v>0.726331018518519</v>
      </c>
      <c r="D464" s="114">
        <v>46108</v>
      </c>
      <c r="E464" s="115">
        <v>0.735740740740741</v>
      </c>
      <c r="F464" s="116" t="s">
        <v>1281</v>
      </c>
      <c r="G464" s="114">
        <v>46024</v>
      </c>
      <c r="H464" s="116">
        <v>2566430030</v>
      </c>
      <c r="I464" s="116" t="s">
        <v>4223</v>
      </c>
      <c r="J464" s="116" t="s">
        <v>2141</v>
      </c>
      <c r="K464" s="116" t="s">
        <v>2329</v>
      </c>
      <c r="L464" s="116" t="s">
        <v>2330</v>
      </c>
      <c r="M464" s="116" t="s">
        <v>2331</v>
      </c>
      <c r="N464" s="116" t="s">
        <v>4224</v>
      </c>
      <c r="O464" s="119"/>
      <c r="P464" s="116" t="s">
        <v>1283</v>
      </c>
      <c r="Q464" s="116" t="s">
        <v>2559</v>
      </c>
      <c r="R464" s="116" t="s">
        <v>2335</v>
      </c>
      <c r="S464" s="116" t="s">
        <v>2353</v>
      </c>
      <c r="T464" s="116">
        <v>700799.41</v>
      </c>
      <c r="U464" s="116">
        <v>782393</v>
      </c>
      <c r="V464" s="116" t="s">
        <v>2337</v>
      </c>
      <c r="W464" s="116">
        <v>261501000000000</v>
      </c>
      <c r="X464" s="114">
        <v>46108</v>
      </c>
      <c r="Y464" s="116">
        <v>2014841</v>
      </c>
      <c r="Z464" s="116" t="s">
        <v>4223</v>
      </c>
      <c r="AA464" s="116">
        <v>-0.01</v>
      </c>
      <c r="AB464" s="119"/>
      <c r="AC464" s="119"/>
      <c r="AD464" s="119"/>
      <c r="AE464" s="119"/>
      <c r="AF464" s="119"/>
      <c r="AG464" s="119"/>
      <c r="AH464" s="119"/>
      <c r="AI464" s="119"/>
      <c r="AJ464" s="119"/>
      <c r="AK464" s="119"/>
      <c r="AL464" s="119"/>
      <c r="AM464" s="122"/>
      <c r="AN464" s="116" t="s">
        <v>2391</v>
      </c>
      <c r="AO464" s="116" t="s">
        <v>2392</v>
      </c>
      <c r="AP464" s="116" t="s">
        <v>2347</v>
      </c>
    </row>
    <row r="465" spans="1:42">
      <c r="A465" s="113" t="s">
        <v>4225</v>
      </c>
      <c r="B465" s="114">
        <v>46108</v>
      </c>
      <c r="C465" s="115">
        <v>0.727893518518518</v>
      </c>
      <c r="D465" s="114">
        <v>46108</v>
      </c>
      <c r="E465" s="115">
        <v>0.735740740740741</v>
      </c>
      <c r="F465" s="116" t="s">
        <v>4226</v>
      </c>
      <c r="G465" s="114">
        <v>46050</v>
      </c>
      <c r="H465" s="116">
        <v>2566819922</v>
      </c>
      <c r="I465" s="116" t="s">
        <v>4227</v>
      </c>
      <c r="J465" s="116" t="s">
        <v>2199</v>
      </c>
      <c r="K465" s="116" t="s">
        <v>2371</v>
      </c>
      <c r="L465" s="116" t="s">
        <v>2372</v>
      </c>
      <c r="M465" s="116" t="s">
        <v>2331</v>
      </c>
      <c r="N465" s="116" t="s">
        <v>4228</v>
      </c>
      <c r="O465" s="119"/>
      <c r="P465" s="116">
        <v>4896860</v>
      </c>
      <c r="Q465" s="116" t="s">
        <v>2759</v>
      </c>
      <c r="R465" s="116" t="s">
        <v>2435</v>
      </c>
      <c r="S465" s="116" t="s">
        <v>3092</v>
      </c>
      <c r="T465" s="116">
        <v>575399.86</v>
      </c>
      <c r="U465" s="116">
        <v>500000</v>
      </c>
      <c r="V465" s="116" t="s">
        <v>2378</v>
      </c>
      <c r="W465" s="116">
        <v>261502000000000</v>
      </c>
      <c r="X465" s="114">
        <v>46108</v>
      </c>
      <c r="Y465" s="116">
        <v>2026035</v>
      </c>
      <c r="Z465" s="116" t="s">
        <v>4227</v>
      </c>
      <c r="AA465" s="116">
        <v>0.01</v>
      </c>
      <c r="AB465" s="119"/>
      <c r="AC465" s="119"/>
      <c r="AD465" s="119"/>
      <c r="AE465" s="119"/>
      <c r="AF465" s="119"/>
      <c r="AG465" s="119"/>
      <c r="AH465" s="119"/>
      <c r="AI465" s="119"/>
      <c r="AJ465" s="119"/>
      <c r="AK465" s="119"/>
      <c r="AL465" s="119"/>
      <c r="AM465" s="122"/>
      <c r="AN465" s="116" t="s">
        <v>3093</v>
      </c>
      <c r="AO465" s="116" t="s">
        <v>2443</v>
      </c>
      <c r="AP465" s="116" t="s">
        <v>2340</v>
      </c>
    </row>
    <row r="466" spans="1:42">
      <c r="A466" s="113" t="s">
        <v>4229</v>
      </c>
      <c r="B466" s="114">
        <v>46108</v>
      </c>
      <c r="C466" s="115">
        <v>0.732002314814815</v>
      </c>
      <c r="D466" s="114">
        <v>46108</v>
      </c>
      <c r="E466" s="115">
        <v>0.735740740740741</v>
      </c>
      <c r="F466" s="116" t="s">
        <v>4230</v>
      </c>
      <c r="G466" s="114">
        <v>46108</v>
      </c>
      <c r="H466" s="116">
        <v>2567840613</v>
      </c>
      <c r="I466" s="116" t="s">
        <v>4231</v>
      </c>
      <c r="J466" s="116" t="s">
        <v>2199</v>
      </c>
      <c r="K466" s="116" t="s">
        <v>2371</v>
      </c>
      <c r="L466" s="116" t="s">
        <v>2372</v>
      </c>
      <c r="M466" s="116" t="s">
        <v>2331</v>
      </c>
      <c r="N466" s="116" t="s">
        <v>4232</v>
      </c>
      <c r="O466" s="119"/>
      <c r="P466" s="116">
        <v>4894456</v>
      </c>
      <c r="Q466" s="116" t="s">
        <v>2584</v>
      </c>
      <c r="R466" s="116" t="s">
        <v>2376</v>
      </c>
      <c r="S466" s="116" t="s">
        <v>2856</v>
      </c>
      <c r="T466" s="116">
        <v>884899.47</v>
      </c>
      <c r="U466" s="116">
        <v>500000</v>
      </c>
      <c r="V466" s="116" t="s">
        <v>2378</v>
      </c>
      <c r="W466" s="116">
        <v>261502000000000</v>
      </c>
      <c r="X466" s="114">
        <v>46108</v>
      </c>
      <c r="Y466" s="116">
        <v>2049706</v>
      </c>
      <c r="Z466" s="116" t="s">
        <v>4231</v>
      </c>
      <c r="AA466" s="116">
        <v>0</v>
      </c>
      <c r="AB466" s="119"/>
      <c r="AC466" s="119"/>
      <c r="AD466" s="119"/>
      <c r="AE466" s="119"/>
      <c r="AF466" s="119"/>
      <c r="AG466" s="119"/>
      <c r="AH466" s="119"/>
      <c r="AI466" s="119"/>
      <c r="AJ466" s="119"/>
      <c r="AK466" s="119"/>
      <c r="AL466" s="119"/>
      <c r="AM466" s="122"/>
      <c r="AN466" s="116" t="s">
        <v>2857</v>
      </c>
      <c r="AO466" s="116" t="s">
        <v>2380</v>
      </c>
      <c r="AP466" s="116" t="s">
        <v>2340</v>
      </c>
    </row>
    <row r="467" spans="1:42">
      <c r="A467" s="113" t="s">
        <v>1293</v>
      </c>
      <c r="B467" s="114">
        <v>46108</v>
      </c>
      <c r="C467" s="115">
        <v>0.734282407407407</v>
      </c>
      <c r="D467" s="114">
        <v>46108</v>
      </c>
      <c r="E467" s="115">
        <v>0.735740740740741</v>
      </c>
      <c r="F467" s="116" t="s">
        <v>1290</v>
      </c>
      <c r="G467" s="114">
        <v>46071</v>
      </c>
      <c r="H467" s="116">
        <v>2567200410</v>
      </c>
      <c r="I467" s="116" t="s">
        <v>4233</v>
      </c>
      <c r="J467" s="116" t="s">
        <v>2162</v>
      </c>
      <c r="K467" s="116" t="s">
        <v>2692</v>
      </c>
      <c r="L467" s="116" t="s">
        <v>2693</v>
      </c>
      <c r="M467" s="116" t="s">
        <v>2331</v>
      </c>
      <c r="N467" s="116" t="s">
        <v>4234</v>
      </c>
      <c r="O467" s="119"/>
      <c r="P467" s="116">
        <v>4598479</v>
      </c>
      <c r="Q467" s="116" t="s">
        <v>2891</v>
      </c>
      <c r="R467" s="116" t="s">
        <v>2344</v>
      </c>
      <c r="S467" s="116" t="s">
        <v>3829</v>
      </c>
      <c r="T467" s="116">
        <v>614100.09</v>
      </c>
      <c r="U467" s="116">
        <v>500000</v>
      </c>
      <c r="V467" s="116" t="s">
        <v>2696</v>
      </c>
      <c r="W467" s="116">
        <v>261507000000000</v>
      </c>
      <c r="X467" s="114">
        <v>46108</v>
      </c>
      <c r="Y467" s="116">
        <v>2035760</v>
      </c>
      <c r="Z467" s="116" t="s">
        <v>4233</v>
      </c>
      <c r="AA467" s="116">
        <v>-0.01</v>
      </c>
      <c r="AB467" s="119"/>
      <c r="AC467" s="119"/>
      <c r="AD467" s="119"/>
      <c r="AE467" s="119"/>
      <c r="AF467" s="119"/>
      <c r="AG467" s="119"/>
      <c r="AH467" s="119"/>
      <c r="AI467" s="119"/>
      <c r="AJ467" s="119"/>
      <c r="AK467" s="119"/>
      <c r="AL467" s="119"/>
      <c r="AM467" s="122"/>
      <c r="AN467" s="116" t="s">
        <v>2697</v>
      </c>
      <c r="AO467" s="116" t="s">
        <v>2698</v>
      </c>
      <c r="AP467" s="116" t="s">
        <v>2593</v>
      </c>
    </row>
    <row r="468" spans="1:42">
      <c r="A468" s="113" t="s">
        <v>4235</v>
      </c>
      <c r="B468" s="114">
        <v>46108</v>
      </c>
      <c r="C468" s="115">
        <v>0.735694444444444</v>
      </c>
      <c r="D468" s="114">
        <v>46108</v>
      </c>
      <c r="E468" s="115">
        <v>0.739027777777778</v>
      </c>
      <c r="F468" s="116" t="s">
        <v>4236</v>
      </c>
      <c r="G468" s="114">
        <v>46108</v>
      </c>
      <c r="H468" s="116">
        <v>2567852339</v>
      </c>
      <c r="I468" s="116" t="s">
        <v>4237</v>
      </c>
      <c r="J468" s="116" t="s">
        <v>2222</v>
      </c>
      <c r="K468" s="116" t="s">
        <v>2357</v>
      </c>
      <c r="L468" s="116" t="s">
        <v>2358</v>
      </c>
      <c r="M468" s="116" t="s">
        <v>2331</v>
      </c>
      <c r="N468" s="116" t="s">
        <v>4238</v>
      </c>
      <c r="O468" s="119"/>
      <c r="P468" s="116">
        <v>7923470</v>
      </c>
      <c r="Q468" s="116" t="s">
        <v>3885</v>
      </c>
      <c r="R468" s="116" t="s">
        <v>3081</v>
      </c>
      <c r="S468" s="116" t="s">
        <v>3265</v>
      </c>
      <c r="T468" s="116">
        <v>970001.02</v>
      </c>
      <c r="U468" s="116">
        <v>500000</v>
      </c>
      <c r="V468" s="116" t="s">
        <v>2364</v>
      </c>
      <c r="W468" s="116">
        <v>261534000000000</v>
      </c>
      <c r="X468" s="114">
        <v>46108</v>
      </c>
      <c r="Y468" s="116">
        <v>1237870</v>
      </c>
      <c r="Z468" s="116" t="s">
        <v>4237</v>
      </c>
      <c r="AA468" s="116">
        <v>0.04</v>
      </c>
      <c r="AB468" s="119"/>
      <c r="AC468" s="119"/>
      <c r="AD468" s="119"/>
      <c r="AE468" s="119"/>
      <c r="AF468" s="119"/>
      <c r="AG468" s="119"/>
      <c r="AH468" s="119"/>
      <c r="AI468" s="119"/>
      <c r="AJ468" s="119"/>
      <c r="AK468" s="119"/>
      <c r="AL468" s="119"/>
      <c r="AM468" s="122"/>
      <c r="AN468" s="116" t="s">
        <v>2767</v>
      </c>
      <c r="AO468" s="116" t="s">
        <v>2768</v>
      </c>
      <c r="AP468" s="116" t="s">
        <v>2769</v>
      </c>
    </row>
    <row r="469" spans="1:42">
      <c r="A469" s="113" t="s">
        <v>4239</v>
      </c>
      <c r="B469" s="114">
        <v>46108</v>
      </c>
      <c r="C469" s="115">
        <v>0.737581018518519</v>
      </c>
      <c r="D469" s="114">
        <v>46108</v>
      </c>
      <c r="E469" s="115">
        <v>0.739027777777778</v>
      </c>
      <c r="F469" s="116" t="s">
        <v>4240</v>
      </c>
      <c r="G469" s="114">
        <v>46105</v>
      </c>
      <c r="H469" s="116">
        <v>2567763154</v>
      </c>
      <c r="I469" s="116" t="s">
        <v>4241</v>
      </c>
      <c r="J469" s="116" t="s">
        <v>2199</v>
      </c>
      <c r="K469" s="116" t="s">
        <v>2371</v>
      </c>
      <c r="L469" s="116" t="s">
        <v>2372</v>
      </c>
      <c r="M469" s="116" t="s">
        <v>2331</v>
      </c>
      <c r="N469" s="116" t="s">
        <v>4242</v>
      </c>
      <c r="O469" s="119"/>
      <c r="P469" s="116">
        <v>4915815</v>
      </c>
      <c r="Q469" s="116" t="s">
        <v>2679</v>
      </c>
      <c r="R469" s="116" t="s">
        <v>2335</v>
      </c>
      <c r="S469" s="116" t="s">
        <v>3092</v>
      </c>
      <c r="T469" s="116">
        <v>468699.75</v>
      </c>
      <c r="U469" s="116">
        <v>500000</v>
      </c>
      <c r="V469" s="116" t="s">
        <v>2378</v>
      </c>
      <c r="W469" s="116">
        <v>261502000000000</v>
      </c>
      <c r="X469" s="114">
        <v>46108</v>
      </c>
      <c r="Y469" s="116">
        <v>2048144</v>
      </c>
      <c r="Z469" s="116" t="s">
        <v>4241</v>
      </c>
      <c r="AA469" s="116">
        <v>0.02</v>
      </c>
      <c r="AB469" s="119"/>
      <c r="AC469" s="119"/>
      <c r="AD469" s="119"/>
      <c r="AE469" s="119"/>
      <c r="AF469" s="119"/>
      <c r="AG469" s="119"/>
      <c r="AH469" s="119"/>
      <c r="AI469" s="119"/>
      <c r="AJ469" s="119"/>
      <c r="AK469" s="119"/>
      <c r="AL469" s="119"/>
      <c r="AM469" s="122"/>
      <c r="AN469" s="116" t="s">
        <v>3093</v>
      </c>
      <c r="AO469" s="116" t="s">
        <v>2443</v>
      </c>
      <c r="AP469" s="116" t="s">
        <v>2340</v>
      </c>
    </row>
    <row r="470" spans="1:42">
      <c r="A470" s="113" t="s">
        <v>4243</v>
      </c>
      <c r="B470" s="114">
        <v>46108</v>
      </c>
      <c r="C470" s="115">
        <v>0.751643518518519</v>
      </c>
      <c r="D470" s="114">
        <v>46108</v>
      </c>
      <c r="E470" s="115">
        <v>0.756342592592593</v>
      </c>
      <c r="F470" s="116" t="s">
        <v>4244</v>
      </c>
      <c r="G470" s="114">
        <v>46107</v>
      </c>
      <c r="H470" s="116">
        <v>2567804324</v>
      </c>
      <c r="I470" s="116" t="s">
        <v>4245</v>
      </c>
      <c r="J470" s="116" t="s">
        <v>2207</v>
      </c>
      <c r="K470" s="116" t="s">
        <v>2662</v>
      </c>
      <c r="L470" s="116" t="s">
        <v>2663</v>
      </c>
      <c r="M470" s="116" t="s">
        <v>2331</v>
      </c>
      <c r="N470" s="116" t="s">
        <v>4246</v>
      </c>
      <c r="O470" s="119"/>
      <c r="P470" s="116">
        <v>4872179</v>
      </c>
      <c r="Q470" s="116" t="s">
        <v>2702</v>
      </c>
      <c r="R470" s="116" t="s">
        <v>2585</v>
      </c>
      <c r="S470" s="116" t="s">
        <v>2906</v>
      </c>
      <c r="T470" s="116">
        <v>702800.03</v>
      </c>
      <c r="U470" s="116">
        <v>500000</v>
      </c>
      <c r="V470" s="116" t="s">
        <v>2666</v>
      </c>
      <c r="W470" s="116">
        <v>261537000000000</v>
      </c>
      <c r="X470" s="114">
        <v>46108</v>
      </c>
      <c r="Y470" s="116">
        <v>2049059</v>
      </c>
      <c r="Z470" s="116" t="s">
        <v>4245</v>
      </c>
      <c r="AA470" s="116">
        <v>0.04</v>
      </c>
      <c r="AB470" s="119"/>
      <c r="AC470" s="119"/>
      <c r="AD470" s="119"/>
      <c r="AE470" s="119"/>
      <c r="AF470" s="119"/>
      <c r="AG470" s="119"/>
      <c r="AH470" s="119"/>
      <c r="AI470" s="119"/>
      <c r="AJ470" s="119"/>
      <c r="AK470" s="119"/>
      <c r="AL470" s="119"/>
      <c r="AM470" s="122"/>
      <c r="AN470" s="116" t="s">
        <v>3839</v>
      </c>
      <c r="AO470" s="116" t="s">
        <v>2592</v>
      </c>
      <c r="AP470" s="116" t="s">
        <v>2669</v>
      </c>
    </row>
    <row r="471" spans="1:42">
      <c r="A471" s="113" t="s">
        <v>4247</v>
      </c>
      <c r="B471" s="114">
        <v>46108</v>
      </c>
      <c r="C471" s="115">
        <v>0.804618055555556</v>
      </c>
      <c r="D471" s="114">
        <v>46108</v>
      </c>
      <c r="E471" s="115">
        <v>0.804895833333333</v>
      </c>
      <c r="F471" s="116" t="s">
        <v>4248</v>
      </c>
      <c r="G471" s="114">
        <v>46108</v>
      </c>
      <c r="H471" s="116">
        <v>2567844292</v>
      </c>
      <c r="I471" s="116" t="s">
        <v>4249</v>
      </c>
      <c r="J471" s="116" t="s">
        <v>2226</v>
      </c>
      <c r="K471" s="116" t="s">
        <v>2566</v>
      </c>
      <c r="L471" s="116" t="s">
        <v>2567</v>
      </c>
      <c r="M471" s="116" t="s">
        <v>2331</v>
      </c>
      <c r="N471" s="116" t="s">
        <v>4250</v>
      </c>
      <c r="O471" s="119"/>
      <c r="P471" s="116" t="s">
        <v>4251</v>
      </c>
      <c r="Q471" s="116" t="s">
        <v>3068</v>
      </c>
      <c r="R471" s="116" t="s">
        <v>2376</v>
      </c>
      <c r="S471" s="116" t="s">
        <v>2996</v>
      </c>
      <c r="T471" s="116">
        <v>1763458.51</v>
      </c>
      <c r="U471" s="116">
        <v>1900000</v>
      </c>
      <c r="V471" s="116" t="s">
        <v>2570</v>
      </c>
      <c r="W471" s="116">
        <v>261531000000000</v>
      </c>
      <c r="X471" s="114">
        <v>46108</v>
      </c>
      <c r="Y471" s="116">
        <v>2049753</v>
      </c>
      <c r="Z471" s="116" t="s">
        <v>4249</v>
      </c>
      <c r="AA471" s="116">
        <v>-0.12</v>
      </c>
      <c r="AB471" s="119"/>
      <c r="AC471" s="119"/>
      <c r="AD471" s="119"/>
      <c r="AE471" s="119"/>
      <c r="AF471" s="119"/>
      <c r="AG471" s="119"/>
      <c r="AH471" s="119"/>
      <c r="AI471" s="119"/>
      <c r="AJ471" s="119"/>
      <c r="AK471" s="119"/>
      <c r="AL471" s="119"/>
      <c r="AM471" s="122"/>
      <c r="AN471" s="116" t="s">
        <v>2346</v>
      </c>
      <c r="AO471" s="116" t="s">
        <v>2346</v>
      </c>
      <c r="AP471" s="116" t="s">
        <v>2571</v>
      </c>
    </row>
    <row r="472" spans="1:42">
      <c r="A472" s="125" t="s">
        <v>1316</v>
      </c>
      <c r="B472" s="126">
        <v>46109</v>
      </c>
      <c r="C472" s="127">
        <v>0.492291666666667</v>
      </c>
      <c r="D472" s="126">
        <v>46109</v>
      </c>
      <c r="E472" s="127">
        <v>0.492361111111111</v>
      </c>
      <c r="F472" s="128" t="s">
        <v>1313</v>
      </c>
      <c r="G472" s="126">
        <v>45995</v>
      </c>
      <c r="H472" s="128">
        <v>2565808722</v>
      </c>
      <c r="I472" s="128" t="s">
        <v>1317</v>
      </c>
      <c r="J472" s="128" t="s">
        <v>2141</v>
      </c>
      <c r="K472" s="128" t="s">
        <v>2329</v>
      </c>
      <c r="L472" s="128" t="s">
        <v>2330</v>
      </c>
      <c r="M472" s="128" t="s">
        <v>2331</v>
      </c>
      <c r="N472" s="128" t="s">
        <v>4252</v>
      </c>
      <c r="O472" s="133"/>
      <c r="P472" s="128">
        <v>1435129</v>
      </c>
      <c r="Q472" s="128" t="s">
        <v>2343</v>
      </c>
      <c r="R472" s="128" t="s">
        <v>2344</v>
      </c>
      <c r="S472" s="128" t="s">
        <v>3621</v>
      </c>
      <c r="T472" s="128">
        <v>570900.18</v>
      </c>
      <c r="U472" s="128">
        <v>521000</v>
      </c>
      <c r="V472" s="128" t="s">
        <v>2337</v>
      </c>
      <c r="W472" s="128">
        <v>261501000000000</v>
      </c>
      <c r="X472" s="126">
        <v>46109</v>
      </c>
      <c r="Y472" s="128">
        <v>1999367</v>
      </c>
      <c r="Z472" s="128" t="s">
        <v>1317</v>
      </c>
      <c r="AA472" s="128">
        <v>-0.03</v>
      </c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5"/>
      <c r="AN472" s="128" t="s">
        <v>4253</v>
      </c>
      <c r="AO472" s="128" t="s">
        <v>3223</v>
      </c>
      <c r="AP472" s="128" t="s">
        <v>4254</v>
      </c>
    </row>
    <row r="473" spans="1:42">
      <c r="A473" s="129" t="s">
        <v>4255</v>
      </c>
      <c r="B473" s="130">
        <v>46109</v>
      </c>
      <c r="C473" s="131">
        <v>0.496481481481481</v>
      </c>
      <c r="D473" s="130">
        <v>46109</v>
      </c>
      <c r="E473" s="131">
        <v>0.499363425925926</v>
      </c>
      <c r="F473" s="132" t="s">
        <v>1275</v>
      </c>
      <c r="G473" s="130">
        <v>46104</v>
      </c>
      <c r="H473" s="132">
        <v>2567763039</v>
      </c>
      <c r="I473" s="132" t="s">
        <v>4256</v>
      </c>
      <c r="J473" s="132" t="s">
        <v>2222</v>
      </c>
      <c r="K473" s="132" t="s">
        <v>2357</v>
      </c>
      <c r="L473" s="132" t="s">
        <v>2358</v>
      </c>
      <c r="M473" s="132" t="s">
        <v>2331</v>
      </c>
      <c r="N473" s="132" t="s">
        <v>4257</v>
      </c>
      <c r="O473" s="134"/>
      <c r="P473" s="132">
        <v>4916633</v>
      </c>
      <c r="Q473" s="132" t="s">
        <v>2644</v>
      </c>
      <c r="R473" s="132" t="s">
        <v>2435</v>
      </c>
      <c r="S473" s="132" t="s">
        <v>2778</v>
      </c>
      <c r="T473" s="132">
        <v>605999.77</v>
      </c>
      <c r="U473" s="132">
        <v>700000</v>
      </c>
      <c r="V473" s="132" t="s">
        <v>2364</v>
      </c>
      <c r="W473" s="132">
        <v>261534000000000</v>
      </c>
      <c r="X473" s="130">
        <v>46109</v>
      </c>
      <c r="Y473" s="132">
        <v>2041703</v>
      </c>
      <c r="Z473" s="132" t="s">
        <v>4256</v>
      </c>
      <c r="AA473" s="132">
        <v>0.04</v>
      </c>
      <c r="AB473" s="134"/>
      <c r="AC473" s="134"/>
      <c r="AD473" s="134"/>
      <c r="AE473" s="134"/>
      <c r="AF473" s="134"/>
      <c r="AG473" s="134"/>
      <c r="AH473" s="134"/>
      <c r="AI473" s="134"/>
      <c r="AJ473" s="134"/>
      <c r="AK473" s="134"/>
      <c r="AL473" s="134"/>
      <c r="AM473" s="136"/>
      <c r="AN473" s="132" t="s">
        <v>3663</v>
      </c>
      <c r="AO473" s="132" t="s">
        <v>2608</v>
      </c>
      <c r="AP473" s="132" t="s">
        <v>4258</v>
      </c>
    </row>
    <row r="474" spans="1:42">
      <c r="A474" s="129" t="s">
        <v>4259</v>
      </c>
      <c r="B474" s="130">
        <v>46109</v>
      </c>
      <c r="C474" s="131">
        <v>0.511550925925926</v>
      </c>
      <c r="D474" s="130">
        <v>46109</v>
      </c>
      <c r="E474" s="131">
        <v>0.51318287037037</v>
      </c>
      <c r="F474" s="132" t="s">
        <v>4260</v>
      </c>
      <c r="G474" s="130">
        <v>46053</v>
      </c>
      <c r="H474" s="132">
        <v>2566897861</v>
      </c>
      <c r="I474" s="132" t="s">
        <v>4261</v>
      </c>
      <c r="J474" s="132" t="s">
        <v>3055</v>
      </c>
      <c r="K474" s="132" t="s">
        <v>3056</v>
      </c>
      <c r="L474" s="132" t="s">
        <v>3057</v>
      </c>
      <c r="M474" s="132" t="s">
        <v>2331</v>
      </c>
      <c r="N474" s="132" t="s">
        <v>4262</v>
      </c>
      <c r="O474" s="134"/>
      <c r="P474" s="132">
        <v>4902105</v>
      </c>
      <c r="Q474" s="132" t="s">
        <v>2529</v>
      </c>
      <c r="R474" s="132" t="s">
        <v>2376</v>
      </c>
      <c r="S474" s="132" t="s">
        <v>4263</v>
      </c>
      <c r="T474" s="132">
        <v>797899.69</v>
      </c>
      <c r="U474" s="132">
        <v>500000</v>
      </c>
      <c r="V474" s="132" t="s">
        <v>3061</v>
      </c>
      <c r="W474" s="132">
        <v>261538000000000</v>
      </c>
      <c r="X474" s="130">
        <v>46109</v>
      </c>
      <c r="Y474" s="132">
        <v>2027565</v>
      </c>
      <c r="Z474" s="132" t="s">
        <v>4261</v>
      </c>
      <c r="AA474" s="132">
        <v>0</v>
      </c>
      <c r="AB474" s="134"/>
      <c r="AC474" s="134"/>
      <c r="AD474" s="134"/>
      <c r="AE474" s="134"/>
      <c r="AF474" s="134"/>
      <c r="AG474" s="134"/>
      <c r="AH474" s="134"/>
      <c r="AI474" s="134"/>
      <c r="AJ474" s="134"/>
      <c r="AK474" s="134"/>
      <c r="AL474" s="134"/>
      <c r="AM474" s="136"/>
      <c r="AN474" s="132" t="s">
        <v>2346</v>
      </c>
      <c r="AO474" s="132" t="s">
        <v>2346</v>
      </c>
      <c r="AP474" s="132" t="s">
        <v>4264</v>
      </c>
    </row>
    <row r="475" spans="1:42">
      <c r="A475" s="129" t="s">
        <v>1322</v>
      </c>
      <c r="B475" s="130">
        <v>46109</v>
      </c>
      <c r="C475" s="131">
        <v>0.525196759259259</v>
      </c>
      <c r="D475" s="130">
        <v>46109</v>
      </c>
      <c r="E475" s="131">
        <v>0.527152777777778</v>
      </c>
      <c r="F475" s="132" t="s">
        <v>1318</v>
      </c>
      <c r="G475" s="130">
        <v>46064</v>
      </c>
      <c r="H475" s="132">
        <v>2567067945</v>
      </c>
      <c r="I475" s="132" t="s">
        <v>1323</v>
      </c>
      <c r="J475" s="132" t="s">
        <v>2141</v>
      </c>
      <c r="K475" s="132" t="s">
        <v>2329</v>
      </c>
      <c r="L475" s="132" t="s">
        <v>2330</v>
      </c>
      <c r="M475" s="132" t="s">
        <v>2331</v>
      </c>
      <c r="N475" s="132" t="s">
        <v>4265</v>
      </c>
      <c r="O475" s="134"/>
      <c r="P475" s="132" t="s">
        <v>1321</v>
      </c>
      <c r="Q475" s="132" t="s">
        <v>2548</v>
      </c>
      <c r="R475" s="132" t="s">
        <v>2458</v>
      </c>
      <c r="S475" s="132" t="s">
        <v>3588</v>
      </c>
      <c r="T475" s="132">
        <v>478800.4</v>
      </c>
      <c r="U475" s="132">
        <v>502536</v>
      </c>
      <c r="V475" s="132" t="s">
        <v>2337</v>
      </c>
      <c r="W475" s="132">
        <v>261501000000000</v>
      </c>
      <c r="X475" s="130">
        <v>46109</v>
      </c>
      <c r="Y475" s="132">
        <v>2033397</v>
      </c>
      <c r="Z475" s="132" t="s">
        <v>1323</v>
      </c>
      <c r="AA475" s="132">
        <v>-0.03</v>
      </c>
      <c r="AB475" s="134"/>
      <c r="AC475" s="134"/>
      <c r="AD475" s="134"/>
      <c r="AE475" s="134"/>
      <c r="AF475" s="134"/>
      <c r="AG475" s="134"/>
      <c r="AH475" s="134"/>
      <c r="AI475" s="134"/>
      <c r="AJ475" s="134"/>
      <c r="AK475" s="134"/>
      <c r="AL475" s="134"/>
      <c r="AM475" s="136"/>
      <c r="AN475" s="132" t="s">
        <v>3589</v>
      </c>
      <c r="AO475" s="132" t="s">
        <v>2561</v>
      </c>
      <c r="AP475" s="132" t="s">
        <v>4266</v>
      </c>
    </row>
    <row r="476" spans="1:42">
      <c r="A476" s="129" t="s">
        <v>4267</v>
      </c>
      <c r="B476" s="130">
        <v>46109</v>
      </c>
      <c r="C476" s="131">
        <v>0.5565625</v>
      </c>
      <c r="D476" s="130">
        <v>46109</v>
      </c>
      <c r="E476" s="131">
        <v>0.558368055555556</v>
      </c>
      <c r="F476" s="132" t="s">
        <v>4268</v>
      </c>
      <c r="G476" s="130">
        <v>46091</v>
      </c>
      <c r="H476" s="132">
        <v>2567531907</v>
      </c>
      <c r="I476" s="132" t="s">
        <v>4269</v>
      </c>
      <c r="J476" s="132" t="s">
        <v>2222</v>
      </c>
      <c r="K476" s="132" t="s">
        <v>2357</v>
      </c>
      <c r="L476" s="132" t="s">
        <v>2358</v>
      </c>
      <c r="M476" s="132" t="s">
        <v>2331</v>
      </c>
      <c r="N476" s="132" t="s">
        <v>4270</v>
      </c>
      <c r="O476" s="134"/>
      <c r="P476" s="132">
        <v>4895305</v>
      </c>
      <c r="Q476" s="132" t="s">
        <v>2759</v>
      </c>
      <c r="R476" s="132" t="s">
        <v>2335</v>
      </c>
      <c r="S476" s="132" t="s">
        <v>2363</v>
      </c>
      <c r="T476" s="132">
        <v>578799.94</v>
      </c>
      <c r="U476" s="132">
        <v>683626</v>
      </c>
      <c r="V476" s="132" t="s">
        <v>2364</v>
      </c>
      <c r="W476" s="132">
        <v>261534000000000</v>
      </c>
      <c r="X476" s="130">
        <v>46109</v>
      </c>
      <c r="Y476" s="132">
        <v>2043342</v>
      </c>
      <c r="Z476" s="132" t="s">
        <v>4269</v>
      </c>
      <c r="AA476" s="132">
        <v>0</v>
      </c>
      <c r="AB476" s="134"/>
      <c r="AC476" s="134"/>
      <c r="AD476" s="134"/>
      <c r="AE476" s="134"/>
      <c r="AF476" s="134"/>
      <c r="AG476" s="134"/>
      <c r="AH476" s="134"/>
      <c r="AI476" s="134"/>
      <c r="AJ476" s="134"/>
      <c r="AK476" s="134"/>
      <c r="AL476" s="134"/>
      <c r="AM476" s="136"/>
      <c r="AN476" s="132" t="s">
        <v>2767</v>
      </c>
      <c r="AO476" s="132" t="s">
        <v>2768</v>
      </c>
      <c r="AP476" s="132" t="s">
        <v>4271</v>
      </c>
    </row>
    <row r="477" spans="1:42">
      <c r="A477" s="129" t="s">
        <v>1327</v>
      </c>
      <c r="B477" s="130">
        <v>46109</v>
      </c>
      <c r="C477" s="131">
        <v>0.610069444444444</v>
      </c>
      <c r="D477" s="130">
        <v>46109</v>
      </c>
      <c r="E477" s="131">
        <v>0.610405092592593</v>
      </c>
      <c r="F477" s="132" t="s">
        <v>1324</v>
      </c>
      <c r="G477" s="130">
        <v>46063</v>
      </c>
      <c r="H477" s="132">
        <v>2567070311</v>
      </c>
      <c r="I477" s="132" t="s">
        <v>1328</v>
      </c>
      <c r="J477" s="132" t="s">
        <v>2141</v>
      </c>
      <c r="K477" s="132" t="s">
        <v>2329</v>
      </c>
      <c r="L477" s="132" t="s">
        <v>2330</v>
      </c>
      <c r="M477" s="132" t="s">
        <v>2331</v>
      </c>
      <c r="N477" s="132" t="s">
        <v>4272</v>
      </c>
      <c r="O477" s="134"/>
      <c r="P477" s="132">
        <v>1435023</v>
      </c>
      <c r="Q477" s="132" t="s">
        <v>2343</v>
      </c>
      <c r="R477" s="132" t="s">
        <v>2344</v>
      </c>
      <c r="S477" s="132" t="s">
        <v>4273</v>
      </c>
      <c r="T477" s="132">
        <v>567000.17</v>
      </c>
      <c r="U477" s="132">
        <v>388000</v>
      </c>
      <c r="V477" s="132" t="s">
        <v>2337</v>
      </c>
      <c r="W477" s="132">
        <v>261501000000000</v>
      </c>
      <c r="X477" s="130">
        <v>46109</v>
      </c>
      <c r="Y477" s="132">
        <v>2032867</v>
      </c>
      <c r="Z477" s="132" t="s">
        <v>1328</v>
      </c>
      <c r="AA477" s="132">
        <v>-0.03</v>
      </c>
      <c r="AB477" s="134"/>
      <c r="AC477" s="134"/>
      <c r="AD477" s="134"/>
      <c r="AE477" s="134"/>
      <c r="AF477" s="134"/>
      <c r="AG477" s="134"/>
      <c r="AH477" s="134"/>
      <c r="AI477" s="134"/>
      <c r="AJ477" s="134"/>
      <c r="AK477" s="134"/>
      <c r="AL477" s="134"/>
      <c r="AM477" s="136"/>
      <c r="AN477" s="132" t="s">
        <v>4274</v>
      </c>
      <c r="AO477" s="132" t="s">
        <v>2443</v>
      </c>
      <c r="AP477" s="132" t="s">
        <v>4254</v>
      </c>
    </row>
    <row r="478" spans="1:42">
      <c r="A478" s="129" t="s">
        <v>4275</v>
      </c>
      <c r="B478" s="130">
        <v>46109</v>
      </c>
      <c r="C478" s="131">
        <v>0.61619212962963</v>
      </c>
      <c r="D478" s="130">
        <v>46109</v>
      </c>
      <c r="E478" s="131">
        <v>0.617384259259259</v>
      </c>
      <c r="F478" s="132" t="s">
        <v>4276</v>
      </c>
      <c r="G478" s="130">
        <v>46093</v>
      </c>
      <c r="H478" s="132">
        <v>2567560631</v>
      </c>
      <c r="I478" s="132" t="s">
        <v>4277</v>
      </c>
      <c r="J478" s="132" t="s">
        <v>2199</v>
      </c>
      <c r="K478" s="132" t="s">
        <v>2371</v>
      </c>
      <c r="L478" s="132" t="s">
        <v>2372</v>
      </c>
      <c r="M478" s="132" t="s">
        <v>2331</v>
      </c>
      <c r="N478" s="132" t="s">
        <v>4278</v>
      </c>
      <c r="O478" s="134"/>
      <c r="P478" s="132" t="s">
        <v>4279</v>
      </c>
      <c r="Q478" s="132" t="s">
        <v>4280</v>
      </c>
      <c r="R478" s="132" t="s">
        <v>3081</v>
      </c>
      <c r="S478" s="132" t="s">
        <v>2843</v>
      </c>
      <c r="T478" s="132">
        <v>1612565.73</v>
      </c>
      <c r="U478" s="132">
        <v>500000</v>
      </c>
      <c r="V478" s="132" t="s">
        <v>2378</v>
      </c>
      <c r="W478" s="132">
        <v>261502000000000</v>
      </c>
      <c r="X478" s="130">
        <v>46109</v>
      </c>
      <c r="Y478" s="132">
        <v>2043893</v>
      </c>
      <c r="Z478" s="132" t="s">
        <v>4277</v>
      </c>
      <c r="AA478" s="132">
        <v>-0.02</v>
      </c>
      <c r="AB478" s="134"/>
      <c r="AC478" s="134"/>
      <c r="AD478" s="134"/>
      <c r="AE478" s="134"/>
      <c r="AF478" s="134"/>
      <c r="AG478" s="134"/>
      <c r="AH478" s="134"/>
      <c r="AI478" s="134"/>
      <c r="AJ478" s="134"/>
      <c r="AK478" s="134"/>
      <c r="AL478" s="134"/>
      <c r="AM478" s="136"/>
      <c r="AN478" s="132" t="s">
        <v>2844</v>
      </c>
      <c r="AO478" s="132" t="s">
        <v>2845</v>
      </c>
      <c r="AP478" s="132" t="s">
        <v>4281</v>
      </c>
    </row>
    <row r="479" spans="1:42">
      <c r="A479" s="129" t="s">
        <v>1332</v>
      </c>
      <c r="B479" s="130">
        <v>46109</v>
      </c>
      <c r="C479" s="131">
        <v>0.624201388888889</v>
      </c>
      <c r="D479" s="130">
        <v>46109</v>
      </c>
      <c r="E479" s="131">
        <v>0.624305555555556</v>
      </c>
      <c r="F479" s="132" t="s">
        <v>1329</v>
      </c>
      <c r="G479" s="130">
        <v>46099</v>
      </c>
      <c r="H479" s="132">
        <v>2567678751</v>
      </c>
      <c r="I479" s="132" t="s">
        <v>1333</v>
      </c>
      <c r="J479" s="132" t="s">
        <v>2141</v>
      </c>
      <c r="K479" s="132" t="s">
        <v>2329</v>
      </c>
      <c r="L479" s="132" t="s">
        <v>2330</v>
      </c>
      <c r="M479" s="132" t="s">
        <v>2331</v>
      </c>
      <c r="N479" s="132" t="s">
        <v>4282</v>
      </c>
      <c r="O479" s="134"/>
      <c r="P479" s="132">
        <v>9258700</v>
      </c>
      <c r="Q479" s="132" t="s">
        <v>2763</v>
      </c>
      <c r="R479" s="132" t="s">
        <v>2764</v>
      </c>
      <c r="S479" s="132" t="s">
        <v>3131</v>
      </c>
      <c r="T479" s="132">
        <v>622400.28</v>
      </c>
      <c r="U479" s="132">
        <v>600000</v>
      </c>
      <c r="V479" s="132" t="s">
        <v>2337</v>
      </c>
      <c r="W479" s="132">
        <v>261501000000000</v>
      </c>
      <c r="X479" s="130">
        <v>46109</v>
      </c>
      <c r="Y479" s="132">
        <v>2036619</v>
      </c>
      <c r="Z479" s="132" t="s">
        <v>1333</v>
      </c>
      <c r="AA479" s="132">
        <v>0.02</v>
      </c>
      <c r="AB479" s="134"/>
      <c r="AC479" s="134"/>
      <c r="AD479" s="134"/>
      <c r="AE479" s="134"/>
      <c r="AF479" s="134"/>
      <c r="AG479" s="134"/>
      <c r="AH479" s="134"/>
      <c r="AI479" s="134"/>
      <c r="AJ479" s="134"/>
      <c r="AK479" s="134"/>
      <c r="AL479" s="134"/>
      <c r="AM479" s="136"/>
      <c r="AN479" s="132" t="s">
        <v>2379</v>
      </c>
      <c r="AO479" s="132" t="s">
        <v>2380</v>
      </c>
      <c r="AP479" s="132" t="s">
        <v>4281</v>
      </c>
    </row>
    <row r="480" spans="1:42">
      <c r="A480" s="129" t="s">
        <v>1403</v>
      </c>
      <c r="B480" s="130">
        <v>46109</v>
      </c>
      <c r="C480" s="131">
        <v>0.62693287037037</v>
      </c>
      <c r="D480" s="130">
        <v>46109</v>
      </c>
      <c r="E480" s="131">
        <v>0.65443287037037</v>
      </c>
      <c r="F480" s="132" t="s">
        <v>1400</v>
      </c>
      <c r="G480" s="130">
        <v>46105</v>
      </c>
      <c r="H480" s="132">
        <v>2567765114</v>
      </c>
      <c r="I480" s="132" t="s">
        <v>1404</v>
      </c>
      <c r="J480" s="132" t="s">
        <v>2168</v>
      </c>
      <c r="K480" s="132" t="s">
        <v>2760</v>
      </c>
      <c r="L480" s="132" t="s">
        <v>2761</v>
      </c>
      <c r="M480" s="132" t="s">
        <v>2331</v>
      </c>
      <c r="N480" s="132" t="s">
        <v>4283</v>
      </c>
      <c r="O480" s="134"/>
      <c r="P480" s="132">
        <v>9258973</v>
      </c>
      <c r="Q480" s="132" t="s">
        <v>3070</v>
      </c>
      <c r="R480" s="132" t="s">
        <v>2344</v>
      </c>
      <c r="S480" s="132" t="s">
        <v>2765</v>
      </c>
      <c r="T480" s="132">
        <v>557909.93</v>
      </c>
      <c r="U480" s="134"/>
      <c r="V480" s="132" t="s">
        <v>2766</v>
      </c>
      <c r="W480" s="132">
        <v>261518000000000</v>
      </c>
      <c r="X480" s="130">
        <v>46109</v>
      </c>
      <c r="Y480" s="132">
        <v>2048450</v>
      </c>
      <c r="Z480" s="132" t="s">
        <v>1404</v>
      </c>
      <c r="AA480" s="132">
        <v>0.02</v>
      </c>
      <c r="AB480" s="134"/>
      <c r="AC480" s="134"/>
      <c r="AD480" s="134"/>
      <c r="AE480" s="134"/>
      <c r="AF480" s="134"/>
      <c r="AG480" s="134"/>
      <c r="AH480" s="134"/>
      <c r="AI480" s="134"/>
      <c r="AJ480" s="134"/>
      <c r="AK480" s="134"/>
      <c r="AL480" s="134"/>
      <c r="AM480" s="136"/>
      <c r="AN480" s="132" t="s">
        <v>2767</v>
      </c>
      <c r="AO480" s="132" t="s">
        <v>2768</v>
      </c>
      <c r="AP480" s="132" t="s">
        <v>4271</v>
      </c>
    </row>
    <row r="481" spans="1:42">
      <c r="A481" s="129" t="s">
        <v>4284</v>
      </c>
      <c r="B481" s="130">
        <v>46109</v>
      </c>
      <c r="C481" s="131">
        <v>0.631736111111111</v>
      </c>
      <c r="D481" s="130">
        <v>46109</v>
      </c>
      <c r="E481" s="131">
        <v>0.65443287037037</v>
      </c>
      <c r="F481" s="132" t="s">
        <v>4285</v>
      </c>
      <c r="G481" s="130">
        <v>46099</v>
      </c>
      <c r="H481" s="132">
        <v>2567663236</v>
      </c>
      <c r="I481" s="132" t="s">
        <v>4286</v>
      </c>
      <c r="J481" s="132" t="s">
        <v>2199</v>
      </c>
      <c r="K481" s="132" t="s">
        <v>2371</v>
      </c>
      <c r="L481" s="132" t="s">
        <v>2372</v>
      </c>
      <c r="M481" s="132" t="s">
        <v>2331</v>
      </c>
      <c r="N481" s="132" t="s">
        <v>4287</v>
      </c>
      <c r="O481" s="134"/>
      <c r="P481" s="132">
        <v>4894446</v>
      </c>
      <c r="Q481" s="132" t="s">
        <v>2529</v>
      </c>
      <c r="R481" s="132" t="s">
        <v>2335</v>
      </c>
      <c r="S481" s="132" t="s">
        <v>2426</v>
      </c>
      <c r="T481" s="132">
        <v>792899.74</v>
      </c>
      <c r="U481" s="132">
        <v>500000</v>
      </c>
      <c r="V481" s="132" t="s">
        <v>2378</v>
      </c>
      <c r="W481" s="132">
        <v>261502000000000</v>
      </c>
      <c r="X481" s="130">
        <v>46109</v>
      </c>
      <c r="Y481" s="132">
        <v>2046195</v>
      </c>
      <c r="Z481" s="132" t="s">
        <v>4286</v>
      </c>
      <c r="AA481" s="132">
        <v>0.04</v>
      </c>
      <c r="AB481" s="134"/>
      <c r="AC481" s="134"/>
      <c r="AD481" s="134"/>
      <c r="AE481" s="134"/>
      <c r="AF481" s="134"/>
      <c r="AG481" s="134"/>
      <c r="AH481" s="134"/>
      <c r="AI481" s="134"/>
      <c r="AJ481" s="134"/>
      <c r="AK481" s="134"/>
      <c r="AL481" s="134"/>
      <c r="AM481" s="136"/>
      <c r="AN481" s="132" t="s">
        <v>3075</v>
      </c>
      <c r="AO481" s="132" t="s">
        <v>2380</v>
      </c>
      <c r="AP481" s="132" t="s">
        <v>4281</v>
      </c>
    </row>
    <row r="482" spans="1:42">
      <c r="A482" s="129" t="s">
        <v>4288</v>
      </c>
      <c r="B482" s="130">
        <v>46109</v>
      </c>
      <c r="C482" s="131">
        <v>0.637337962962963</v>
      </c>
      <c r="D482" s="130">
        <v>46109</v>
      </c>
      <c r="E482" s="131">
        <v>0.65443287037037</v>
      </c>
      <c r="F482" s="132" t="s">
        <v>4289</v>
      </c>
      <c r="G482" s="130">
        <v>46057</v>
      </c>
      <c r="H482" s="132">
        <v>2566961783</v>
      </c>
      <c r="I482" s="132" t="s">
        <v>4290</v>
      </c>
      <c r="J482" s="132" t="s">
        <v>2199</v>
      </c>
      <c r="K482" s="132" t="s">
        <v>2371</v>
      </c>
      <c r="L482" s="132" t="s">
        <v>2372</v>
      </c>
      <c r="M482" s="132" t="s">
        <v>2331</v>
      </c>
      <c r="N482" s="132" t="s">
        <v>4291</v>
      </c>
      <c r="O482" s="134"/>
      <c r="P482" s="132">
        <v>7807369</v>
      </c>
      <c r="Q482" s="132" t="s">
        <v>2954</v>
      </c>
      <c r="R482" s="132" t="s">
        <v>2585</v>
      </c>
      <c r="S482" s="132" t="s">
        <v>2600</v>
      </c>
      <c r="T482" s="132">
        <v>844499.67</v>
      </c>
      <c r="U482" s="132">
        <v>500000</v>
      </c>
      <c r="V482" s="132" t="s">
        <v>2378</v>
      </c>
      <c r="W482" s="132">
        <v>261502000000000</v>
      </c>
      <c r="X482" s="130">
        <v>46109</v>
      </c>
      <c r="Y482" s="132">
        <v>2029771</v>
      </c>
      <c r="Z482" s="132" t="s">
        <v>4290</v>
      </c>
      <c r="AA482" s="132">
        <v>0.02</v>
      </c>
      <c r="AB482" s="134"/>
      <c r="AC482" s="134"/>
      <c r="AD482" s="134"/>
      <c r="AE482" s="134"/>
      <c r="AF482" s="134"/>
      <c r="AG482" s="134"/>
      <c r="AH482" s="134"/>
      <c r="AI482" s="134"/>
      <c r="AJ482" s="134"/>
      <c r="AK482" s="134"/>
      <c r="AL482" s="134"/>
      <c r="AM482" s="136"/>
      <c r="AN482" s="132" t="s">
        <v>3255</v>
      </c>
      <c r="AO482" s="132" t="s">
        <v>2339</v>
      </c>
      <c r="AP482" s="132" t="s">
        <v>4281</v>
      </c>
    </row>
    <row r="483" spans="1:42">
      <c r="A483" s="129" t="s">
        <v>4292</v>
      </c>
      <c r="B483" s="130">
        <v>46109</v>
      </c>
      <c r="C483" s="131">
        <v>0.638217592592593</v>
      </c>
      <c r="D483" s="130">
        <v>46109</v>
      </c>
      <c r="E483" s="131">
        <v>0.65443287037037</v>
      </c>
      <c r="F483" s="132" t="s">
        <v>3554</v>
      </c>
      <c r="G483" s="130">
        <v>46090</v>
      </c>
      <c r="H483" s="132">
        <v>2567499727</v>
      </c>
      <c r="I483" s="132" t="s">
        <v>4293</v>
      </c>
      <c r="J483" s="132" t="s">
        <v>2222</v>
      </c>
      <c r="K483" s="132" t="s">
        <v>2357</v>
      </c>
      <c r="L483" s="132" t="s">
        <v>2358</v>
      </c>
      <c r="M483" s="132" t="s">
        <v>2331</v>
      </c>
      <c r="N483" s="132" t="s">
        <v>4294</v>
      </c>
      <c r="O483" s="134"/>
      <c r="P483" s="132" t="s">
        <v>4295</v>
      </c>
      <c r="Q483" s="132" t="s">
        <v>3068</v>
      </c>
      <c r="R483" s="132" t="s">
        <v>2530</v>
      </c>
      <c r="S483" s="132" t="s">
        <v>3345</v>
      </c>
      <c r="T483" s="132">
        <v>1766488.62</v>
      </c>
      <c r="U483" s="134"/>
      <c r="V483" s="132" t="s">
        <v>2364</v>
      </c>
      <c r="W483" s="132">
        <v>261534000000000</v>
      </c>
      <c r="X483" s="130">
        <v>46109</v>
      </c>
      <c r="Y483" s="132">
        <v>2042719</v>
      </c>
      <c r="Z483" s="132" t="s">
        <v>4293</v>
      </c>
      <c r="AA483" s="132">
        <v>-0.01</v>
      </c>
      <c r="AB483" s="134"/>
      <c r="AC483" s="134"/>
      <c r="AD483" s="134"/>
      <c r="AE483" s="134"/>
      <c r="AF483" s="134"/>
      <c r="AG483" s="134"/>
      <c r="AH483" s="134"/>
      <c r="AI483" s="134"/>
      <c r="AJ483" s="134"/>
      <c r="AK483" s="134"/>
      <c r="AL483" s="134"/>
      <c r="AM483" s="136"/>
      <c r="AN483" s="132" t="s">
        <v>4296</v>
      </c>
      <c r="AO483" s="132" t="s">
        <v>2833</v>
      </c>
      <c r="AP483" s="132" t="s">
        <v>4258</v>
      </c>
    </row>
    <row r="484" spans="1:42">
      <c r="A484" s="129" t="s">
        <v>1337</v>
      </c>
      <c r="B484" s="130">
        <v>46109</v>
      </c>
      <c r="C484" s="131">
        <v>0.641886574074074</v>
      </c>
      <c r="D484" s="130">
        <v>46109</v>
      </c>
      <c r="E484" s="131">
        <v>0.65443287037037</v>
      </c>
      <c r="F484" s="132" t="s">
        <v>1334</v>
      </c>
      <c r="G484" s="130">
        <v>45948</v>
      </c>
      <c r="H484" s="132">
        <v>2565058430</v>
      </c>
      <c r="I484" s="132" t="s">
        <v>1338</v>
      </c>
      <c r="J484" s="132" t="s">
        <v>2141</v>
      </c>
      <c r="K484" s="132" t="s">
        <v>2329</v>
      </c>
      <c r="L484" s="132" t="s">
        <v>2330</v>
      </c>
      <c r="M484" s="132" t="s">
        <v>2331</v>
      </c>
      <c r="N484" s="132" t="s">
        <v>4297</v>
      </c>
      <c r="O484" s="134"/>
      <c r="P484" s="132" t="s">
        <v>1336</v>
      </c>
      <c r="Q484" s="132" t="s">
        <v>3167</v>
      </c>
      <c r="R484" s="132" t="s">
        <v>2335</v>
      </c>
      <c r="S484" s="132" t="s">
        <v>3131</v>
      </c>
      <c r="T484" s="132">
        <v>603799.87</v>
      </c>
      <c r="U484" s="132">
        <v>538911</v>
      </c>
      <c r="V484" s="132" t="s">
        <v>2337</v>
      </c>
      <c r="W484" s="132">
        <v>261501000000000</v>
      </c>
      <c r="X484" s="130">
        <v>46109</v>
      </c>
      <c r="Y484" s="132">
        <v>1934125</v>
      </c>
      <c r="Z484" s="132" t="s">
        <v>1338</v>
      </c>
      <c r="AA484" s="132">
        <v>0.02</v>
      </c>
      <c r="AB484" s="134"/>
      <c r="AC484" s="134"/>
      <c r="AD484" s="134"/>
      <c r="AE484" s="134"/>
      <c r="AF484" s="134"/>
      <c r="AG484" s="134"/>
      <c r="AH484" s="134"/>
      <c r="AI484" s="134"/>
      <c r="AJ484" s="134"/>
      <c r="AK484" s="134"/>
      <c r="AL484" s="134"/>
      <c r="AM484" s="136"/>
      <c r="AN484" s="132" t="s">
        <v>4298</v>
      </c>
      <c r="AO484" s="132" t="s">
        <v>2346</v>
      </c>
      <c r="AP484" s="132" t="s">
        <v>4254</v>
      </c>
    </row>
    <row r="485" spans="1:42">
      <c r="A485" s="129" t="s">
        <v>1343</v>
      </c>
      <c r="B485" s="130">
        <v>46109</v>
      </c>
      <c r="C485" s="131">
        <v>0.645092592592593</v>
      </c>
      <c r="D485" s="130">
        <v>46109</v>
      </c>
      <c r="E485" s="131">
        <v>0.65443287037037</v>
      </c>
      <c r="F485" s="132" t="s">
        <v>1340</v>
      </c>
      <c r="G485" s="130">
        <v>46035</v>
      </c>
      <c r="H485" s="132">
        <v>2566570147</v>
      </c>
      <c r="I485" s="132" t="s">
        <v>4299</v>
      </c>
      <c r="J485" s="132" t="s">
        <v>2141</v>
      </c>
      <c r="K485" s="132" t="s">
        <v>2329</v>
      </c>
      <c r="L485" s="132" t="s">
        <v>2330</v>
      </c>
      <c r="M485" s="132" t="s">
        <v>2331</v>
      </c>
      <c r="N485" s="132" t="s">
        <v>4300</v>
      </c>
      <c r="O485" s="134"/>
      <c r="P485" s="132">
        <v>7949474</v>
      </c>
      <c r="Q485" s="132" t="s">
        <v>4301</v>
      </c>
      <c r="R485" s="132" t="s">
        <v>2335</v>
      </c>
      <c r="S485" s="132" t="s">
        <v>2387</v>
      </c>
      <c r="T485" s="132">
        <v>1223614.79</v>
      </c>
      <c r="U485" s="134"/>
      <c r="V485" s="132" t="s">
        <v>2337</v>
      </c>
      <c r="W485" s="132">
        <v>261501000000000</v>
      </c>
      <c r="X485" s="130">
        <v>46109</v>
      </c>
      <c r="Y485" s="132">
        <v>2019575</v>
      </c>
      <c r="Z485" s="132" t="s">
        <v>4299</v>
      </c>
      <c r="AA485" s="132">
        <v>-0.03</v>
      </c>
      <c r="AB485" s="134"/>
      <c r="AC485" s="134"/>
      <c r="AD485" s="134"/>
      <c r="AE485" s="134"/>
      <c r="AF485" s="134"/>
      <c r="AG485" s="134"/>
      <c r="AH485" s="134"/>
      <c r="AI485" s="134"/>
      <c r="AJ485" s="134"/>
      <c r="AK485" s="134"/>
      <c r="AL485" s="134"/>
      <c r="AM485" s="136"/>
      <c r="AN485" s="132" t="s">
        <v>2388</v>
      </c>
      <c r="AO485" s="132" t="s">
        <v>2351</v>
      </c>
      <c r="AP485" s="132" t="s">
        <v>4302</v>
      </c>
    </row>
    <row r="486" spans="1:42">
      <c r="A486" s="129" t="s">
        <v>1349</v>
      </c>
      <c r="B486" s="130">
        <v>46109</v>
      </c>
      <c r="C486" s="131">
        <v>0.646238425925926</v>
      </c>
      <c r="D486" s="130">
        <v>46109</v>
      </c>
      <c r="E486" s="131">
        <v>0.65443287037037</v>
      </c>
      <c r="F486" s="132" t="s">
        <v>1346</v>
      </c>
      <c r="G486" s="130">
        <v>46007</v>
      </c>
      <c r="H486" s="132">
        <v>2566028362</v>
      </c>
      <c r="I486" s="132" t="s">
        <v>4303</v>
      </c>
      <c r="J486" s="132" t="s">
        <v>2141</v>
      </c>
      <c r="K486" s="132" t="s">
        <v>2329</v>
      </c>
      <c r="L486" s="132" t="s">
        <v>2330</v>
      </c>
      <c r="M486" s="132" t="s">
        <v>2331</v>
      </c>
      <c r="N486" s="132" t="s">
        <v>4304</v>
      </c>
      <c r="O486" s="134"/>
      <c r="P486" s="132">
        <v>1440610</v>
      </c>
      <c r="Q486" s="132" t="s">
        <v>2343</v>
      </c>
      <c r="R486" s="132" t="s">
        <v>2344</v>
      </c>
      <c r="S486" s="132" t="s">
        <v>3127</v>
      </c>
      <c r="T486" s="132">
        <v>570900.18</v>
      </c>
      <c r="U486" s="134"/>
      <c r="V486" s="132" t="s">
        <v>2337</v>
      </c>
      <c r="W486" s="132">
        <v>261501000000000</v>
      </c>
      <c r="X486" s="130">
        <v>46109</v>
      </c>
      <c r="Y486" s="132">
        <v>2007719</v>
      </c>
      <c r="Z486" s="132" t="s">
        <v>4303</v>
      </c>
      <c r="AA486" s="132">
        <v>-0.03</v>
      </c>
      <c r="AB486" s="134"/>
      <c r="AC486" s="134"/>
      <c r="AD486" s="134"/>
      <c r="AE486" s="134"/>
      <c r="AF486" s="134"/>
      <c r="AG486" s="134"/>
      <c r="AH486" s="134"/>
      <c r="AI486" s="134"/>
      <c r="AJ486" s="134"/>
      <c r="AK486" s="134"/>
      <c r="AL486" s="134"/>
      <c r="AM486" s="136"/>
      <c r="AN486" s="132" t="s">
        <v>2510</v>
      </c>
      <c r="AO486" s="132" t="s">
        <v>2511</v>
      </c>
      <c r="AP486" s="132" t="s">
        <v>4254</v>
      </c>
    </row>
    <row r="487" spans="1:42">
      <c r="A487" s="129" t="s">
        <v>1409</v>
      </c>
      <c r="B487" s="130">
        <v>46109</v>
      </c>
      <c r="C487" s="131">
        <v>0.647199074074074</v>
      </c>
      <c r="D487" s="130">
        <v>46109</v>
      </c>
      <c r="E487" s="131">
        <v>0.65443287037037</v>
      </c>
      <c r="F487" s="132" t="s">
        <v>1405</v>
      </c>
      <c r="G487" s="130">
        <v>46053</v>
      </c>
      <c r="H487" s="132">
        <v>2566904042</v>
      </c>
      <c r="I487" s="132" t="s">
        <v>1410</v>
      </c>
      <c r="J487" s="132" t="s">
        <v>2168</v>
      </c>
      <c r="K487" s="132" t="s">
        <v>2760</v>
      </c>
      <c r="L487" s="132" t="s">
        <v>2761</v>
      </c>
      <c r="M487" s="132" t="s">
        <v>2331</v>
      </c>
      <c r="N487" s="132" t="s">
        <v>4305</v>
      </c>
      <c r="O487" s="134"/>
      <c r="P487" s="132" t="s">
        <v>1408</v>
      </c>
      <c r="Q487" s="132" t="s">
        <v>2507</v>
      </c>
      <c r="R487" s="132" t="s">
        <v>2458</v>
      </c>
      <c r="S487" s="132" t="s">
        <v>3845</v>
      </c>
      <c r="T487" s="132">
        <v>532100.08</v>
      </c>
      <c r="U487" s="132">
        <v>593746</v>
      </c>
      <c r="V487" s="132" t="s">
        <v>2766</v>
      </c>
      <c r="W487" s="132">
        <v>261518000000000</v>
      </c>
      <c r="X487" s="130">
        <v>46109</v>
      </c>
      <c r="Y487" s="132">
        <v>2027727</v>
      </c>
      <c r="Z487" s="132" t="s">
        <v>1410</v>
      </c>
      <c r="AA487" s="132">
        <v>0</v>
      </c>
      <c r="AB487" s="134"/>
      <c r="AC487" s="134"/>
      <c r="AD487" s="134"/>
      <c r="AE487" s="134"/>
      <c r="AF487" s="134"/>
      <c r="AG487" s="134"/>
      <c r="AH487" s="134"/>
      <c r="AI487" s="134"/>
      <c r="AJ487" s="134"/>
      <c r="AK487" s="134"/>
      <c r="AL487" s="134"/>
      <c r="AM487" s="136"/>
      <c r="AN487" s="132" t="s">
        <v>4306</v>
      </c>
      <c r="AO487" s="132" t="s">
        <v>2768</v>
      </c>
      <c r="AP487" s="132" t="s">
        <v>4271</v>
      </c>
    </row>
    <row r="488" spans="1:42">
      <c r="A488" s="129" t="s">
        <v>1306</v>
      </c>
      <c r="B488" s="130">
        <v>46109</v>
      </c>
      <c r="C488" s="131">
        <v>0.67068287037037</v>
      </c>
      <c r="D488" s="130">
        <v>46109</v>
      </c>
      <c r="E488" s="131">
        <v>0.671759259259259</v>
      </c>
      <c r="F488" s="132" t="s">
        <v>1302</v>
      </c>
      <c r="G488" s="130">
        <v>46108</v>
      </c>
      <c r="H488" s="132">
        <v>2567830911</v>
      </c>
      <c r="I488" s="132" t="s">
        <v>4307</v>
      </c>
      <c r="J488" s="132" t="s">
        <v>2189</v>
      </c>
      <c r="K488" s="132" t="s">
        <v>2463</v>
      </c>
      <c r="L488" s="132" t="s">
        <v>2464</v>
      </c>
      <c r="M488" s="132" t="s">
        <v>2331</v>
      </c>
      <c r="N488" s="132" t="s">
        <v>4308</v>
      </c>
      <c r="O488" s="134"/>
      <c r="P488" s="132" t="s">
        <v>1305</v>
      </c>
      <c r="Q488" s="132" t="s">
        <v>2343</v>
      </c>
      <c r="R488" s="132" t="s">
        <v>2344</v>
      </c>
      <c r="S488" s="132" t="s">
        <v>4309</v>
      </c>
      <c r="T488" s="132">
        <v>568900.19</v>
      </c>
      <c r="U488" s="132">
        <v>630979</v>
      </c>
      <c r="V488" s="132" t="s">
        <v>2469</v>
      </c>
      <c r="W488" s="132">
        <v>261517000000000</v>
      </c>
      <c r="X488" s="130">
        <v>46109</v>
      </c>
      <c r="Y488" s="132">
        <v>2049724</v>
      </c>
      <c r="Z488" s="132" t="s">
        <v>4307</v>
      </c>
      <c r="AA488" s="132">
        <v>-0.02</v>
      </c>
      <c r="AB488" s="134"/>
      <c r="AC488" s="134"/>
      <c r="AD488" s="134"/>
      <c r="AE488" s="134"/>
      <c r="AF488" s="134"/>
      <c r="AG488" s="134"/>
      <c r="AH488" s="134"/>
      <c r="AI488" s="134"/>
      <c r="AJ488" s="134"/>
      <c r="AK488" s="134"/>
      <c r="AL488" s="134"/>
      <c r="AM488" s="136"/>
      <c r="AN488" s="132" t="s">
        <v>2799</v>
      </c>
      <c r="AO488" s="132" t="s">
        <v>2471</v>
      </c>
      <c r="AP488" s="132" t="s">
        <v>4310</v>
      </c>
    </row>
    <row r="489" spans="1:42">
      <c r="A489" s="129" t="s">
        <v>4311</v>
      </c>
      <c r="B489" s="130">
        <v>46109</v>
      </c>
      <c r="C489" s="131">
        <v>0.673310185185185</v>
      </c>
      <c r="D489" s="130">
        <v>46109</v>
      </c>
      <c r="E489" s="131">
        <v>0.675173611111111</v>
      </c>
      <c r="F489" s="132" t="s">
        <v>4312</v>
      </c>
      <c r="G489" s="130">
        <v>46073</v>
      </c>
      <c r="H489" s="132">
        <v>2567862479</v>
      </c>
      <c r="I489" s="132" t="s">
        <v>4313</v>
      </c>
      <c r="J489" s="132" t="s">
        <v>2207</v>
      </c>
      <c r="K489" s="132" t="s">
        <v>2662</v>
      </c>
      <c r="L489" s="132" t="s">
        <v>2663</v>
      </c>
      <c r="M489" s="132" t="s">
        <v>2331</v>
      </c>
      <c r="N489" s="132" t="s">
        <v>4314</v>
      </c>
      <c r="O489" s="134"/>
      <c r="P489" s="132">
        <v>4889251</v>
      </c>
      <c r="Q489" s="132" t="s">
        <v>2939</v>
      </c>
      <c r="R489" s="132" t="s">
        <v>2335</v>
      </c>
      <c r="S489" s="132" t="s">
        <v>4122</v>
      </c>
      <c r="T489" s="132">
        <v>839900.53</v>
      </c>
      <c r="U489" s="132">
        <v>500000</v>
      </c>
      <c r="V489" s="132" t="s">
        <v>2666</v>
      </c>
      <c r="W489" s="132">
        <v>261537000000000</v>
      </c>
      <c r="X489" s="130">
        <v>46109</v>
      </c>
      <c r="Y489" s="132">
        <v>2036025</v>
      </c>
      <c r="Z489" s="132" t="s">
        <v>4313</v>
      </c>
      <c r="AA489" s="132">
        <v>0.02</v>
      </c>
      <c r="AB489" s="134"/>
      <c r="AC489" s="134"/>
      <c r="AD489" s="134"/>
      <c r="AE489" s="134"/>
      <c r="AF489" s="134"/>
      <c r="AG489" s="134"/>
      <c r="AH489" s="134"/>
      <c r="AI489" s="134"/>
      <c r="AJ489" s="134"/>
      <c r="AK489" s="134"/>
      <c r="AL489" s="134"/>
      <c r="AM489" s="136"/>
      <c r="AN489" s="132" t="s">
        <v>4062</v>
      </c>
      <c r="AO489" s="132" t="s">
        <v>2592</v>
      </c>
      <c r="AP489" s="132" t="s">
        <v>4315</v>
      </c>
    </row>
    <row r="490" spans="1:42">
      <c r="A490" s="129" t="s">
        <v>4316</v>
      </c>
      <c r="B490" s="130">
        <v>46109</v>
      </c>
      <c r="C490" s="131">
        <v>0.674849537037037</v>
      </c>
      <c r="D490" s="130">
        <v>46109</v>
      </c>
      <c r="E490" s="131">
        <v>0.675173611111111</v>
      </c>
      <c r="F490" s="132" t="s">
        <v>4317</v>
      </c>
      <c r="G490" s="130">
        <v>46081</v>
      </c>
      <c r="H490" s="132">
        <v>2567379200</v>
      </c>
      <c r="I490" s="132" t="s">
        <v>4318</v>
      </c>
      <c r="J490" s="132" t="s">
        <v>2199</v>
      </c>
      <c r="K490" s="132" t="s">
        <v>2371</v>
      </c>
      <c r="L490" s="132" t="s">
        <v>2372</v>
      </c>
      <c r="M490" s="132" t="s">
        <v>2331</v>
      </c>
      <c r="N490" s="132" t="s">
        <v>4319</v>
      </c>
      <c r="O490" s="134"/>
      <c r="P490" s="132">
        <v>4892623</v>
      </c>
      <c r="Q490" s="132" t="s">
        <v>2759</v>
      </c>
      <c r="R490" s="132" t="s">
        <v>2530</v>
      </c>
      <c r="S490" s="132" t="s">
        <v>3397</v>
      </c>
      <c r="T490" s="132">
        <v>575899.84</v>
      </c>
      <c r="U490" s="132">
        <v>500000</v>
      </c>
      <c r="V490" s="132" t="s">
        <v>2378</v>
      </c>
      <c r="W490" s="132">
        <v>261502000000000</v>
      </c>
      <c r="X490" s="130">
        <v>46109</v>
      </c>
      <c r="Y490" s="132">
        <v>2039460</v>
      </c>
      <c r="Z490" s="132" t="s">
        <v>4318</v>
      </c>
      <c r="AA490" s="132">
        <v>0</v>
      </c>
      <c r="AB490" s="134"/>
      <c r="AC490" s="134"/>
      <c r="AD490" s="134"/>
      <c r="AE490" s="134"/>
      <c r="AF490" s="134"/>
      <c r="AG490" s="134"/>
      <c r="AH490" s="134"/>
      <c r="AI490" s="134"/>
      <c r="AJ490" s="134"/>
      <c r="AK490" s="134"/>
      <c r="AL490" s="134"/>
      <c r="AM490" s="136"/>
      <c r="AN490" s="132" t="s">
        <v>3398</v>
      </c>
      <c r="AO490" s="132" t="s">
        <v>2346</v>
      </c>
      <c r="AP490" s="132" t="s">
        <v>4281</v>
      </c>
    </row>
    <row r="491" spans="1:42">
      <c r="A491" s="129" t="s">
        <v>1311</v>
      </c>
      <c r="B491" s="130">
        <v>46109</v>
      </c>
      <c r="C491" s="131">
        <v>0.675405092592593</v>
      </c>
      <c r="D491" s="130">
        <v>46109</v>
      </c>
      <c r="E491" s="131">
        <v>0.682164351851852</v>
      </c>
      <c r="F491" s="132" t="s">
        <v>1308</v>
      </c>
      <c r="G491" s="130">
        <v>46097</v>
      </c>
      <c r="H491" s="132">
        <v>2567869296</v>
      </c>
      <c r="I491" s="132" t="s">
        <v>4320</v>
      </c>
      <c r="J491" s="132" t="s">
        <v>2157</v>
      </c>
      <c r="K491" s="132" t="s">
        <v>2534</v>
      </c>
      <c r="L491" s="132" t="s">
        <v>2535</v>
      </c>
      <c r="M491" s="132" t="s">
        <v>2331</v>
      </c>
      <c r="N491" s="132" t="s">
        <v>4321</v>
      </c>
      <c r="O491" s="134"/>
      <c r="P491" s="132" t="s">
        <v>1310</v>
      </c>
      <c r="Q491" s="132" t="s">
        <v>2797</v>
      </c>
      <c r="R491" s="132" t="s">
        <v>2458</v>
      </c>
      <c r="S491" s="132" t="s">
        <v>3836</v>
      </c>
      <c r="T491" s="132">
        <v>999900.55</v>
      </c>
      <c r="U491" s="132">
        <v>700000</v>
      </c>
      <c r="V491" s="132" t="s">
        <v>2540</v>
      </c>
      <c r="W491" s="132">
        <v>261504000000000</v>
      </c>
      <c r="X491" s="130">
        <v>46109</v>
      </c>
      <c r="Y491" s="132">
        <v>2045478</v>
      </c>
      <c r="Z491" s="132" t="s">
        <v>4320</v>
      </c>
      <c r="AA491" s="132">
        <v>0.01</v>
      </c>
      <c r="AB491" s="134"/>
      <c r="AC491" s="134"/>
      <c r="AD491" s="134"/>
      <c r="AE491" s="134"/>
      <c r="AF491" s="134"/>
      <c r="AG491" s="134"/>
      <c r="AH491" s="134"/>
      <c r="AI491" s="134"/>
      <c r="AJ491" s="134"/>
      <c r="AK491" s="134"/>
      <c r="AL491" s="134"/>
      <c r="AM491" s="136"/>
      <c r="AN491" s="132" t="s">
        <v>3359</v>
      </c>
      <c r="AO491" s="132" t="s">
        <v>2542</v>
      </c>
      <c r="AP491" s="132" t="s">
        <v>4322</v>
      </c>
    </row>
    <row r="492" spans="1:42">
      <c r="A492" s="129" t="s">
        <v>1354</v>
      </c>
      <c r="B492" s="130">
        <v>46109</v>
      </c>
      <c r="C492" s="131">
        <v>0.677048611111111</v>
      </c>
      <c r="D492" s="130">
        <v>46109</v>
      </c>
      <c r="E492" s="131">
        <v>0.682164351851852</v>
      </c>
      <c r="F492" s="132" t="s">
        <v>1351</v>
      </c>
      <c r="G492" s="130">
        <v>45948</v>
      </c>
      <c r="H492" s="132">
        <v>2565058284</v>
      </c>
      <c r="I492" s="132" t="s">
        <v>1338</v>
      </c>
      <c r="J492" s="132" t="s">
        <v>2141</v>
      </c>
      <c r="K492" s="132" t="s">
        <v>2329</v>
      </c>
      <c r="L492" s="132" t="s">
        <v>2330</v>
      </c>
      <c r="M492" s="132" t="s">
        <v>2331</v>
      </c>
      <c r="N492" s="132" t="s">
        <v>4323</v>
      </c>
      <c r="O492" s="134"/>
      <c r="P492" s="132" t="s">
        <v>1353</v>
      </c>
      <c r="Q492" s="132" t="s">
        <v>3167</v>
      </c>
      <c r="R492" s="132" t="s">
        <v>2335</v>
      </c>
      <c r="S492" s="132" t="s">
        <v>3131</v>
      </c>
      <c r="T492" s="132">
        <v>603799.87</v>
      </c>
      <c r="U492" s="132">
        <v>538911</v>
      </c>
      <c r="V492" s="132" t="s">
        <v>2337</v>
      </c>
      <c r="W492" s="132">
        <v>261501000000000</v>
      </c>
      <c r="X492" s="130">
        <v>46109</v>
      </c>
      <c r="Y492" s="132">
        <v>1934125</v>
      </c>
      <c r="Z492" s="132" t="s">
        <v>1338</v>
      </c>
      <c r="AA492" s="132">
        <v>0.02</v>
      </c>
      <c r="AB492" s="134"/>
      <c r="AC492" s="134"/>
      <c r="AD492" s="134"/>
      <c r="AE492" s="134"/>
      <c r="AF492" s="134"/>
      <c r="AG492" s="134"/>
      <c r="AH492" s="134"/>
      <c r="AI492" s="134"/>
      <c r="AJ492" s="134"/>
      <c r="AK492" s="134"/>
      <c r="AL492" s="134"/>
      <c r="AM492" s="136"/>
      <c r="AN492" s="132" t="s">
        <v>4298</v>
      </c>
      <c r="AO492" s="132" t="s">
        <v>2346</v>
      </c>
      <c r="AP492" s="132" t="s">
        <v>4254</v>
      </c>
    </row>
    <row r="493" spans="1:42">
      <c r="A493" s="129" t="s">
        <v>4324</v>
      </c>
      <c r="B493" s="130">
        <v>46109</v>
      </c>
      <c r="C493" s="131">
        <v>0.67818287037037</v>
      </c>
      <c r="D493" s="130">
        <v>46109</v>
      </c>
      <c r="E493" s="131">
        <v>0.682164351851852</v>
      </c>
      <c r="F493" s="132" t="s">
        <v>3943</v>
      </c>
      <c r="G493" s="130">
        <v>46105</v>
      </c>
      <c r="H493" s="132">
        <v>2567782234</v>
      </c>
      <c r="I493" s="132" t="s">
        <v>4325</v>
      </c>
      <c r="J493" s="132" t="s">
        <v>2213</v>
      </c>
      <c r="K493" s="132" t="s">
        <v>2454</v>
      </c>
      <c r="L493" s="132" t="s">
        <v>2455</v>
      </c>
      <c r="M493" s="132" t="s">
        <v>2331</v>
      </c>
      <c r="N493" s="132" t="s">
        <v>4326</v>
      </c>
      <c r="O493" s="134"/>
      <c r="P493" s="132" t="s">
        <v>4327</v>
      </c>
      <c r="Q493" s="132" t="s">
        <v>2417</v>
      </c>
      <c r="R493" s="132" t="s">
        <v>2376</v>
      </c>
      <c r="S493" s="132" t="s">
        <v>4089</v>
      </c>
      <c r="T493" s="132">
        <v>1032117.46</v>
      </c>
      <c r="U493" s="134"/>
      <c r="V493" s="132" t="s">
        <v>2460</v>
      </c>
      <c r="W493" s="132">
        <v>261532000000000</v>
      </c>
      <c r="X493" s="130">
        <v>46109</v>
      </c>
      <c r="Y493" s="132">
        <v>2048508</v>
      </c>
      <c r="Z493" s="132" t="s">
        <v>4325</v>
      </c>
      <c r="AA493" s="132">
        <v>0.04</v>
      </c>
      <c r="AB493" s="134"/>
      <c r="AC493" s="134"/>
      <c r="AD493" s="134"/>
      <c r="AE493" s="134"/>
      <c r="AF493" s="134"/>
      <c r="AG493" s="134"/>
      <c r="AH493" s="134"/>
      <c r="AI493" s="132" t="s">
        <v>4328</v>
      </c>
      <c r="AJ493" s="130">
        <v>46109</v>
      </c>
      <c r="AK493" s="132" t="s">
        <v>1679</v>
      </c>
      <c r="AL493" s="132">
        <v>261532000000000</v>
      </c>
      <c r="AM493" s="132">
        <v>261532000000000</v>
      </c>
      <c r="AN493" s="132" t="s">
        <v>3710</v>
      </c>
      <c r="AO493" s="132" t="s">
        <v>2408</v>
      </c>
      <c r="AP493" s="132" t="s">
        <v>4258</v>
      </c>
    </row>
    <row r="494" spans="1:42">
      <c r="A494" s="129" t="s">
        <v>1397</v>
      </c>
      <c r="B494" s="130">
        <v>46109</v>
      </c>
      <c r="C494" s="131">
        <v>0.688900462962963</v>
      </c>
      <c r="D494" s="130">
        <v>46109</v>
      </c>
      <c r="E494" s="131">
        <v>0.691909722222222</v>
      </c>
      <c r="F494" s="132" t="s">
        <v>1394</v>
      </c>
      <c r="G494" s="130">
        <v>46095</v>
      </c>
      <c r="H494" s="132">
        <v>2567604331</v>
      </c>
      <c r="I494" s="132" t="s">
        <v>1398</v>
      </c>
      <c r="J494" s="132" t="s">
        <v>2162</v>
      </c>
      <c r="K494" s="132" t="s">
        <v>2692</v>
      </c>
      <c r="L494" s="132" t="s">
        <v>2693</v>
      </c>
      <c r="M494" s="132" t="s">
        <v>2331</v>
      </c>
      <c r="N494" s="132" t="s">
        <v>4329</v>
      </c>
      <c r="O494" s="134"/>
      <c r="P494" s="132">
        <v>4484543</v>
      </c>
      <c r="Q494" s="132" t="s">
        <v>4330</v>
      </c>
      <c r="R494" s="132" t="s">
        <v>2344</v>
      </c>
      <c r="S494" s="132" t="s">
        <v>4331</v>
      </c>
      <c r="T494" s="132">
        <v>474400.27</v>
      </c>
      <c r="U494" s="132">
        <v>500000</v>
      </c>
      <c r="V494" s="132" t="s">
        <v>2696</v>
      </c>
      <c r="W494" s="132">
        <v>261507000000000</v>
      </c>
      <c r="X494" s="130">
        <v>46109</v>
      </c>
      <c r="Y494" s="132">
        <v>2044855</v>
      </c>
      <c r="Z494" s="132" t="s">
        <v>1398</v>
      </c>
      <c r="AA494" s="132">
        <v>0</v>
      </c>
      <c r="AB494" s="134"/>
      <c r="AC494" s="134"/>
      <c r="AD494" s="134"/>
      <c r="AE494" s="134"/>
      <c r="AF494" s="134"/>
      <c r="AG494" s="134"/>
      <c r="AH494" s="134"/>
      <c r="AI494" s="134"/>
      <c r="AJ494" s="134"/>
      <c r="AK494" s="134"/>
      <c r="AL494" s="134"/>
      <c r="AM494" s="136"/>
      <c r="AN494" s="132" t="s">
        <v>2772</v>
      </c>
      <c r="AO494" s="132" t="s">
        <v>2773</v>
      </c>
      <c r="AP494" s="132" t="s">
        <v>4332</v>
      </c>
    </row>
    <row r="495" spans="1:42">
      <c r="A495" s="129" t="s">
        <v>4333</v>
      </c>
      <c r="B495" s="130">
        <v>46109</v>
      </c>
      <c r="C495" s="131">
        <v>0.690717592592593</v>
      </c>
      <c r="D495" s="130">
        <v>46109</v>
      </c>
      <c r="E495" s="131">
        <v>0.691909722222222</v>
      </c>
      <c r="F495" s="132" t="s">
        <v>4334</v>
      </c>
      <c r="G495" s="130">
        <v>46097</v>
      </c>
      <c r="H495" s="132">
        <v>2567631453</v>
      </c>
      <c r="I495" s="132" t="s">
        <v>4335</v>
      </c>
      <c r="J495" s="132" t="s">
        <v>2213</v>
      </c>
      <c r="K495" s="132" t="s">
        <v>2454</v>
      </c>
      <c r="L495" s="132" t="s">
        <v>2455</v>
      </c>
      <c r="M495" s="132" t="s">
        <v>2331</v>
      </c>
      <c r="N495" s="132" t="s">
        <v>4336</v>
      </c>
      <c r="O495" s="134"/>
      <c r="P495" s="132">
        <v>9261732</v>
      </c>
      <c r="Q495" s="132" t="s">
        <v>2763</v>
      </c>
      <c r="R495" s="132" t="s">
        <v>2344</v>
      </c>
      <c r="S495" s="132" t="s">
        <v>4337</v>
      </c>
      <c r="T495" s="132">
        <v>598800.39</v>
      </c>
      <c r="U495" s="132">
        <v>447784</v>
      </c>
      <c r="V495" s="132" t="s">
        <v>2460</v>
      </c>
      <c r="W495" s="132">
        <v>261532000000000</v>
      </c>
      <c r="X495" s="130">
        <v>46109</v>
      </c>
      <c r="Y495" s="132">
        <v>2045322</v>
      </c>
      <c r="Z495" s="132" t="s">
        <v>4335</v>
      </c>
      <c r="AA495" s="132">
        <v>0.01</v>
      </c>
      <c r="AB495" s="134"/>
      <c r="AC495" s="134"/>
      <c r="AD495" s="134"/>
      <c r="AE495" s="134"/>
      <c r="AF495" s="134"/>
      <c r="AG495" s="134"/>
      <c r="AH495" s="134"/>
      <c r="AI495" s="134"/>
      <c r="AJ495" s="134"/>
      <c r="AK495" s="134"/>
      <c r="AL495" s="134"/>
      <c r="AM495" s="136"/>
      <c r="AN495" s="132" t="s">
        <v>2647</v>
      </c>
      <c r="AO495" s="132" t="s">
        <v>2636</v>
      </c>
      <c r="AP495" s="132" t="s">
        <v>4258</v>
      </c>
    </row>
    <row r="496" spans="1:42">
      <c r="A496" s="129" t="s">
        <v>4338</v>
      </c>
      <c r="B496" s="130">
        <v>46109</v>
      </c>
      <c r="C496" s="131">
        <v>0.691157407407407</v>
      </c>
      <c r="D496" s="130">
        <v>46109</v>
      </c>
      <c r="E496" s="131">
        <v>0.691909722222222</v>
      </c>
      <c r="F496" s="132" t="s">
        <v>4339</v>
      </c>
      <c r="G496" s="130">
        <v>46099</v>
      </c>
      <c r="H496" s="132">
        <v>2567674969</v>
      </c>
      <c r="I496" s="132" t="s">
        <v>4340</v>
      </c>
      <c r="J496" s="132" t="s">
        <v>2199</v>
      </c>
      <c r="K496" s="132" t="s">
        <v>2371</v>
      </c>
      <c r="L496" s="132" t="s">
        <v>2372</v>
      </c>
      <c r="M496" s="132" t="s">
        <v>2331</v>
      </c>
      <c r="N496" s="132" t="s">
        <v>4341</v>
      </c>
      <c r="O496" s="134"/>
      <c r="P496" s="132">
        <v>4896383</v>
      </c>
      <c r="Q496" s="132" t="s">
        <v>2584</v>
      </c>
      <c r="R496" s="132" t="s">
        <v>2435</v>
      </c>
      <c r="S496" s="132" t="s">
        <v>2850</v>
      </c>
      <c r="T496" s="132">
        <v>881399.82</v>
      </c>
      <c r="U496" s="134"/>
      <c r="V496" s="132" t="s">
        <v>2378</v>
      </c>
      <c r="W496" s="132">
        <v>261502000000000</v>
      </c>
      <c r="X496" s="130">
        <v>46109</v>
      </c>
      <c r="Y496" s="132">
        <v>2046321</v>
      </c>
      <c r="Z496" s="132" t="s">
        <v>4340</v>
      </c>
      <c r="AA496" s="132">
        <v>0.02</v>
      </c>
      <c r="AB496" s="134"/>
      <c r="AC496" s="134"/>
      <c r="AD496" s="134"/>
      <c r="AE496" s="134"/>
      <c r="AF496" s="134"/>
      <c r="AG496" s="134"/>
      <c r="AH496" s="134"/>
      <c r="AI496" s="134"/>
      <c r="AJ496" s="134"/>
      <c r="AK496" s="134"/>
      <c r="AL496" s="134"/>
      <c r="AM496" s="136"/>
      <c r="AN496" s="132" t="s">
        <v>2851</v>
      </c>
      <c r="AO496" s="132" t="s">
        <v>2346</v>
      </c>
      <c r="AP496" s="132" t="s">
        <v>4281</v>
      </c>
    </row>
    <row r="497" spans="1:42">
      <c r="A497" s="129" t="s">
        <v>1358</v>
      </c>
      <c r="B497" s="130">
        <v>46109</v>
      </c>
      <c r="C497" s="131">
        <v>0.691354166666667</v>
      </c>
      <c r="D497" s="130">
        <v>46109</v>
      </c>
      <c r="E497" s="131">
        <v>0.691909722222222</v>
      </c>
      <c r="F497" s="132" t="s">
        <v>1355</v>
      </c>
      <c r="G497" s="130">
        <v>45948</v>
      </c>
      <c r="H497" s="132">
        <v>2565058125</v>
      </c>
      <c r="I497" s="132" t="s">
        <v>1338</v>
      </c>
      <c r="J497" s="132" t="s">
        <v>2141</v>
      </c>
      <c r="K497" s="132" t="s">
        <v>2329</v>
      </c>
      <c r="L497" s="132" t="s">
        <v>2330</v>
      </c>
      <c r="M497" s="132" t="s">
        <v>2331</v>
      </c>
      <c r="N497" s="132" t="s">
        <v>4342</v>
      </c>
      <c r="O497" s="134"/>
      <c r="P497" s="132" t="s">
        <v>1357</v>
      </c>
      <c r="Q497" s="132" t="s">
        <v>3167</v>
      </c>
      <c r="R497" s="132" t="s">
        <v>2335</v>
      </c>
      <c r="S497" s="132" t="s">
        <v>3131</v>
      </c>
      <c r="T497" s="132">
        <v>603799.87</v>
      </c>
      <c r="U497" s="132">
        <v>538911</v>
      </c>
      <c r="V497" s="132" t="s">
        <v>2337</v>
      </c>
      <c r="W497" s="132">
        <v>261501000000000</v>
      </c>
      <c r="X497" s="130">
        <v>46109</v>
      </c>
      <c r="Y497" s="132">
        <v>1934125</v>
      </c>
      <c r="Z497" s="132" t="s">
        <v>1338</v>
      </c>
      <c r="AA497" s="132">
        <v>0.02</v>
      </c>
      <c r="AB497" s="134"/>
      <c r="AC497" s="134"/>
      <c r="AD497" s="134"/>
      <c r="AE497" s="134"/>
      <c r="AF497" s="134"/>
      <c r="AG497" s="134"/>
      <c r="AH497" s="134"/>
      <c r="AI497" s="134"/>
      <c r="AJ497" s="134"/>
      <c r="AK497" s="134"/>
      <c r="AL497" s="134"/>
      <c r="AM497" s="136"/>
      <c r="AN497" s="132" t="s">
        <v>3222</v>
      </c>
      <c r="AO497" s="132" t="s">
        <v>3223</v>
      </c>
      <c r="AP497" s="132" t="s">
        <v>4254</v>
      </c>
    </row>
    <row r="498" spans="1:42">
      <c r="A498" s="129" t="s">
        <v>1362</v>
      </c>
      <c r="B498" s="130">
        <v>46109</v>
      </c>
      <c r="C498" s="131">
        <v>0.69662037037037</v>
      </c>
      <c r="D498" s="130">
        <v>46109</v>
      </c>
      <c r="E498" s="131">
        <v>0.698946759259259</v>
      </c>
      <c r="F498" s="132" t="s">
        <v>1359</v>
      </c>
      <c r="G498" s="130">
        <v>45948</v>
      </c>
      <c r="H498" s="132">
        <v>2565057350</v>
      </c>
      <c r="I498" s="132" t="s">
        <v>1338</v>
      </c>
      <c r="J498" s="132" t="s">
        <v>2141</v>
      </c>
      <c r="K498" s="132" t="s">
        <v>2329</v>
      </c>
      <c r="L498" s="132" t="s">
        <v>2330</v>
      </c>
      <c r="M498" s="132" t="s">
        <v>2331</v>
      </c>
      <c r="N498" s="132" t="s">
        <v>4343</v>
      </c>
      <c r="O498" s="134"/>
      <c r="P498" s="132" t="s">
        <v>1361</v>
      </c>
      <c r="Q498" s="132" t="s">
        <v>3167</v>
      </c>
      <c r="R498" s="132" t="s">
        <v>2335</v>
      </c>
      <c r="S498" s="132" t="s">
        <v>3131</v>
      </c>
      <c r="T498" s="132">
        <v>603799.87</v>
      </c>
      <c r="U498" s="132">
        <v>538911</v>
      </c>
      <c r="V498" s="132" t="s">
        <v>2337</v>
      </c>
      <c r="W498" s="132">
        <v>261501000000000</v>
      </c>
      <c r="X498" s="130">
        <v>46109</v>
      </c>
      <c r="Y498" s="132">
        <v>1934125</v>
      </c>
      <c r="Z498" s="132" t="s">
        <v>1338</v>
      </c>
      <c r="AA498" s="132">
        <v>0.02</v>
      </c>
      <c r="AB498" s="134"/>
      <c r="AC498" s="134"/>
      <c r="AD498" s="134"/>
      <c r="AE498" s="134"/>
      <c r="AF498" s="134"/>
      <c r="AG498" s="134"/>
      <c r="AH498" s="134"/>
      <c r="AI498" s="134"/>
      <c r="AJ498" s="134"/>
      <c r="AK498" s="134"/>
      <c r="AL498" s="134"/>
      <c r="AM498" s="136"/>
      <c r="AN498" s="132" t="s">
        <v>4298</v>
      </c>
      <c r="AO498" s="132" t="s">
        <v>2346</v>
      </c>
      <c r="AP498" s="132" t="s">
        <v>4254</v>
      </c>
    </row>
    <row r="499" spans="1:42">
      <c r="A499" s="129" t="s">
        <v>4344</v>
      </c>
      <c r="B499" s="130">
        <v>46109</v>
      </c>
      <c r="C499" s="131">
        <v>0.6971875</v>
      </c>
      <c r="D499" s="130">
        <v>46109</v>
      </c>
      <c r="E499" s="131">
        <v>0.698946759259259</v>
      </c>
      <c r="F499" s="132" t="s">
        <v>4345</v>
      </c>
      <c r="G499" s="130">
        <v>46076</v>
      </c>
      <c r="H499" s="132">
        <v>2567282653</v>
      </c>
      <c r="I499" s="132" t="s">
        <v>4346</v>
      </c>
      <c r="J499" s="132" t="s">
        <v>2222</v>
      </c>
      <c r="K499" s="132" t="s">
        <v>2357</v>
      </c>
      <c r="L499" s="132" t="s">
        <v>2358</v>
      </c>
      <c r="M499" s="132" t="s">
        <v>2331</v>
      </c>
      <c r="N499" s="132" t="s">
        <v>4347</v>
      </c>
      <c r="O499" s="134"/>
      <c r="P499" s="132">
        <v>4895959</v>
      </c>
      <c r="Q499" s="132" t="s">
        <v>2759</v>
      </c>
      <c r="R499" s="132" t="s">
        <v>2435</v>
      </c>
      <c r="S499" s="132" t="s">
        <v>2363</v>
      </c>
      <c r="T499" s="132">
        <v>578900</v>
      </c>
      <c r="U499" s="132">
        <v>500000</v>
      </c>
      <c r="V499" s="132" t="s">
        <v>2364</v>
      </c>
      <c r="W499" s="132">
        <v>261534000000000</v>
      </c>
      <c r="X499" s="130">
        <v>46109</v>
      </c>
      <c r="Y499" s="132">
        <v>2037782</v>
      </c>
      <c r="Z499" s="132" t="s">
        <v>4346</v>
      </c>
      <c r="AA499" s="132">
        <v>0.01</v>
      </c>
      <c r="AB499" s="134"/>
      <c r="AC499" s="134"/>
      <c r="AD499" s="134"/>
      <c r="AE499" s="134"/>
      <c r="AF499" s="134"/>
      <c r="AG499" s="134"/>
      <c r="AH499" s="134"/>
      <c r="AI499" s="134"/>
      <c r="AJ499" s="134"/>
      <c r="AK499" s="134"/>
      <c r="AL499" s="134"/>
      <c r="AM499" s="136"/>
      <c r="AN499" s="132" t="s">
        <v>3182</v>
      </c>
      <c r="AO499" s="132" t="s">
        <v>2346</v>
      </c>
      <c r="AP499" s="132" t="s">
        <v>4258</v>
      </c>
    </row>
    <row r="500" spans="1:42">
      <c r="A500" s="129" t="s">
        <v>1366</v>
      </c>
      <c r="B500" s="130">
        <v>46109</v>
      </c>
      <c r="C500" s="131">
        <v>0.699826388888889</v>
      </c>
      <c r="D500" s="130">
        <v>46109</v>
      </c>
      <c r="E500" s="131">
        <v>0.702291666666667</v>
      </c>
      <c r="F500" s="132" t="s">
        <v>1363</v>
      </c>
      <c r="G500" s="130">
        <v>45948</v>
      </c>
      <c r="H500" s="132">
        <v>2565057634</v>
      </c>
      <c r="I500" s="132" t="s">
        <v>1338</v>
      </c>
      <c r="J500" s="132" t="s">
        <v>2141</v>
      </c>
      <c r="K500" s="132" t="s">
        <v>2329</v>
      </c>
      <c r="L500" s="132" t="s">
        <v>2330</v>
      </c>
      <c r="M500" s="132" t="s">
        <v>2331</v>
      </c>
      <c r="N500" s="132" t="s">
        <v>4348</v>
      </c>
      <c r="O500" s="134"/>
      <c r="P500" s="132" t="s">
        <v>1365</v>
      </c>
      <c r="Q500" s="132" t="s">
        <v>3167</v>
      </c>
      <c r="R500" s="132" t="s">
        <v>2335</v>
      </c>
      <c r="S500" s="132" t="s">
        <v>3131</v>
      </c>
      <c r="T500" s="132">
        <v>603799.87</v>
      </c>
      <c r="U500" s="132">
        <v>538911</v>
      </c>
      <c r="V500" s="132" t="s">
        <v>2337</v>
      </c>
      <c r="W500" s="132">
        <v>261501000000000</v>
      </c>
      <c r="X500" s="130">
        <v>46109</v>
      </c>
      <c r="Y500" s="132">
        <v>1934125</v>
      </c>
      <c r="Z500" s="132" t="s">
        <v>1338</v>
      </c>
      <c r="AA500" s="132">
        <v>0.02</v>
      </c>
      <c r="AB500" s="134"/>
      <c r="AC500" s="134"/>
      <c r="AD500" s="134"/>
      <c r="AE500" s="134"/>
      <c r="AF500" s="134"/>
      <c r="AG500" s="134"/>
      <c r="AH500" s="134"/>
      <c r="AI500" s="134"/>
      <c r="AJ500" s="134"/>
      <c r="AK500" s="134"/>
      <c r="AL500" s="134"/>
      <c r="AM500" s="136"/>
      <c r="AN500" s="132" t="s">
        <v>4298</v>
      </c>
      <c r="AO500" s="132" t="s">
        <v>2888</v>
      </c>
      <c r="AP500" s="132" t="s">
        <v>4254</v>
      </c>
    </row>
    <row r="501" spans="1:42">
      <c r="A501" s="129" t="s">
        <v>4349</v>
      </c>
      <c r="B501" s="130">
        <v>46109</v>
      </c>
      <c r="C501" s="131">
        <v>0.705625</v>
      </c>
      <c r="D501" s="130">
        <v>46109</v>
      </c>
      <c r="E501" s="131">
        <v>0.705833333333333</v>
      </c>
      <c r="F501" s="132" t="s">
        <v>4350</v>
      </c>
      <c r="G501" s="130">
        <v>46105</v>
      </c>
      <c r="H501" s="132">
        <v>2567773231</v>
      </c>
      <c r="I501" s="132" t="s">
        <v>4351</v>
      </c>
      <c r="J501" s="132" t="s">
        <v>2213</v>
      </c>
      <c r="K501" s="132" t="s">
        <v>2454</v>
      </c>
      <c r="L501" s="132" t="s">
        <v>2455</v>
      </c>
      <c r="M501" s="132" t="s">
        <v>2331</v>
      </c>
      <c r="N501" s="132" t="s">
        <v>4352</v>
      </c>
      <c r="O501" s="134"/>
      <c r="P501" s="132" t="s">
        <v>4353</v>
      </c>
      <c r="Q501" s="132" t="s">
        <v>2788</v>
      </c>
      <c r="R501" s="132" t="s">
        <v>2376</v>
      </c>
      <c r="S501" s="132" t="s">
        <v>3210</v>
      </c>
      <c r="T501" s="132">
        <v>471400.25</v>
      </c>
      <c r="U501" s="132">
        <v>394500</v>
      </c>
      <c r="V501" s="132" t="s">
        <v>2460</v>
      </c>
      <c r="W501" s="132">
        <v>261532000000000</v>
      </c>
      <c r="X501" s="130">
        <v>46109</v>
      </c>
      <c r="Y501" s="132">
        <v>2050121</v>
      </c>
      <c r="Z501" s="132" t="s">
        <v>4351</v>
      </c>
      <c r="AA501" s="132">
        <v>-0.04</v>
      </c>
      <c r="AB501" s="134"/>
      <c r="AC501" s="134"/>
      <c r="AD501" s="134"/>
      <c r="AE501" s="134"/>
      <c r="AF501" s="134"/>
      <c r="AG501" s="134"/>
      <c r="AH501" s="134"/>
      <c r="AI501" s="134"/>
      <c r="AJ501" s="134"/>
      <c r="AK501" s="134"/>
      <c r="AL501" s="134"/>
      <c r="AM501" s="136"/>
      <c r="AN501" s="132" t="s">
        <v>2346</v>
      </c>
      <c r="AO501" s="132" t="s">
        <v>2346</v>
      </c>
      <c r="AP501" s="132" t="s">
        <v>4354</v>
      </c>
    </row>
    <row r="502" spans="1:42">
      <c r="A502" s="129" t="s">
        <v>1387</v>
      </c>
      <c r="B502" s="130">
        <v>46109</v>
      </c>
      <c r="C502" s="131">
        <v>0.70625</v>
      </c>
      <c r="D502" s="130">
        <v>46109</v>
      </c>
      <c r="E502" s="131">
        <v>0.709282407407407</v>
      </c>
      <c r="F502" s="132" t="s">
        <v>1384</v>
      </c>
      <c r="G502" s="130">
        <v>46087</v>
      </c>
      <c r="H502" s="132">
        <v>2567461007</v>
      </c>
      <c r="I502" s="132" t="s">
        <v>1388</v>
      </c>
      <c r="J502" s="132" t="s">
        <v>2151</v>
      </c>
      <c r="K502" s="132" t="s">
        <v>2414</v>
      </c>
      <c r="L502" s="132" t="s">
        <v>2415</v>
      </c>
      <c r="M502" s="132" t="s">
        <v>2331</v>
      </c>
      <c r="N502" s="132" t="s">
        <v>4355</v>
      </c>
      <c r="O502" s="134"/>
      <c r="P502" s="132">
        <v>1427894</v>
      </c>
      <c r="Q502" s="132" t="s">
        <v>4076</v>
      </c>
      <c r="R502" s="132" t="s">
        <v>2984</v>
      </c>
      <c r="S502" s="132" t="s">
        <v>4114</v>
      </c>
      <c r="T502" s="132">
        <v>606899.88</v>
      </c>
      <c r="U502" s="134"/>
      <c r="V502" s="132" t="s">
        <v>2419</v>
      </c>
      <c r="W502" s="132">
        <v>261503000000000</v>
      </c>
      <c r="X502" s="130">
        <v>46109</v>
      </c>
      <c r="Y502" s="132">
        <v>2041798</v>
      </c>
      <c r="Z502" s="132" t="s">
        <v>1388</v>
      </c>
      <c r="AA502" s="132">
        <v>0.02</v>
      </c>
      <c r="AB502" s="134"/>
      <c r="AC502" s="134"/>
      <c r="AD502" s="134"/>
      <c r="AE502" s="134"/>
      <c r="AF502" s="134"/>
      <c r="AG502" s="134"/>
      <c r="AH502" s="134"/>
      <c r="AI502" s="134"/>
      <c r="AJ502" s="134"/>
      <c r="AK502" s="134"/>
      <c r="AL502" s="134"/>
      <c r="AM502" s="136"/>
      <c r="AN502" s="132" t="s">
        <v>4083</v>
      </c>
      <c r="AO502" s="132" t="s">
        <v>2421</v>
      </c>
      <c r="AP502" s="132" t="s">
        <v>4356</v>
      </c>
    </row>
    <row r="503" spans="1:42">
      <c r="A503" s="129" t="s">
        <v>4357</v>
      </c>
      <c r="B503" s="130">
        <v>46109</v>
      </c>
      <c r="C503" s="131">
        <v>0.712523148148148</v>
      </c>
      <c r="D503" s="130">
        <v>46109</v>
      </c>
      <c r="E503" s="131">
        <v>0.712766203703704</v>
      </c>
      <c r="F503" s="132" t="s">
        <v>3943</v>
      </c>
      <c r="G503" s="130">
        <v>46105</v>
      </c>
      <c r="H503" s="132">
        <v>2567782234</v>
      </c>
      <c r="I503" s="132" t="s">
        <v>4325</v>
      </c>
      <c r="J503" s="132" t="s">
        <v>2213</v>
      </c>
      <c r="K503" s="132" t="s">
        <v>2454</v>
      </c>
      <c r="L503" s="132" t="s">
        <v>2455</v>
      </c>
      <c r="M503" s="132" t="s">
        <v>2331</v>
      </c>
      <c r="N503" s="132" t="s">
        <v>4326</v>
      </c>
      <c r="O503" s="134"/>
      <c r="P503" s="132" t="s">
        <v>4327</v>
      </c>
      <c r="Q503" s="132" t="s">
        <v>2417</v>
      </c>
      <c r="R503" s="132" t="s">
        <v>2376</v>
      </c>
      <c r="S503" s="132" t="s">
        <v>4089</v>
      </c>
      <c r="T503" s="132">
        <v>1032117.46</v>
      </c>
      <c r="U503" s="134"/>
      <c r="V503" s="132" t="s">
        <v>2460</v>
      </c>
      <c r="W503" s="132">
        <v>261532000000000</v>
      </c>
      <c r="X503" s="130">
        <v>46109</v>
      </c>
      <c r="Y503" s="132">
        <v>2048508</v>
      </c>
      <c r="Z503" s="132" t="s">
        <v>4325</v>
      </c>
      <c r="AA503" s="132">
        <v>0.04</v>
      </c>
      <c r="AB503" s="134"/>
      <c r="AC503" s="134"/>
      <c r="AD503" s="134"/>
      <c r="AE503" s="134"/>
      <c r="AF503" s="134"/>
      <c r="AG503" s="134"/>
      <c r="AH503" s="134"/>
      <c r="AI503" s="134"/>
      <c r="AJ503" s="134"/>
      <c r="AK503" s="134"/>
      <c r="AL503" s="134"/>
      <c r="AM503" s="136"/>
      <c r="AN503" s="132" t="s">
        <v>3710</v>
      </c>
      <c r="AO503" s="132" t="s">
        <v>2408</v>
      </c>
      <c r="AP503" s="132" t="s">
        <v>4258</v>
      </c>
    </row>
    <row r="504" spans="1:42">
      <c r="A504" s="129" t="s">
        <v>1370</v>
      </c>
      <c r="B504" s="130">
        <v>46109</v>
      </c>
      <c r="C504" s="131">
        <v>0.716909722222222</v>
      </c>
      <c r="D504" s="130">
        <v>46109</v>
      </c>
      <c r="E504" s="131">
        <v>0.719641203703704</v>
      </c>
      <c r="F504" s="132" t="s">
        <v>1367</v>
      </c>
      <c r="G504" s="130">
        <v>45948</v>
      </c>
      <c r="H504" s="132">
        <v>2565057996</v>
      </c>
      <c r="I504" s="132" t="s">
        <v>1338</v>
      </c>
      <c r="J504" s="132" t="s">
        <v>2141</v>
      </c>
      <c r="K504" s="132" t="s">
        <v>2329</v>
      </c>
      <c r="L504" s="132" t="s">
        <v>2330</v>
      </c>
      <c r="M504" s="132" t="s">
        <v>2331</v>
      </c>
      <c r="N504" s="132" t="s">
        <v>4358</v>
      </c>
      <c r="O504" s="134"/>
      <c r="P504" s="132" t="s">
        <v>1369</v>
      </c>
      <c r="Q504" s="132" t="s">
        <v>3167</v>
      </c>
      <c r="R504" s="132" t="s">
        <v>2335</v>
      </c>
      <c r="S504" s="132" t="s">
        <v>3131</v>
      </c>
      <c r="T504" s="132">
        <v>603799.87</v>
      </c>
      <c r="U504" s="132">
        <v>538911</v>
      </c>
      <c r="V504" s="132" t="s">
        <v>2337</v>
      </c>
      <c r="W504" s="132">
        <v>261501000000000</v>
      </c>
      <c r="X504" s="130">
        <v>46109</v>
      </c>
      <c r="Y504" s="132">
        <v>1934125</v>
      </c>
      <c r="Z504" s="132" t="s">
        <v>1338</v>
      </c>
      <c r="AA504" s="132">
        <v>0.02</v>
      </c>
      <c r="AB504" s="134"/>
      <c r="AC504" s="134"/>
      <c r="AD504" s="134"/>
      <c r="AE504" s="134"/>
      <c r="AF504" s="134"/>
      <c r="AG504" s="134"/>
      <c r="AH504" s="134"/>
      <c r="AI504" s="134"/>
      <c r="AJ504" s="134"/>
      <c r="AK504" s="134"/>
      <c r="AL504" s="134"/>
      <c r="AM504" s="136"/>
      <c r="AN504" s="132" t="s">
        <v>4298</v>
      </c>
      <c r="AO504" s="132" t="s">
        <v>2346</v>
      </c>
      <c r="AP504" s="132" t="s">
        <v>4254</v>
      </c>
    </row>
    <row r="505" spans="1:42">
      <c r="A505" s="129" t="s">
        <v>1374</v>
      </c>
      <c r="B505" s="130">
        <v>46109</v>
      </c>
      <c r="C505" s="131">
        <v>0.719976851851852</v>
      </c>
      <c r="D505" s="130">
        <v>46109</v>
      </c>
      <c r="E505" s="131">
        <v>0.72318287037037</v>
      </c>
      <c r="F505" s="132" t="s">
        <v>1371</v>
      </c>
      <c r="G505" s="130">
        <v>45948</v>
      </c>
      <c r="H505" s="132">
        <v>2565057540</v>
      </c>
      <c r="I505" s="132" t="s">
        <v>1338</v>
      </c>
      <c r="J505" s="132" t="s">
        <v>2141</v>
      </c>
      <c r="K505" s="132" t="s">
        <v>2329</v>
      </c>
      <c r="L505" s="132" t="s">
        <v>2330</v>
      </c>
      <c r="M505" s="132" t="s">
        <v>2331</v>
      </c>
      <c r="N505" s="132" t="s">
        <v>4359</v>
      </c>
      <c r="O505" s="134"/>
      <c r="P505" s="132" t="s">
        <v>1373</v>
      </c>
      <c r="Q505" s="132" t="s">
        <v>3167</v>
      </c>
      <c r="R505" s="132" t="s">
        <v>2335</v>
      </c>
      <c r="S505" s="132" t="s">
        <v>3131</v>
      </c>
      <c r="T505" s="132">
        <v>603799.87</v>
      </c>
      <c r="U505" s="132">
        <v>538911</v>
      </c>
      <c r="V505" s="132" t="s">
        <v>2337</v>
      </c>
      <c r="W505" s="132">
        <v>261501000000000</v>
      </c>
      <c r="X505" s="130">
        <v>46109</v>
      </c>
      <c r="Y505" s="132">
        <v>1934125</v>
      </c>
      <c r="Z505" s="132" t="s">
        <v>1338</v>
      </c>
      <c r="AA505" s="132">
        <v>0.02</v>
      </c>
      <c r="AB505" s="134"/>
      <c r="AC505" s="134"/>
      <c r="AD505" s="134"/>
      <c r="AE505" s="134"/>
      <c r="AF505" s="134"/>
      <c r="AG505" s="134"/>
      <c r="AH505" s="134"/>
      <c r="AI505" s="134"/>
      <c r="AJ505" s="134"/>
      <c r="AK505" s="134"/>
      <c r="AL505" s="134"/>
      <c r="AM505" s="136"/>
      <c r="AN505" s="132" t="s">
        <v>4298</v>
      </c>
      <c r="AO505" s="132" t="s">
        <v>2346</v>
      </c>
      <c r="AP505" s="132" t="s">
        <v>4254</v>
      </c>
    </row>
    <row r="506" spans="1:42">
      <c r="A506" s="129" t="s">
        <v>1392</v>
      </c>
      <c r="B506" s="130">
        <v>46109</v>
      </c>
      <c r="C506" s="131">
        <v>0.720706018518519</v>
      </c>
      <c r="D506" s="130">
        <v>46109</v>
      </c>
      <c r="E506" s="131">
        <v>0.72318287037037</v>
      </c>
      <c r="F506" s="132" t="s">
        <v>1389</v>
      </c>
      <c r="G506" s="130">
        <v>46097</v>
      </c>
      <c r="H506" s="132">
        <v>2567610167</v>
      </c>
      <c r="I506" s="132" t="s">
        <v>1393</v>
      </c>
      <c r="J506" s="132" t="s">
        <v>2151</v>
      </c>
      <c r="K506" s="132" t="s">
        <v>2414</v>
      </c>
      <c r="L506" s="132" t="s">
        <v>2415</v>
      </c>
      <c r="M506" s="132" t="s">
        <v>2331</v>
      </c>
      <c r="N506" s="132" t="s">
        <v>4360</v>
      </c>
      <c r="O506" s="134"/>
      <c r="P506" s="132">
        <v>9260259</v>
      </c>
      <c r="Q506" s="132" t="s">
        <v>2763</v>
      </c>
      <c r="R506" s="132" t="s">
        <v>2764</v>
      </c>
      <c r="S506" s="132" t="s">
        <v>3218</v>
      </c>
      <c r="T506" s="132">
        <v>605800.35</v>
      </c>
      <c r="U506" s="134"/>
      <c r="V506" s="132" t="s">
        <v>2419</v>
      </c>
      <c r="W506" s="132">
        <v>261503000000000</v>
      </c>
      <c r="X506" s="130">
        <v>46109</v>
      </c>
      <c r="Y506" s="132">
        <v>2045292</v>
      </c>
      <c r="Z506" s="132" t="s">
        <v>1393</v>
      </c>
      <c r="AA506" s="132">
        <v>0</v>
      </c>
      <c r="AB506" s="134"/>
      <c r="AC506" s="134"/>
      <c r="AD506" s="134"/>
      <c r="AE506" s="134"/>
      <c r="AF506" s="134"/>
      <c r="AG506" s="134"/>
      <c r="AH506" s="134"/>
      <c r="AI506" s="134"/>
      <c r="AJ506" s="134"/>
      <c r="AK506" s="134"/>
      <c r="AL506" s="134"/>
      <c r="AM506" s="136"/>
      <c r="AN506" s="132" t="s">
        <v>3536</v>
      </c>
      <c r="AO506" s="132" t="s">
        <v>3296</v>
      </c>
      <c r="AP506" s="132" t="s">
        <v>4356</v>
      </c>
    </row>
    <row r="507" spans="1:42">
      <c r="A507" s="129" t="s">
        <v>1378</v>
      </c>
      <c r="B507" s="130">
        <v>46109</v>
      </c>
      <c r="C507" s="131">
        <v>0.724340277777778</v>
      </c>
      <c r="D507" s="130">
        <v>46109</v>
      </c>
      <c r="E507" s="131">
        <v>0.726631944444444</v>
      </c>
      <c r="F507" s="132" t="s">
        <v>1375</v>
      </c>
      <c r="G507" s="130">
        <v>45948</v>
      </c>
      <c r="H507" s="132">
        <v>2565057855</v>
      </c>
      <c r="I507" s="132" t="s">
        <v>1338</v>
      </c>
      <c r="J507" s="132" t="s">
        <v>2141</v>
      </c>
      <c r="K507" s="132" t="s">
        <v>2329</v>
      </c>
      <c r="L507" s="132" t="s">
        <v>2330</v>
      </c>
      <c r="M507" s="132" t="s">
        <v>2331</v>
      </c>
      <c r="N507" s="132" t="s">
        <v>4361</v>
      </c>
      <c r="O507" s="134"/>
      <c r="P507" s="132" t="s">
        <v>1377</v>
      </c>
      <c r="Q507" s="132" t="s">
        <v>3167</v>
      </c>
      <c r="R507" s="132" t="s">
        <v>2335</v>
      </c>
      <c r="S507" s="132" t="s">
        <v>3131</v>
      </c>
      <c r="T507" s="132">
        <v>603799.87</v>
      </c>
      <c r="U507" s="132">
        <v>538911</v>
      </c>
      <c r="V507" s="132" t="s">
        <v>2337</v>
      </c>
      <c r="W507" s="132">
        <v>261501000000000</v>
      </c>
      <c r="X507" s="130">
        <v>46109</v>
      </c>
      <c r="Y507" s="132">
        <v>1934125</v>
      </c>
      <c r="Z507" s="132" t="s">
        <v>1338</v>
      </c>
      <c r="AA507" s="132">
        <v>0.02</v>
      </c>
      <c r="AB507" s="134"/>
      <c r="AC507" s="134"/>
      <c r="AD507" s="134"/>
      <c r="AE507" s="134"/>
      <c r="AF507" s="134"/>
      <c r="AG507" s="134"/>
      <c r="AH507" s="134"/>
      <c r="AI507" s="134"/>
      <c r="AJ507" s="134"/>
      <c r="AK507" s="134"/>
      <c r="AL507" s="134"/>
      <c r="AM507" s="136"/>
      <c r="AN507" s="132" t="s">
        <v>4298</v>
      </c>
      <c r="AO507" s="132" t="s">
        <v>2346</v>
      </c>
      <c r="AP507" s="132" t="s">
        <v>4254</v>
      </c>
    </row>
    <row r="508" spans="1:42">
      <c r="A508" s="129" t="s">
        <v>4362</v>
      </c>
      <c r="B508" s="130">
        <v>46109</v>
      </c>
      <c r="C508" s="131">
        <v>0.724456018518518</v>
      </c>
      <c r="D508" s="130">
        <v>46109</v>
      </c>
      <c r="E508" s="131">
        <v>0.726631944444444</v>
      </c>
      <c r="F508" s="132" t="s">
        <v>4071</v>
      </c>
      <c r="G508" s="130">
        <v>46107</v>
      </c>
      <c r="H508" s="132">
        <v>2567827855</v>
      </c>
      <c r="I508" s="132" t="s">
        <v>4363</v>
      </c>
      <c r="J508" s="132" t="s">
        <v>2213</v>
      </c>
      <c r="K508" s="132" t="s">
        <v>2454</v>
      </c>
      <c r="L508" s="132" t="s">
        <v>2455</v>
      </c>
      <c r="M508" s="132" t="s">
        <v>2331</v>
      </c>
      <c r="N508" s="132" t="s">
        <v>4364</v>
      </c>
      <c r="O508" s="134"/>
      <c r="P508" s="132">
        <v>9261655</v>
      </c>
      <c r="Q508" s="132" t="s">
        <v>2763</v>
      </c>
      <c r="R508" s="132" t="s">
        <v>2344</v>
      </c>
      <c r="S508" s="132" t="s">
        <v>3144</v>
      </c>
      <c r="T508" s="132">
        <v>598900.32</v>
      </c>
      <c r="U508" s="132">
        <v>595900</v>
      </c>
      <c r="V508" s="132" t="s">
        <v>2460</v>
      </c>
      <c r="W508" s="132">
        <v>261532000000000</v>
      </c>
      <c r="X508" s="130">
        <v>46109</v>
      </c>
      <c r="Y508" s="132">
        <v>2049683</v>
      </c>
      <c r="Z508" s="132" t="s">
        <v>4363</v>
      </c>
      <c r="AA508" s="132">
        <v>0.01</v>
      </c>
      <c r="AB508" s="134"/>
      <c r="AC508" s="134"/>
      <c r="AD508" s="134"/>
      <c r="AE508" s="134"/>
      <c r="AF508" s="134"/>
      <c r="AG508" s="134"/>
      <c r="AH508" s="134"/>
      <c r="AI508" s="134"/>
      <c r="AJ508" s="134"/>
      <c r="AK508" s="134"/>
      <c r="AL508" s="134"/>
      <c r="AM508" s="136"/>
      <c r="AN508" s="132" t="s">
        <v>2346</v>
      </c>
      <c r="AO508" s="132" t="s">
        <v>2346</v>
      </c>
      <c r="AP508" s="132" t="s">
        <v>4354</v>
      </c>
    </row>
    <row r="509" spans="1:42">
      <c r="A509" s="129" t="s">
        <v>4365</v>
      </c>
      <c r="B509" s="130">
        <v>46109</v>
      </c>
      <c r="C509" s="131">
        <v>0.725092592592593</v>
      </c>
      <c r="D509" s="130">
        <v>46109</v>
      </c>
      <c r="E509" s="131">
        <v>0.726631944444444</v>
      </c>
      <c r="F509" s="132" t="s">
        <v>4366</v>
      </c>
      <c r="G509" s="130">
        <v>45972</v>
      </c>
      <c r="H509" s="132">
        <v>2565416496</v>
      </c>
      <c r="I509" s="132" t="s">
        <v>4367</v>
      </c>
      <c r="J509" s="132" t="s">
        <v>2203</v>
      </c>
      <c r="K509" s="132" t="s">
        <v>2526</v>
      </c>
      <c r="L509" s="132" t="s">
        <v>2527</v>
      </c>
      <c r="M509" s="132" t="s">
        <v>2331</v>
      </c>
      <c r="N509" s="132" t="s">
        <v>4368</v>
      </c>
      <c r="O509" s="134"/>
      <c r="P509" s="132">
        <v>7807840</v>
      </c>
      <c r="Q509" s="132" t="s">
        <v>2954</v>
      </c>
      <c r="R509" s="132" t="s">
        <v>2376</v>
      </c>
      <c r="S509" s="132" t="s">
        <v>2804</v>
      </c>
      <c r="T509" s="132">
        <v>844499.67</v>
      </c>
      <c r="U509" s="134"/>
      <c r="V509" s="132" t="s">
        <v>2532</v>
      </c>
      <c r="W509" s="132">
        <v>261536000000000</v>
      </c>
      <c r="X509" s="130">
        <v>46109</v>
      </c>
      <c r="Y509" s="132">
        <v>1989026</v>
      </c>
      <c r="Z509" s="132" t="s">
        <v>4367</v>
      </c>
      <c r="AA509" s="132">
        <v>0.02</v>
      </c>
      <c r="AB509" s="134"/>
      <c r="AC509" s="134"/>
      <c r="AD509" s="134"/>
      <c r="AE509" s="134"/>
      <c r="AF509" s="134"/>
      <c r="AG509" s="134"/>
      <c r="AH509" s="134"/>
      <c r="AI509" s="134"/>
      <c r="AJ509" s="134"/>
      <c r="AK509" s="134"/>
      <c r="AL509" s="134"/>
      <c r="AM509" s="136"/>
      <c r="AN509" s="132" t="s">
        <v>3295</v>
      </c>
      <c r="AO509" s="132" t="s">
        <v>3296</v>
      </c>
      <c r="AP509" s="132" t="s">
        <v>4356</v>
      </c>
    </row>
    <row r="510" spans="1:42">
      <c r="A510" s="129" t="s">
        <v>4369</v>
      </c>
      <c r="B510" s="130">
        <v>46109</v>
      </c>
      <c r="C510" s="131">
        <v>0.730034722222222</v>
      </c>
      <c r="D510" s="130">
        <v>46109</v>
      </c>
      <c r="E510" s="131">
        <v>0.730092592592593</v>
      </c>
      <c r="F510" s="132" t="s">
        <v>4151</v>
      </c>
      <c r="G510" s="130">
        <v>46109</v>
      </c>
      <c r="H510" s="132">
        <v>2567864493</v>
      </c>
      <c r="I510" s="132" t="s">
        <v>4370</v>
      </c>
      <c r="J510" s="132" t="s">
        <v>2213</v>
      </c>
      <c r="K510" s="132" t="s">
        <v>2454</v>
      </c>
      <c r="L510" s="132" t="s">
        <v>2455</v>
      </c>
      <c r="M510" s="132" t="s">
        <v>2331</v>
      </c>
      <c r="N510" s="132" t="s">
        <v>4371</v>
      </c>
      <c r="O510" s="134"/>
      <c r="P510" s="132" t="s">
        <v>4372</v>
      </c>
      <c r="Q510" s="132" t="s">
        <v>2548</v>
      </c>
      <c r="R510" s="132" t="s">
        <v>2458</v>
      </c>
      <c r="S510" s="132" t="s">
        <v>4007</v>
      </c>
      <c r="T510" s="132">
        <v>476800.48</v>
      </c>
      <c r="U510" s="134"/>
      <c r="V510" s="132" t="s">
        <v>2460</v>
      </c>
      <c r="W510" s="132">
        <v>261532000000000</v>
      </c>
      <c r="X510" s="130">
        <v>46109</v>
      </c>
      <c r="Y510" s="132">
        <v>2050165</v>
      </c>
      <c r="Z510" s="132" t="s">
        <v>4370</v>
      </c>
      <c r="AA510" s="132">
        <v>-0.05</v>
      </c>
      <c r="AB510" s="134"/>
      <c r="AC510" s="134"/>
      <c r="AD510" s="134"/>
      <c r="AE510" s="134"/>
      <c r="AF510" s="134"/>
      <c r="AG510" s="134"/>
      <c r="AH510" s="134"/>
      <c r="AI510" s="134"/>
      <c r="AJ510" s="134"/>
      <c r="AK510" s="134"/>
      <c r="AL510" s="134"/>
      <c r="AM510" s="136"/>
      <c r="AN510" s="132" t="s">
        <v>3200</v>
      </c>
      <c r="AO510" s="132" t="s">
        <v>2346</v>
      </c>
      <c r="AP510" s="132" t="s">
        <v>4373</v>
      </c>
    </row>
    <row r="511" spans="1:42">
      <c r="A511" s="129" t="s">
        <v>1382</v>
      </c>
      <c r="B511" s="130">
        <v>46109</v>
      </c>
      <c r="C511" s="131">
        <v>0.735127314814815</v>
      </c>
      <c r="D511" s="130">
        <v>46109</v>
      </c>
      <c r="E511" s="131">
        <v>0.740671296296296</v>
      </c>
      <c r="F511" s="132" t="s">
        <v>1379</v>
      </c>
      <c r="G511" s="130">
        <v>46108</v>
      </c>
      <c r="H511" s="132">
        <v>2567845023</v>
      </c>
      <c r="I511" s="132" t="s">
        <v>1383</v>
      </c>
      <c r="J511" s="132" t="s">
        <v>2141</v>
      </c>
      <c r="K511" s="132" t="s">
        <v>2329</v>
      </c>
      <c r="L511" s="132" t="s">
        <v>2330</v>
      </c>
      <c r="M511" s="132" t="s">
        <v>2331</v>
      </c>
      <c r="N511" s="132" t="s">
        <v>4374</v>
      </c>
      <c r="O511" s="134"/>
      <c r="P511" s="132">
        <v>1433529</v>
      </c>
      <c r="Q511" s="132" t="s">
        <v>2343</v>
      </c>
      <c r="R511" s="132" t="s">
        <v>2344</v>
      </c>
      <c r="S511" s="132" t="s">
        <v>2964</v>
      </c>
      <c r="T511" s="132">
        <v>567900.18</v>
      </c>
      <c r="U511" s="132">
        <v>548186</v>
      </c>
      <c r="V511" s="132" t="s">
        <v>2337</v>
      </c>
      <c r="W511" s="132">
        <v>261501000000000</v>
      </c>
      <c r="X511" s="130">
        <v>46109</v>
      </c>
      <c r="Y511" s="132">
        <v>2049317</v>
      </c>
      <c r="Z511" s="132" t="s">
        <v>1383</v>
      </c>
      <c r="AA511" s="132">
        <v>-0.04</v>
      </c>
      <c r="AB511" s="134"/>
      <c r="AC511" s="134"/>
      <c r="AD511" s="134"/>
      <c r="AE511" s="134"/>
      <c r="AF511" s="134"/>
      <c r="AG511" s="134"/>
      <c r="AH511" s="134"/>
      <c r="AI511" s="134"/>
      <c r="AJ511" s="134"/>
      <c r="AK511" s="134"/>
      <c r="AL511" s="134"/>
      <c r="AM511" s="136"/>
      <c r="AN511" s="132" t="s">
        <v>2427</v>
      </c>
      <c r="AO511" s="132" t="s">
        <v>2428</v>
      </c>
      <c r="AP511" s="132" t="s">
        <v>4375</v>
      </c>
    </row>
    <row r="512" spans="1:42">
      <c r="A512" s="129" t="s">
        <v>4376</v>
      </c>
      <c r="B512" s="130">
        <v>46109</v>
      </c>
      <c r="C512" s="131">
        <v>0.760914351851852</v>
      </c>
      <c r="D512" s="130">
        <v>46109</v>
      </c>
      <c r="E512" s="131">
        <v>0.761412037037037</v>
      </c>
      <c r="F512" s="132" t="s">
        <v>4377</v>
      </c>
      <c r="G512" s="130">
        <v>46109</v>
      </c>
      <c r="H512" s="132">
        <v>2567873503</v>
      </c>
      <c r="I512" s="132" t="s">
        <v>3031</v>
      </c>
      <c r="J512" s="132" t="s">
        <v>2226</v>
      </c>
      <c r="K512" s="132" t="s">
        <v>2566</v>
      </c>
      <c r="L512" s="132" t="s">
        <v>2567</v>
      </c>
      <c r="M512" s="132" t="s">
        <v>2331</v>
      </c>
      <c r="N512" s="132" t="s">
        <v>4378</v>
      </c>
      <c r="O512" s="134"/>
      <c r="P512" s="132">
        <v>7805530</v>
      </c>
      <c r="Q512" s="132" t="s">
        <v>2954</v>
      </c>
      <c r="R512" s="132" t="s">
        <v>2376</v>
      </c>
      <c r="S512" s="132" t="s">
        <v>4379</v>
      </c>
      <c r="T512" s="132">
        <v>842916.03</v>
      </c>
      <c r="U512" s="132">
        <v>782198</v>
      </c>
      <c r="V512" s="132" t="s">
        <v>2570</v>
      </c>
      <c r="W512" s="132">
        <v>261531000000000</v>
      </c>
      <c r="X512" s="130">
        <v>46109</v>
      </c>
      <c r="Y512" s="132">
        <v>1031003</v>
      </c>
      <c r="Z512" s="132" t="s">
        <v>3031</v>
      </c>
      <c r="AA512" s="132">
        <v>-0.04</v>
      </c>
      <c r="AB512" s="134"/>
      <c r="AC512" s="134"/>
      <c r="AD512" s="134"/>
      <c r="AE512" s="134"/>
      <c r="AF512" s="134"/>
      <c r="AG512" s="134"/>
      <c r="AH512" s="134"/>
      <c r="AI512" s="134"/>
      <c r="AJ512" s="134"/>
      <c r="AK512" s="134"/>
      <c r="AL512" s="134"/>
      <c r="AM512" s="136"/>
      <c r="AN512" s="132" t="s">
        <v>2346</v>
      </c>
      <c r="AO512" s="132" t="s">
        <v>2346</v>
      </c>
      <c r="AP512" s="132" t="s">
        <v>4380</v>
      </c>
    </row>
  </sheetData>
  <pageMargins left="0.75" right="0.75" top="1" bottom="1" header="0.5" footer="0.5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R33"/>
  <sheetViews>
    <sheetView topLeftCell="A22" workbookViewId="0">
      <selection activeCell="K157" sqref="K157"/>
    </sheetView>
  </sheetViews>
  <sheetFormatPr defaultColWidth="9" defaultRowHeight="15.75"/>
  <cols>
    <col min="3" max="3" width="19.625" customWidth="1"/>
    <col min="4" max="4" width="21.625" customWidth="1"/>
    <col min="5" max="5" width="19.625" customWidth="1"/>
    <col min="6" max="6" width="21.625" customWidth="1"/>
    <col min="7" max="7" width="9.125"/>
    <col min="10" max="10" width="9.125"/>
    <col min="11" max="11" width="21.625" customWidth="1"/>
    <col min="12" max="12" width="13.375" customWidth="1"/>
    <col min="13" max="13" width="7.625" customWidth="1"/>
    <col min="17" max="17" width="9.125"/>
    <col min="18" max="18" width="10.125"/>
    <col min="19" max="19" width="9.125"/>
  </cols>
  <sheetData>
    <row r="1" spans="4:5">
      <c r="D1" t="s">
        <v>4381</v>
      </c>
      <c r="E1" t="s">
        <v>49</v>
      </c>
    </row>
    <row r="2" spans="4:12">
      <c r="D2" s="104" t="s">
        <v>4382</v>
      </c>
      <c r="E2" s="105" t="s">
        <v>12</v>
      </c>
      <c r="F2" t="s">
        <v>4383</v>
      </c>
      <c r="K2" t="s">
        <v>4381</v>
      </c>
      <c r="L2" t="s">
        <v>49</v>
      </c>
    </row>
    <row r="3" spans="4:13">
      <c r="D3" s="104" t="s">
        <v>56</v>
      </c>
      <c r="E3" s="105" t="s">
        <v>14</v>
      </c>
      <c r="F3" t="s">
        <v>4383</v>
      </c>
      <c r="K3" s="104" t="s">
        <v>4382</v>
      </c>
      <c r="L3" s="105" t="s">
        <v>12</v>
      </c>
      <c r="M3" t="s">
        <v>4383</v>
      </c>
    </row>
    <row r="4" spans="4:13">
      <c r="D4" s="104" t="s">
        <v>4384</v>
      </c>
      <c r="E4" s="105" t="s">
        <v>16</v>
      </c>
      <c r="F4" t="s">
        <v>4385</v>
      </c>
      <c r="K4" s="104" t="s">
        <v>56</v>
      </c>
      <c r="L4" s="105" t="s">
        <v>14</v>
      </c>
      <c r="M4" t="s">
        <v>4383</v>
      </c>
    </row>
    <row r="5" spans="4:13">
      <c r="D5" s="59" t="s">
        <v>67</v>
      </c>
      <c r="E5" s="105" t="s">
        <v>18</v>
      </c>
      <c r="F5" t="s">
        <v>4383</v>
      </c>
      <c r="K5" s="104" t="s">
        <v>4384</v>
      </c>
      <c r="L5" s="105" t="s">
        <v>16</v>
      </c>
      <c r="M5" t="s">
        <v>4385</v>
      </c>
    </row>
    <row r="6" spans="4:13">
      <c r="D6" s="104" t="s">
        <v>69</v>
      </c>
      <c r="E6" s="105" t="s">
        <v>18</v>
      </c>
      <c r="F6" t="s">
        <v>4383</v>
      </c>
      <c r="K6" s="59" t="s">
        <v>67</v>
      </c>
      <c r="L6" s="105" t="s">
        <v>18</v>
      </c>
      <c r="M6" t="s">
        <v>4383</v>
      </c>
    </row>
    <row r="7" spans="4:13">
      <c r="D7" s="100" t="s">
        <v>74</v>
      </c>
      <c r="E7" s="105" t="s">
        <v>18</v>
      </c>
      <c r="F7" t="s">
        <v>4383</v>
      </c>
      <c r="K7" s="104" t="s">
        <v>69</v>
      </c>
      <c r="L7" s="105" t="s">
        <v>18</v>
      </c>
      <c r="M7" t="s">
        <v>4383</v>
      </c>
    </row>
    <row r="8" spans="4:13">
      <c r="D8" s="104" t="s">
        <v>79</v>
      </c>
      <c r="E8" s="105" t="s">
        <v>18</v>
      </c>
      <c r="F8" t="s">
        <v>4383</v>
      </c>
      <c r="K8" s="100" t="s">
        <v>74</v>
      </c>
      <c r="L8" s="105" t="s">
        <v>18</v>
      </c>
      <c r="M8" t="s">
        <v>4383</v>
      </c>
    </row>
    <row r="9" spans="4:13">
      <c r="D9" s="104" t="s">
        <v>88</v>
      </c>
      <c r="E9" s="105" t="s">
        <v>20</v>
      </c>
      <c r="F9" t="s">
        <v>4383</v>
      </c>
      <c r="K9" s="104" t="s">
        <v>79</v>
      </c>
      <c r="L9" s="105" t="s">
        <v>18</v>
      </c>
      <c r="M9" t="s">
        <v>4383</v>
      </c>
    </row>
    <row r="10" spans="4:13">
      <c r="D10" s="104" t="s">
        <v>4386</v>
      </c>
      <c r="E10" s="105" t="s">
        <v>22</v>
      </c>
      <c r="F10" t="s">
        <v>4383</v>
      </c>
      <c r="K10" s="104" t="s">
        <v>88</v>
      </c>
      <c r="L10" s="105" t="s">
        <v>20</v>
      </c>
      <c r="M10" t="s">
        <v>4383</v>
      </c>
    </row>
    <row r="11" spans="4:13">
      <c r="D11" s="100" t="s">
        <v>99</v>
      </c>
      <c r="E11" s="105" t="s">
        <v>22</v>
      </c>
      <c r="F11" t="s">
        <v>4383</v>
      </c>
      <c r="K11" s="104" t="s">
        <v>4386</v>
      </c>
      <c r="L11" s="105" t="s">
        <v>22</v>
      </c>
      <c r="M11" t="s">
        <v>4383</v>
      </c>
    </row>
    <row r="12" spans="4:13">
      <c r="D12" s="104" t="s">
        <v>4387</v>
      </c>
      <c r="E12" s="105" t="s">
        <v>24</v>
      </c>
      <c r="F12" t="s">
        <v>4385</v>
      </c>
      <c r="K12" s="100" t="s">
        <v>99</v>
      </c>
      <c r="L12" s="105" t="s">
        <v>22</v>
      </c>
      <c r="M12" t="s">
        <v>4383</v>
      </c>
    </row>
    <row r="13" spans="4:13">
      <c r="D13" s="100" t="s">
        <v>4388</v>
      </c>
      <c r="E13" s="105" t="s">
        <v>24</v>
      </c>
      <c r="F13" t="s">
        <v>4385</v>
      </c>
      <c r="K13" s="104" t="s">
        <v>4387</v>
      </c>
      <c r="L13" s="105" t="s">
        <v>24</v>
      </c>
      <c r="M13" t="s">
        <v>4385</v>
      </c>
    </row>
    <row r="14" spans="4:13">
      <c r="D14" s="100" t="s">
        <v>4389</v>
      </c>
      <c r="E14" s="105" t="s">
        <v>24</v>
      </c>
      <c r="F14" t="s">
        <v>4385</v>
      </c>
      <c r="K14" s="100" t="s">
        <v>4388</v>
      </c>
      <c r="L14" s="105" t="s">
        <v>24</v>
      </c>
      <c r="M14" t="s">
        <v>4385</v>
      </c>
    </row>
    <row r="15" spans="4:13">
      <c r="D15" s="104" t="s">
        <v>4390</v>
      </c>
      <c r="E15" s="105" t="s">
        <v>28</v>
      </c>
      <c r="F15" t="s">
        <v>4391</v>
      </c>
      <c r="K15" s="100" t="s">
        <v>4389</v>
      </c>
      <c r="L15" s="105" t="s">
        <v>24</v>
      </c>
      <c r="M15" t="s">
        <v>4385</v>
      </c>
    </row>
    <row r="16" spans="4:13">
      <c r="D16" s="100" t="s">
        <v>4392</v>
      </c>
      <c r="E16" s="105" t="s">
        <v>28</v>
      </c>
      <c r="F16" t="s">
        <v>4391</v>
      </c>
      <c r="K16" s="104" t="s">
        <v>4390</v>
      </c>
      <c r="L16" s="105" t="s">
        <v>28</v>
      </c>
      <c r="M16" t="s">
        <v>4391</v>
      </c>
    </row>
    <row r="17" spans="4:13">
      <c r="D17" s="104" t="s">
        <v>116</v>
      </c>
      <c r="E17" s="105" t="s">
        <v>26</v>
      </c>
      <c r="F17" t="s">
        <v>4391</v>
      </c>
      <c r="K17" s="100" t="s">
        <v>4392</v>
      </c>
      <c r="L17" s="105" t="s">
        <v>28</v>
      </c>
      <c r="M17" t="s">
        <v>4391</v>
      </c>
    </row>
    <row r="18" spans="4:13">
      <c r="D18" s="104" t="s">
        <v>4393</v>
      </c>
      <c r="E18" s="105" t="s">
        <v>26</v>
      </c>
      <c r="F18" t="s">
        <v>4391</v>
      </c>
      <c r="K18" s="104" t="s">
        <v>116</v>
      </c>
      <c r="L18" s="105" t="s">
        <v>26</v>
      </c>
      <c r="M18" t="s">
        <v>4391</v>
      </c>
    </row>
    <row r="19" spans="4:13">
      <c r="D19" s="104" t="s">
        <v>4394</v>
      </c>
      <c r="E19" s="105" t="s">
        <v>30</v>
      </c>
      <c r="F19" t="s">
        <v>4383</v>
      </c>
      <c r="K19" s="104" t="s">
        <v>4393</v>
      </c>
      <c r="L19" s="105" t="s">
        <v>26</v>
      </c>
      <c r="M19" t="s">
        <v>4391</v>
      </c>
    </row>
    <row r="20" spans="4:13">
      <c r="D20" s="104" t="s">
        <v>4395</v>
      </c>
      <c r="E20" s="105" t="s">
        <v>32</v>
      </c>
      <c r="F20" t="s">
        <v>4385</v>
      </c>
      <c r="K20" s="104" t="s">
        <v>4394</v>
      </c>
      <c r="L20" s="105" t="s">
        <v>30</v>
      </c>
      <c r="M20" t="s">
        <v>4383</v>
      </c>
    </row>
    <row r="21" spans="4:13">
      <c r="D21" s="104" t="s">
        <v>82</v>
      </c>
      <c r="E21" s="105" t="s">
        <v>33</v>
      </c>
      <c r="F21" t="s">
        <v>4383</v>
      </c>
      <c r="K21" s="104" t="s">
        <v>4395</v>
      </c>
      <c r="L21" s="105" t="s">
        <v>32</v>
      </c>
      <c r="M21" t="s">
        <v>4385</v>
      </c>
    </row>
    <row r="22" spans="4:13">
      <c r="D22" s="104" t="s">
        <v>163</v>
      </c>
      <c r="E22" s="105" t="s">
        <v>35</v>
      </c>
      <c r="F22" t="s">
        <v>4391</v>
      </c>
      <c r="K22" s="104" t="s">
        <v>82</v>
      </c>
      <c r="L22" s="105" t="s">
        <v>33</v>
      </c>
      <c r="M22" t="s">
        <v>4383</v>
      </c>
    </row>
    <row r="23" spans="4:13">
      <c r="D23" s="106" t="s">
        <v>4396</v>
      </c>
      <c r="E23" s="105" t="s">
        <v>36</v>
      </c>
      <c r="K23" s="104" t="s">
        <v>163</v>
      </c>
      <c r="L23" s="105" t="s">
        <v>35</v>
      </c>
      <c r="M23" t="s">
        <v>4391</v>
      </c>
    </row>
    <row r="24" spans="4:12">
      <c r="D24" s="104" t="s">
        <v>1102</v>
      </c>
      <c r="E24" s="105" t="s">
        <v>39</v>
      </c>
      <c r="F24" t="s">
        <v>4385</v>
      </c>
      <c r="K24" s="106" t="s">
        <v>4396</v>
      </c>
      <c r="L24" s="105" t="s">
        <v>36</v>
      </c>
    </row>
    <row r="25" spans="4:13">
      <c r="D25" s="104" t="s">
        <v>4397</v>
      </c>
      <c r="E25" s="105" t="s">
        <v>39</v>
      </c>
      <c r="F25" t="s">
        <v>4385</v>
      </c>
      <c r="K25" s="104" t="s">
        <v>1102</v>
      </c>
      <c r="L25" s="105" t="s">
        <v>39</v>
      </c>
      <c r="M25" t="s">
        <v>4385</v>
      </c>
    </row>
    <row r="26" spans="4:13">
      <c r="D26" s="104" t="s">
        <v>4398</v>
      </c>
      <c r="E26" s="105" t="s">
        <v>39</v>
      </c>
      <c r="F26" t="s">
        <v>4385</v>
      </c>
      <c r="K26" s="104" t="s">
        <v>4397</v>
      </c>
      <c r="L26" s="105" t="s">
        <v>39</v>
      </c>
      <c r="M26" t="s">
        <v>4385</v>
      </c>
    </row>
    <row r="27" spans="4:13">
      <c r="D27" s="104" t="s">
        <v>4399</v>
      </c>
      <c r="E27" s="105" t="s">
        <v>41</v>
      </c>
      <c r="F27" t="s">
        <v>4383</v>
      </c>
      <c r="K27" s="104" t="s">
        <v>4398</v>
      </c>
      <c r="L27" s="105" t="s">
        <v>39</v>
      </c>
      <c r="M27" t="s">
        <v>4385</v>
      </c>
    </row>
    <row r="28" spans="4:13">
      <c r="D28" s="106" t="s">
        <v>42</v>
      </c>
      <c r="E28" s="105" t="s">
        <v>42</v>
      </c>
      <c r="K28" s="104" t="s">
        <v>4399</v>
      </c>
      <c r="L28" s="105" t="s">
        <v>41</v>
      </c>
      <c r="M28" t="s">
        <v>4383</v>
      </c>
    </row>
    <row r="29" spans="11:12">
      <c r="K29" s="106" t="s">
        <v>42</v>
      </c>
      <c r="L29" s="105" t="s">
        <v>42</v>
      </c>
    </row>
    <row r="30" spans="3:18">
      <c r="C30" s="58">
        <v>5</v>
      </c>
      <c r="D30" s="59" t="s">
        <v>4400</v>
      </c>
      <c r="E30" s="107">
        <v>44991</v>
      </c>
      <c r="F30" s="59">
        <v>2250027159</v>
      </c>
      <c r="G30" s="107">
        <v>44979</v>
      </c>
      <c r="H30" s="59" t="s">
        <v>4401</v>
      </c>
      <c r="I30" s="59" t="s">
        <v>4402</v>
      </c>
      <c r="J30" s="59" t="s">
        <v>4403</v>
      </c>
      <c r="K30" s="59">
        <v>1377878</v>
      </c>
      <c r="L30" s="59" t="s">
        <v>184</v>
      </c>
      <c r="M30" s="59" t="s">
        <v>79</v>
      </c>
      <c r="N30" s="58" t="s">
        <v>18</v>
      </c>
      <c r="O30" s="59" t="s">
        <v>1017</v>
      </c>
      <c r="P30" s="58" t="s">
        <v>1018</v>
      </c>
      <c r="Q30" s="58" t="s">
        <v>4404</v>
      </c>
      <c r="R30" s="58" t="s">
        <v>1018</v>
      </c>
    </row>
    <row r="31" spans="3:18">
      <c r="C31" s="58">
        <v>6</v>
      </c>
      <c r="D31" s="59" t="s">
        <v>4405</v>
      </c>
      <c r="E31" s="107">
        <v>44992</v>
      </c>
      <c r="F31" s="59">
        <v>2249919967</v>
      </c>
      <c r="G31" s="107">
        <v>44706</v>
      </c>
      <c r="H31" s="59" t="s">
        <v>4406</v>
      </c>
      <c r="I31" s="59" t="s">
        <v>2166</v>
      </c>
      <c r="J31" s="59">
        <v>375032</v>
      </c>
      <c r="K31" s="59">
        <v>2493800</v>
      </c>
      <c r="L31" s="59" t="s">
        <v>75</v>
      </c>
      <c r="M31" s="59" t="s">
        <v>69</v>
      </c>
      <c r="N31" s="58" t="s">
        <v>18</v>
      </c>
      <c r="O31" s="59" t="s">
        <v>860</v>
      </c>
      <c r="P31" s="58" t="s">
        <v>4407</v>
      </c>
      <c r="Q31" s="58" t="s">
        <v>4404</v>
      </c>
      <c r="R31" s="58" t="s">
        <v>4407</v>
      </c>
    </row>
    <row r="32" spans="3:17">
      <c r="C32" s="59" t="s">
        <v>4408</v>
      </c>
      <c r="D32" s="107">
        <v>45008</v>
      </c>
      <c r="E32" s="59">
        <v>2250452112</v>
      </c>
      <c r="F32" s="107">
        <v>44992</v>
      </c>
      <c r="G32" s="59" t="s">
        <v>4409</v>
      </c>
      <c r="H32" s="59" t="s">
        <v>4410</v>
      </c>
      <c r="I32" s="59">
        <v>599708</v>
      </c>
      <c r="J32" s="59">
        <v>9200781</v>
      </c>
      <c r="K32" s="59" t="s">
        <v>90</v>
      </c>
      <c r="L32" s="59" t="s">
        <v>88</v>
      </c>
      <c r="M32" s="58" t="s">
        <v>20</v>
      </c>
      <c r="N32" s="59"/>
      <c r="O32" s="53" t="s">
        <v>355</v>
      </c>
      <c r="P32" s="53" t="s">
        <v>355</v>
      </c>
      <c r="Q32" s="53" t="s">
        <v>355</v>
      </c>
    </row>
    <row r="33" spans="3:17">
      <c r="C33" s="59" t="s">
        <v>4411</v>
      </c>
      <c r="D33" s="107">
        <v>45007</v>
      </c>
      <c r="E33" s="59">
        <v>2250018379</v>
      </c>
      <c r="F33" s="107">
        <v>44993</v>
      </c>
      <c r="G33" s="101" t="s">
        <v>4412</v>
      </c>
      <c r="H33" s="59" t="s">
        <v>4402</v>
      </c>
      <c r="I33" s="59" t="s">
        <v>4413</v>
      </c>
      <c r="J33" s="59">
        <v>1385795</v>
      </c>
      <c r="K33" s="58" t="s">
        <v>4414</v>
      </c>
      <c r="L33" s="59" t="s">
        <v>4390</v>
      </c>
      <c r="M33" s="58" t="s">
        <v>28</v>
      </c>
      <c r="N33" s="59" t="s">
        <v>385</v>
      </c>
      <c r="O33" s="53" t="s">
        <v>386</v>
      </c>
      <c r="P33" s="53" t="s">
        <v>51</v>
      </c>
      <c r="Q33" s="53" t="s">
        <v>386</v>
      </c>
    </row>
  </sheetData>
  <conditionalFormatting sqref="D2">
    <cfRule type="duplicateValues" dxfId="2" priority="46"/>
  </conditionalFormatting>
  <conditionalFormatting sqref="D3">
    <cfRule type="duplicateValues" dxfId="2" priority="45"/>
  </conditionalFormatting>
  <conditionalFormatting sqref="K3">
    <cfRule type="duplicateValues" dxfId="2" priority="26"/>
  </conditionalFormatting>
  <conditionalFormatting sqref="D4">
    <cfRule type="duplicateValues" dxfId="2" priority="44"/>
  </conditionalFormatting>
  <conditionalFormatting sqref="K4">
    <cfRule type="duplicateValues" dxfId="2" priority="25"/>
  </conditionalFormatting>
  <conditionalFormatting sqref="K5">
    <cfRule type="duplicateValues" dxfId="2" priority="24"/>
  </conditionalFormatting>
  <conditionalFormatting sqref="D8">
    <cfRule type="duplicateValues" dxfId="2" priority="31"/>
  </conditionalFormatting>
  <conditionalFormatting sqref="D9">
    <cfRule type="duplicateValues" dxfId="2" priority="43"/>
  </conditionalFormatting>
  <conditionalFormatting sqref="K9">
    <cfRule type="duplicateValues" dxfId="2" priority="11"/>
  </conditionalFormatting>
  <conditionalFormatting sqref="D10">
    <cfRule type="duplicateValues" dxfId="2" priority="42"/>
  </conditionalFormatting>
  <conditionalFormatting sqref="K10">
    <cfRule type="duplicateValues" dxfId="2" priority="23"/>
  </conditionalFormatting>
  <conditionalFormatting sqref="K11">
    <cfRule type="duplicateValues" dxfId="2" priority="22"/>
  </conditionalFormatting>
  <conditionalFormatting sqref="D15">
    <cfRule type="duplicateValues" dxfId="2" priority="41"/>
  </conditionalFormatting>
  <conditionalFormatting sqref="K16">
    <cfRule type="duplicateValues" dxfId="2" priority="21"/>
  </conditionalFormatting>
  <conditionalFormatting sqref="D17">
    <cfRule type="duplicateValues" dxfId="2" priority="40"/>
  </conditionalFormatting>
  <conditionalFormatting sqref="K18">
    <cfRule type="duplicateValues" dxfId="2" priority="20"/>
  </conditionalFormatting>
  <conditionalFormatting sqref="D19">
    <cfRule type="duplicateValues" dxfId="2" priority="39"/>
  </conditionalFormatting>
  <conditionalFormatting sqref="D20">
    <cfRule type="duplicateValues" dxfId="2" priority="38"/>
  </conditionalFormatting>
  <conditionalFormatting sqref="K20">
    <cfRule type="duplicateValues" dxfId="2" priority="19"/>
  </conditionalFormatting>
  <conditionalFormatting sqref="D21">
    <cfRule type="duplicateValues" dxfId="2" priority="37"/>
  </conditionalFormatting>
  <conditionalFormatting sqref="K21">
    <cfRule type="duplicateValues" dxfId="2" priority="18"/>
  </conditionalFormatting>
  <conditionalFormatting sqref="D22">
    <cfRule type="duplicateValues" dxfId="2" priority="36"/>
  </conditionalFormatting>
  <conditionalFormatting sqref="K22">
    <cfRule type="duplicateValues" dxfId="2" priority="17"/>
  </conditionalFormatting>
  <conditionalFormatting sqref="K23">
    <cfRule type="duplicateValues" dxfId="2" priority="16"/>
  </conditionalFormatting>
  <conditionalFormatting sqref="D24">
    <cfRule type="duplicateValues" dxfId="2" priority="35"/>
  </conditionalFormatting>
  <conditionalFormatting sqref="D25">
    <cfRule type="duplicateValues" dxfId="2" priority="34"/>
  </conditionalFormatting>
  <conditionalFormatting sqref="K25">
    <cfRule type="duplicateValues" dxfId="2" priority="15"/>
  </conditionalFormatting>
  <conditionalFormatting sqref="D26">
    <cfRule type="duplicateValues" dxfId="2" priority="33"/>
  </conditionalFormatting>
  <conditionalFormatting sqref="K26">
    <cfRule type="duplicateValues" dxfId="2" priority="14"/>
  </conditionalFormatting>
  <conditionalFormatting sqref="D27">
    <cfRule type="duplicateValues" dxfId="2" priority="32"/>
  </conditionalFormatting>
  <conditionalFormatting sqref="K27">
    <cfRule type="duplicateValues" dxfId="2" priority="13"/>
  </conditionalFormatting>
  <conditionalFormatting sqref="K28">
    <cfRule type="duplicateValues" dxfId="2" priority="12"/>
  </conditionalFormatting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3:F31"/>
  <sheetViews>
    <sheetView topLeftCell="A13" workbookViewId="0">
      <selection activeCell="K157" sqref="K157"/>
    </sheetView>
  </sheetViews>
  <sheetFormatPr defaultColWidth="9" defaultRowHeight="15.75" outlineLevelCol="5"/>
  <cols>
    <col min="5" max="5" width="19" customWidth="1"/>
    <col min="6" max="6" width="11.5" customWidth="1"/>
  </cols>
  <sheetData>
    <row r="3" spans="5:6">
      <c r="E3" s="59" t="s">
        <v>4389</v>
      </c>
      <c r="F3" s="59" t="s">
        <v>4389</v>
      </c>
    </row>
    <row r="4" spans="5:6">
      <c r="E4" s="59" t="s">
        <v>2773</v>
      </c>
      <c r="F4" s="59" t="s">
        <v>4388</v>
      </c>
    </row>
    <row r="5" spans="5:6">
      <c r="E5" s="59" t="s">
        <v>2773</v>
      </c>
      <c r="F5" s="59" t="s">
        <v>4387</v>
      </c>
    </row>
    <row r="6" spans="5:6">
      <c r="E6" s="59" t="s">
        <v>2773</v>
      </c>
      <c r="F6" s="59" t="s">
        <v>4388</v>
      </c>
    </row>
    <row r="7" spans="5:6">
      <c r="E7" s="59" t="s">
        <v>4415</v>
      </c>
      <c r="F7" s="59" t="s">
        <v>4389</v>
      </c>
    </row>
    <row r="8" spans="5:6">
      <c r="E8" s="59" t="s">
        <v>2773</v>
      </c>
      <c r="F8" s="59" t="s">
        <v>4388</v>
      </c>
    </row>
    <row r="9" spans="5:6">
      <c r="E9" s="59" t="s">
        <v>95</v>
      </c>
      <c r="F9" s="59" t="s">
        <v>4389</v>
      </c>
    </row>
    <row r="10" spans="5:6">
      <c r="E10" s="59" t="s">
        <v>93</v>
      </c>
      <c r="F10" s="100" t="s">
        <v>4389</v>
      </c>
    </row>
    <row r="11" spans="5:6">
      <c r="E11" s="59" t="s">
        <v>95</v>
      </c>
      <c r="F11" s="59" t="s">
        <v>4389</v>
      </c>
    </row>
    <row r="12" spans="5:6">
      <c r="E12" s="59" t="s">
        <v>95</v>
      </c>
      <c r="F12" s="59" t="s">
        <v>4389</v>
      </c>
    </row>
    <row r="13" spans="5:6">
      <c r="E13" s="59" t="s">
        <v>2773</v>
      </c>
      <c r="F13" s="59" t="s">
        <v>4388</v>
      </c>
    </row>
    <row r="14" spans="5:6">
      <c r="E14" s="59" t="s">
        <v>4416</v>
      </c>
      <c r="F14" s="59" t="s">
        <v>4388</v>
      </c>
    </row>
    <row r="15" spans="5:6">
      <c r="E15" s="59" t="s">
        <v>2773</v>
      </c>
      <c r="F15" s="59" t="s">
        <v>4388</v>
      </c>
    </row>
    <row r="16" spans="5:6">
      <c r="E16" s="59" t="s">
        <v>2773</v>
      </c>
      <c r="F16" s="59" t="s">
        <v>4388</v>
      </c>
    </row>
    <row r="17" spans="5:6">
      <c r="E17" s="59" t="s">
        <v>93</v>
      </c>
      <c r="F17" s="100" t="s">
        <v>4389</v>
      </c>
    </row>
    <row r="18" spans="5:6">
      <c r="E18" s="59" t="s">
        <v>4389</v>
      </c>
      <c r="F18" s="100" t="s">
        <v>4389</v>
      </c>
    </row>
    <row r="19" spans="5:6">
      <c r="E19" s="59" t="s">
        <v>4416</v>
      </c>
      <c r="F19" s="59" t="s">
        <v>4388</v>
      </c>
    </row>
    <row r="20" spans="5:6">
      <c r="E20" s="59" t="s">
        <v>4415</v>
      </c>
      <c r="F20" s="59" t="s">
        <v>4389</v>
      </c>
    </row>
    <row r="21" spans="5:6">
      <c r="E21" s="59" t="s">
        <v>2773</v>
      </c>
      <c r="F21" s="59" t="s">
        <v>4388</v>
      </c>
    </row>
    <row r="22" spans="5:6">
      <c r="E22" s="59" t="s">
        <v>2773</v>
      </c>
      <c r="F22" s="59" t="s">
        <v>4388</v>
      </c>
    </row>
    <row r="23" spans="5:6">
      <c r="E23" s="101" t="s">
        <v>2773</v>
      </c>
      <c r="F23" s="59" t="s">
        <v>4388</v>
      </c>
    </row>
    <row r="24" spans="5:6">
      <c r="E24" s="59" t="s">
        <v>4416</v>
      </c>
      <c r="F24" s="59" t="s">
        <v>4388</v>
      </c>
    </row>
    <row r="25" spans="5:6">
      <c r="E25" s="59" t="s">
        <v>4415</v>
      </c>
      <c r="F25" s="59" t="s">
        <v>4389</v>
      </c>
    </row>
    <row r="26" spans="5:6">
      <c r="E26" s="59" t="s">
        <v>2773</v>
      </c>
      <c r="F26" s="59" t="s">
        <v>4388</v>
      </c>
    </row>
    <row r="27" spans="5:6">
      <c r="E27" s="59" t="s">
        <v>2773</v>
      </c>
      <c r="F27" s="59" t="s">
        <v>4388</v>
      </c>
    </row>
    <row r="28" spans="5:6">
      <c r="E28" s="59" t="s">
        <v>4417</v>
      </c>
      <c r="F28" s="59" t="s">
        <v>4388</v>
      </c>
    </row>
    <row r="29" spans="5:6">
      <c r="E29" s="59" t="s">
        <v>4417</v>
      </c>
      <c r="F29" s="59" t="s">
        <v>4388</v>
      </c>
    </row>
    <row r="30" spans="5:6">
      <c r="E30" s="102" t="s">
        <v>4418</v>
      </c>
      <c r="F30" s="55" t="s">
        <v>4389</v>
      </c>
    </row>
    <row r="31" spans="5:6">
      <c r="E31" s="103" t="s">
        <v>4419</v>
      </c>
      <c r="F31" s="59" t="s">
        <v>4388</v>
      </c>
    </row>
  </sheetData>
  <pageMargins left="0.75" right="0.75" top="1" bottom="1" header="0.5" footer="0.5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workbookViewId="0">
      <selection activeCell="K157" sqref="K157"/>
    </sheetView>
  </sheetViews>
  <sheetFormatPr defaultColWidth="9" defaultRowHeight="15.75" outlineLevelRow="2" outlineLevelCol="1"/>
  <sheetData>
    <row r="3" spans="2:2">
      <c r="B3" s="60" t="e">
        <f>A3/#REF!%</f>
        <v>#REF!</v>
      </c>
    </row>
  </sheetData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workbookViewId="0">
      <selection activeCell="K157" sqref="K157"/>
    </sheetView>
  </sheetViews>
  <sheetFormatPr defaultColWidth="7.875" defaultRowHeight="15.75"/>
  <cols>
    <col min="1" max="1" width="14" style="62" customWidth="1"/>
    <col min="2" max="2" width="9.375" style="62" customWidth="1"/>
    <col min="3" max="3" width="4.625" style="62" customWidth="1"/>
    <col min="4" max="4" width="9.375" style="62" customWidth="1"/>
    <col min="5" max="5" width="4.625" style="62" customWidth="1"/>
    <col min="6" max="6" width="8.75" style="62" customWidth="1"/>
    <col min="7" max="7" width="8" style="62" customWidth="1"/>
    <col min="8" max="8" width="8.375" style="62" customWidth="1"/>
    <col min="9" max="9" width="3.5" style="62" customWidth="1"/>
    <col min="10" max="10" width="18.5" style="62" customWidth="1"/>
    <col min="11" max="11" width="8.125" style="62" customWidth="1"/>
    <col min="12" max="12" width="4.875" style="62" customWidth="1"/>
    <col min="13" max="13" width="9.375" style="62" customWidth="1"/>
    <col min="14" max="14" width="4.875" style="62" customWidth="1"/>
    <col min="15" max="15" width="8.25" style="62" customWidth="1"/>
    <col min="16" max="16" width="4.875" style="62" customWidth="1"/>
    <col min="17" max="17" width="8.25" style="62" customWidth="1"/>
    <col min="18" max="18" width="4.875" style="62" customWidth="1"/>
    <col min="19" max="16384" width="7.875" style="62"/>
  </cols>
  <sheetData>
    <row r="1" ht="16.5" spans="1:8">
      <c r="A1" s="63">
        <v>44652</v>
      </c>
      <c r="B1" s="64"/>
      <c r="C1" s="64"/>
      <c r="D1" s="64"/>
      <c r="E1" s="64"/>
      <c r="F1" s="64"/>
      <c r="G1" s="64"/>
      <c r="H1" s="65"/>
    </row>
    <row r="2" ht="16.5" spans="1:18">
      <c r="A2" s="66" t="s">
        <v>4420</v>
      </c>
      <c r="B2" s="67"/>
      <c r="C2" s="67"/>
      <c r="D2" s="67"/>
      <c r="E2" s="67"/>
      <c r="F2" s="67"/>
      <c r="G2" s="67"/>
      <c r="H2" s="68"/>
      <c r="I2" s="83"/>
      <c r="L2" s="83"/>
      <c r="M2" s="83"/>
      <c r="N2" s="83"/>
      <c r="O2" s="83"/>
      <c r="P2" s="83"/>
      <c r="Q2" s="83"/>
      <c r="R2" s="83"/>
    </row>
    <row r="3" s="61" customFormat="1" ht="16.5" spans="1:18">
      <c r="A3" s="69" t="s">
        <v>2132</v>
      </c>
      <c r="B3" s="70" t="s">
        <v>4421</v>
      </c>
      <c r="C3" s="70"/>
      <c r="D3" s="70" t="s">
        <v>266</v>
      </c>
      <c r="E3" s="70"/>
      <c r="F3" s="70" t="s">
        <v>4422</v>
      </c>
      <c r="G3" s="70"/>
      <c r="H3" s="71" t="s">
        <v>4423</v>
      </c>
      <c r="I3" s="84"/>
      <c r="J3" s="85" t="s">
        <v>4424</v>
      </c>
      <c r="K3" s="86"/>
      <c r="L3" s="84"/>
      <c r="M3" s="84"/>
      <c r="N3" s="84"/>
      <c r="O3" s="84"/>
      <c r="P3" s="84"/>
      <c r="Q3" s="84"/>
      <c r="R3" s="84"/>
    </row>
    <row r="4" s="61" customFormat="1" ht="16.5" spans="1:18">
      <c r="A4" s="72"/>
      <c r="B4" s="73" t="s">
        <v>4425</v>
      </c>
      <c r="C4" s="73" t="s">
        <v>4426</v>
      </c>
      <c r="D4" s="73" t="s">
        <v>4425</v>
      </c>
      <c r="E4" s="73" t="s">
        <v>4426</v>
      </c>
      <c r="F4" s="73" t="s">
        <v>4425</v>
      </c>
      <c r="G4" s="73" t="s">
        <v>4426</v>
      </c>
      <c r="H4" s="74"/>
      <c r="I4" s="84"/>
      <c r="J4" s="87" t="s">
        <v>4427</v>
      </c>
      <c r="K4" s="88" t="s">
        <v>4428</v>
      </c>
      <c r="L4" s="89"/>
      <c r="M4" s="89" t="s">
        <v>266</v>
      </c>
      <c r="N4" s="89"/>
      <c r="O4" s="89" t="s">
        <v>4422</v>
      </c>
      <c r="P4" s="89"/>
      <c r="Q4" s="89" t="s">
        <v>4429</v>
      </c>
      <c r="R4" s="98"/>
    </row>
    <row r="5" ht="16.5" spans="1:18">
      <c r="A5" s="75" t="s">
        <v>12</v>
      </c>
      <c r="B5" s="76" t="e">
        <f>SUMIFS(IH!M:M,IH!#REF!,"DISBURSED",IH!#REF!,+A5)</f>
        <v>#REF!</v>
      </c>
      <c r="C5" s="76" t="e">
        <f>COUNTIFS(IH!#REF!,+A5,IH!#REF!,"=DISBURSED")</f>
        <v>#REF!</v>
      </c>
      <c r="D5" s="76" t="e">
        <f>SUMIFS(IH!M:M,IH!#REF!,"LOGIN",IH!#REF!,+A5)</f>
        <v>#REF!</v>
      </c>
      <c r="E5" s="76" t="e">
        <f>COUNTIFS(IH!#REF!,+A5,IH!#REF!,"=LOGIN")</f>
        <v>#REF!</v>
      </c>
      <c r="F5" s="76" t="e">
        <f>SUMIFS(IH!M:M,IH!#REF!,"Approved",IH!#REF!,+A5)</f>
        <v>#REF!</v>
      </c>
      <c r="G5" s="76" t="e">
        <f>COUNTIFS(IH!#REF!,+A5,IH!#REF!,"=APPROVED")</f>
        <v>#REF!</v>
      </c>
      <c r="H5" s="77" t="e">
        <f>COUNTIF(RETAIL!#REF!,+A5)</f>
        <v>#REF!</v>
      </c>
      <c r="J5" s="90"/>
      <c r="K5" s="91" t="s">
        <v>4425</v>
      </c>
      <c r="L5" s="92" t="s">
        <v>4426</v>
      </c>
      <c r="M5" s="92" t="s">
        <v>4425</v>
      </c>
      <c r="N5" s="92" t="s">
        <v>4426</v>
      </c>
      <c r="O5" s="92" t="s">
        <v>4425</v>
      </c>
      <c r="P5" s="92" t="s">
        <v>4426</v>
      </c>
      <c r="Q5" s="92" t="s">
        <v>4425</v>
      </c>
      <c r="R5" s="99" t="s">
        <v>4426</v>
      </c>
    </row>
    <row r="6" spans="1:18">
      <c r="A6" s="75" t="s">
        <v>14</v>
      </c>
      <c r="B6" s="76" t="e">
        <f>SUMIFS(IH!M:M,IH!#REF!,"DISBURSED",IH!#REF!,+A6)</f>
        <v>#REF!</v>
      </c>
      <c r="C6" s="76" t="e">
        <f>COUNTIFS(IH!#REF!,+A6,IH!#REF!,"=DISBURSED")</f>
        <v>#REF!</v>
      </c>
      <c r="D6" s="76" t="e">
        <f>SUMIFS(IH!M:M,IH!#REF!,"LOGIN",IH!#REF!,+A6)</f>
        <v>#REF!</v>
      </c>
      <c r="E6" s="76" t="e">
        <f>COUNTIFS(IH!#REF!,+A6,IH!#REF!,"=LOGIN")</f>
        <v>#REF!</v>
      </c>
      <c r="F6" s="76" t="e">
        <f>SUMIFS(IH!M:M,IH!#REF!,"Approved",IH!#REF!,+A6)</f>
        <v>#REF!</v>
      </c>
      <c r="G6" s="76" t="e">
        <f>COUNTIFS(IH!#REF!,+A6,IH!#REF!,"=APPROVED")</f>
        <v>#REF!</v>
      </c>
      <c r="H6" s="77" t="e">
        <f>COUNTIF(RETAIL!#REF!,+A6)</f>
        <v>#REF!</v>
      </c>
      <c r="J6" s="93" t="s">
        <v>1508</v>
      </c>
      <c r="K6" s="76" t="e">
        <f>SUMIFS(IH!M:M,IH!#REF!,"=DISBURSED",IH!#REF!,+J6)</f>
        <v>#REF!</v>
      </c>
      <c r="L6" s="76" t="e">
        <f>COUNTIFS(IH!#REF!,+J6,IH!#REF!,"=DISBURSED")</f>
        <v>#REF!</v>
      </c>
      <c r="M6" s="76" t="e">
        <f>SUMIFS(IH!M:M,IH!#REF!,"=LOGIN",IH!#REF!,+J6)</f>
        <v>#REF!</v>
      </c>
      <c r="N6" s="76" t="e">
        <f>COUNTIFS(IH!#REF!,+J6,IH!#REF!,"=LOGIN")</f>
        <v>#REF!</v>
      </c>
      <c r="O6" s="76" t="e">
        <f>SUMIFS(IH!M:M,IH!#REF!,"=APPROVED",IH!#REF!,+J6)</f>
        <v>#REF!</v>
      </c>
      <c r="P6" s="76" t="e">
        <f>COUNTIFS(IH!#REF!,+J6,IH!#REF!,"=APPROVED")</f>
        <v>#REF!</v>
      </c>
      <c r="Q6" s="76" t="e">
        <f>SUMIFS(IH!M:M,IH!#REF!,"=REJECTION",IH!#REF!,+J6)</f>
        <v>#REF!</v>
      </c>
      <c r="R6" s="77" t="e">
        <f>COUNTIFS(IH!#REF!,+J6,IH!#REF!,"=REJECTION")</f>
        <v>#REF!</v>
      </c>
    </row>
    <row r="7" spans="1:18">
      <c r="A7" s="75" t="s">
        <v>16</v>
      </c>
      <c r="B7" s="76" t="e">
        <f>SUMIFS(IH!M:M,IH!#REF!,"DISBURSED",IH!#REF!,+A7)</f>
        <v>#REF!</v>
      </c>
      <c r="C7" s="76" t="e">
        <f>COUNTIFS(IH!#REF!,+A7,IH!#REF!,"=DISBURSED")</f>
        <v>#REF!</v>
      </c>
      <c r="D7" s="76" t="e">
        <f>SUMIFS(IH!M:M,IH!#REF!,"LOGIN",IH!#REF!,+A7)</f>
        <v>#REF!</v>
      </c>
      <c r="E7" s="76" t="e">
        <f>COUNTIFS(IH!#REF!,+A7,IH!#REF!,"=LOGIN")</f>
        <v>#REF!</v>
      </c>
      <c r="F7" s="76" t="e">
        <f>SUMIFS(IH!M:M,IH!#REF!,"Approved",IH!#REF!,+A7)</f>
        <v>#REF!</v>
      </c>
      <c r="G7" s="76" t="e">
        <f>COUNTIFS(IH!#REF!,+A7,IH!#REF!,"=APPROVED")</f>
        <v>#REF!</v>
      </c>
      <c r="H7" s="77" t="e">
        <f>COUNTIF(RETAIL!#REF!,+A7)</f>
        <v>#REF!</v>
      </c>
      <c r="J7" s="75" t="s">
        <v>457</v>
      </c>
      <c r="K7" s="76" t="e">
        <f>SUMIFS(IH!M:M,IH!#REF!,"=DISBURSED",IH!#REF!,+J7)</f>
        <v>#REF!</v>
      </c>
      <c r="L7" s="76" t="e">
        <f>COUNTIFS(IH!#REF!,+J7,IH!#REF!,"=DISBURSED")</f>
        <v>#REF!</v>
      </c>
      <c r="M7" s="76" t="e">
        <f>SUMIFS(IH!M:M,IH!#REF!,"=LOGIN",IH!#REF!,+J7)</f>
        <v>#REF!</v>
      </c>
      <c r="N7" s="76" t="e">
        <f>COUNTIFS(IH!#REF!,+J7,IH!#REF!,"=LOGIN")</f>
        <v>#REF!</v>
      </c>
      <c r="O7" s="76" t="e">
        <f>SUMIFS(IH!M:M,IH!#REF!,"=APPROVED",IH!#REF!,+J7)</f>
        <v>#REF!</v>
      </c>
      <c r="P7" s="76" t="e">
        <f>COUNTIFS(IH!#REF!,+J7,IH!#REF!,"=APPROVED")</f>
        <v>#REF!</v>
      </c>
      <c r="Q7" s="76" t="e">
        <f>SUMIFS(IH!M:M,IH!#REF!,"=REJECTION",IH!#REF!,+J7)</f>
        <v>#REF!</v>
      </c>
      <c r="R7" s="77" t="e">
        <f>COUNTIFS(IH!#REF!,+J7,IH!#REF!,"=REJECTION")</f>
        <v>#REF!</v>
      </c>
    </row>
    <row r="8" spans="1:18">
      <c r="A8" s="75" t="s">
        <v>18</v>
      </c>
      <c r="B8" s="76" t="e">
        <f>SUMIFS(IH!M:M,IH!#REF!,"DISBURSED",IH!#REF!,+A8)</f>
        <v>#REF!</v>
      </c>
      <c r="C8" s="76" t="e">
        <f>COUNTIFS(IH!#REF!,+A8,IH!#REF!,"=DISBURSED")</f>
        <v>#REF!</v>
      </c>
      <c r="D8" s="76" t="e">
        <f>SUMIFS(IH!M:M,IH!#REF!,"LOGIN",IH!#REF!,+A8)</f>
        <v>#REF!</v>
      </c>
      <c r="E8" s="76" t="e">
        <f>COUNTIFS(IH!#REF!,+A8,IH!#REF!,"=LOGIN")</f>
        <v>#REF!</v>
      </c>
      <c r="F8" s="76" t="e">
        <f>SUMIFS(IH!M:M,IH!#REF!,"Approved",IH!#REF!,+A8)</f>
        <v>#REF!</v>
      </c>
      <c r="G8" s="76" t="e">
        <f>COUNTIFS(IH!#REF!,+A8,IH!#REF!,"=APPROVED")</f>
        <v>#REF!</v>
      </c>
      <c r="H8" s="77" t="e">
        <f>COUNTIF(RETAIL!#REF!,+A8)</f>
        <v>#REF!</v>
      </c>
      <c r="J8" s="75" t="s">
        <v>4430</v>
      </c>
      <c r="K8" s="76" t="e">
        <f>SUMIFS(IH!M:M,IH!#REF!,"=DISBURSED",IH!#REF!,+J8)</f>
        <v>#REF!</v>
      </c>
      <c r="L8" s="76" t="e">
        <f>COUNTIFS(IH!#REF!,+J8,IH!#REF!,"=DISBURSED")</f>
        <v>#REF!</v>
      </c>
      <c r="M8" s="76" t="e">
        <f>SUMIFS(IH!M:M,IH!#REF!,"=LOGIN",IH!#REF!,+J8)</f>
        <v>#REF!</v>
      </c>
      <c r="N8" s="76" t="e">
        <f>COUNTIFS(IH!#REF!,+J8,IH!#REF!,"=LOGIN")</f>
        <v>#REF!</v>
      </c>
      <c r="O8" s="76" t="e">
        <f>SUMIFS(IH!M:M,IH!#REF!,"=APPROVED",IH!#REF!,+J8)</f>
        <v>#REF!</v>
      </c>
      <c r="P8" s="76" t="e">
        <f>COUNTIFS(IH!#REF!,+J8,IH!#REF!,"=APPROVED")</f>
        <v>#REF!</v>
      </c>
      <c r="Q8" s="76" t="e">
        <f>SUMIFS(IH!M:M,IH!#REF!,"=REJECTION",IH!#REF!,+J8)</f>
        <v>#REF!</v>
      </c>
      <c r="R8" s="77" t="e">
        <f>COUNTIFS(IH!#REF!,+J8,IH!#REF!,"=REJECTION")</f>
        <v>#REF!</v>
      </c>
    </row>
    <row r="9" spans="1:18">
      <c r="A9" s="75" t="s">
        <v>20</v>
      </c>
      <c r="B9" s="76" t="e">
        <f>SUMIFS(IH!M:M,IH!#REF!,"DISBURSED",IH!#REF!,+A9)</f>
        <v>#REF!</v>
      </c>
      <c r="C9" s="76" t="e">
        <f>COUNTIFS(IH!#REF!,+A9,IH!#REF!,"=DISBURSED")</f>
        <v>#REF!</v>
      </c>
      <c r="D9" s="76" t="e">
        <f>SUMIFS(IH!M:M,IH!#REF!,"LOGIN",IH!#REF!,+A9)</f>
        <v>#REF!</v>
      </c>
      <c r="E9" s="76" t="e">
        <f>COUNTIFS(IH!#REF!,+A9,IH!#REF!,"=LOGIN")</f>
        <v>#REF!</v>
      </c>
      <c r="F9" s="76" t="e">
        <f>SUMIFS(IH!M:M,IH!#REF!,"Approved",IH!#REF!,+A9)</f>
        <v>#REF!</v>
      </c>
      <c r="G9" s="76" t="e">
        <f>COUNTIFS(IH!#REF!,+A9,IH!#REF!,"=APPROVED")</f>
        <v>#REF!</v>
      </c>
      <c r="H9" s="77" t="e">
        <f>COUNTIF(RETAIL!#REF!,+A9)</f>
        <v>#REF!</v>
      </c>
      <c r="J9" s="75" t="s">
        <v>507</v>
      </c>
      <c r="K9" s="76" t="e">
        <f>SUMIFS(IH!M:M,IH!#REF!,"=DISBURSED",IH!#REF!,+J9)</f>
        <v>#REF!</v>
      </c>
      <c r="L9" s="76" t="e">
        <f>COUNTIFS(IH!#REF!,+J9,IH!#REF!,"=DISBURSED")</f>
        <v>#REF!</v>
      </c>
      <c r="M9" s="76" t="e">
        <f>SUMIFS(IH!M:M,IH!#REF!,"=LOGIN",IH!#REF!,+J9)</f>
        <v>#REF!</v>
      </c>
      <c r="N9" s="76" t="e">
        <f>COUNTIFS(IH!#REF!,+J9,IH!#REF!,"=LOGIN")</f>
        <v>#REF!</v>
      </c>
      <c r="O9" s="76" t="e">
        <f>SUMIFS(IH!M:M,IH!#REF!,"=APPROVED",IH!#REF!,+J9)</f>
        <v>#REF!</v>
      </c>
      <c r="P9" s="76" t="e">
        <f>COUNTIFS(IH!#REF!,+J9,IH!#REF!,"=APPROVED")</f>
        <v>#REF!</v>
      </c>
      <c r="Q9" s="76" t="e">
        <f>SUMIFS(IH!M:M,IH!#REF!,"=REJECTION",IH!#REF!,+J9)</f>
        <v>#REF!</v>
      </c>
      <c r="R9" s="77" t="e">
        <f>COUNTIFS(IH!#REF!,+J9,IH!#REF!,"=REJECTION")</f>
        <v>#REF!</v>
      </c>
    </row>
    <row r="10" spans="1:18">
      <c r="A10" s="75" t="s">
        <v>24</v>
      </c>
      <c r="B10" s="76" t="e">
        <f>SUMIFS(IH!M:M,IH!#REF!,"DISBURSED",IH!#REF!,+A10)</f>
        <v>#REF!</v>
      </c>
      <c r="C10" s="76" t="e">
        <f>COUNTIFS(IH!#REF!,+A10,IH!#REF!,"=DISBURSED")</f>
        <v>#REF!</v>
      </c>
      <c r="D10" s="76" t="e">
        <f>SUMIFS(IH!M:M,IH!#REF!,"LOGIN",IH!#REF!,+A10)</f>
        <v>#REF!</v>
      </c>
      <c r="E10" s="76" t="e">
        <f>COUNTIFS(IH!#REF!,+A10,IH!#REF!,"=LOGIN")</f>
        <v>#REF!</v>
      </c>
      <c r="F10" s="76" t="e">
        <f>SUMIFS(IH!M:M,IH!#REF!,"Approved",IH!#REF!,+A10)</f>
        <v>#REF!</v>
      </c>
      <c r="G10" s="76" t="e">
        <f>COUNTIFS(IH!#REF!,+A10,IH!#REF!,"=APPROVED")</f>
        <v>#REF!</v>
      </c>
      <c r="H10" s="77" t="e">
        <f>COUNTIF(RETAIL!#REF!,+A10)</f>
        <v>#REF!</v>
      </c>
      <c r="J10" s="75" t="s">
        <v>437</v>
      </c>
      <c r="K10" s="76" t="e">
        <f>SUMIFS(IH!M:M,IH!#REF!,"=DISBURSED",IH!#REF!,+J10)</f>
        <v>#REF!</v>
      </c>
      <c r="L10" s="76" t="e">
        <f>COUNTIFS(IH!#REF!,+J10,IH!#REF!,"=DISBURSED")</f>
        <v>#REF!</v>
      </c>
      <c r="M10" s="76" t="e">
        <f>SUMIFS(IH!M:M,IH!#REF!,"=LOGIN",IH!#REF!,+J10)</f>
        <v>#REF!</v>
      </c>
      <c r="N10" s="76" t="e">
        <f>COUNTIFS(IH!#REF!,+J10,IH!#REF!,"=LOGIN")</f>
        <v>#REF!</v>
      </c>
      <c r="O10" s="76" t="e">
        <f>SUMIFS(IH!M:M,IH!#REF!,"=APPROVED",IH!#REF!,+J10)</f>
        <v>#REF!</v>
      </c>
      <c r="P10" s="76" t="e">
        <f>COUNTIFS(IH!#REF!,+J10,IH!#REF!,"=APPROVED")</f>
        <v>#REF!</v>
      </c>
      <c r="Q10" s="76" t="e">
        <f>SUMIFS(IH!M:M,IH!#REF!,"=REJECTION",IH!#REF!,+J10)</f>
        <v>#REF!</v>
      </c>
      <c r="R10" s="77" t="e">
        <f>COUNTIFS(IH!#REF!,+J10,IH!#REF!,"=REJECTION")</f>
        <v>#REF!</v>
      </c>
    </row>
    <row r="11" spans="1:18">
      <c r="A11" s="75" t="s">
        <v>22</v>
      </c>
      <c r="B11" s="76" t="e">
        <f>SUMIFS(IH!M:M,IH!#REF!,"DISBURSED",IH!#REF!,+A11)</f>
        <v>#REF!</v>
      </c>
      <c r="C11" s="76" t="e">
        <f>COUNTIFS(IH!#REF!,+A11,IH!#REF!,"=DISBURSED")</f>
        <v>#REF!</v>
      </c>
      <c r="D11" s="76" t="e">
        <f>SUMIFS(IH!M:M,IH!#REF!,"LOGIN",IH!#REF!,+A11)</f>
        <v>#REF!</v>
      </c>
      <c r="E11" s="76" t="e">
        <f>COUNTIFS(IH!#REF!,+A11,IH!#REF!,"=LOGIN")</f>
        <v>#REF!</v>
      </c>
      <c r="F11" s="76" t="e">
        <f>SUMIFS(IH!M:M,IH!#REF!,"Approved",IH!#REF!,+A11)</f>
        <v>#REF!</v>
      </c>
      <c r="G11" s="76" t="e">
        <f>COUNTIFS(IH!#REF!,+A11,IH!#REF!,"=APPROVED")</f>
        <v>#REF!</v>
      </c>
      <c r="H11" s="77" t="e">
        <f>COUNTIF(RETAIL!#REF!,+A11)</f>
        <v>#REF!</v>
      </c>
      <c r="J11" s="75" t="s">
        <v>1902</v>
      </c>
      <c r="K11" s="76" t="e">
        <f>SUMIFS(IH!M:M,IH!#REF!,"=DISBURSED",IH!#REF!,+J11)</f>
        <v>#REF!</v>
      </c>
      <c r="L11" s="76" t="e">
        <f>COUNTIFS(IH!#REF!,+J11,IH!#REF!,"=DISBURSED")</f>
        <v>#REF!</v>
      </c>
      <c r="M11" s="76" t="e">
        <f>SUMIFS(IH!M:M,IH!#REF!,"=LOGIN",IH!#REF!,+J11)</f>
        <v>#REF!</v>
      </c>
      <c r="N11" s="76" t="e">
        <f>COUNTIFS(IH!#REF!,+J11,IH!#REF!,"=LOGIN")</f>
        <v>#REF!</v>
      </c>
      <c r="O11" s="76" t="e">
        <f>SUMIFS(IH!M:M,IH!#REF!,"=APPROVED",IH!#REF!,+J11)</f>
        <v>#REF!</v>
      </c>
      <c r="P11" s="76" t="e">
        <f>COUNTIFS(IH!#REF!,+J11,IH!#REF!,"=APPROVED")</f>
        <v>#REF!</v>
      </c>
      <c r="Q11" s="76" t="e">
        <f>SUMIFS(IH!M:M,IH!#REF!,"=REJECTION",IH!#REF!,+J11)</f>
        <v>#REF!</v>
      </c>
      <c r="R11" s="77" t="e">
        <f>COUNTIFS(IH!#REF!,+J11,IH!#REF!,"=REJECTION")</f>
        <v>#REF!</v>
      </c>
    </row>
    <row r="12" spans="1:18">
      <c r="A12" s="75" t="s">
        <v>28</v>
      </c>
      <c r="B12" s="76" t="e">
        <f>SUMIFS(IH!M:M,IH!#REF!,"DISBURSED",IH!#REF!,+A12)</f>
        <v>#REF!</v>
      </c>
      <c r="C12" s="76" t="e">
        <f>COUNTIFS(IH!#REF!,+A12,IH!#REF!,"=DISBURSED")</f>
        <v>#REF!</v>
      </c>
      <c r="D12" s="76" t="e">
        <f>SUMIFS(IH!M:M,IH!#REF!,"LOGIN",IH!#REF!,+A12)</f>
        <v>#REF!</v>
      </c>
      <c r="E12" s="76" t="e">
        <f>COUNTIFS(IH!#REF!,+A12,IH!#REF!,"=LOGIN")</f>
        <v>#REF!</v>
      </c>
      <c r="F12" s="76" t="e">
        <f>SUMIFS(IH!M:M,IH!#REF!,"Approved",IH!#REF!,+A12)</f>
        <v>#REF!</v>
      </c>
      <c r="G12" s="76" t="e">
        <f>COUNTIFS(IH!#REF!,+A12,IH!#REF!,"=APPROVED")</f>
        <v>#REF!</v>
      </c>
      <c r="H12" s="77" t="e">
        <f>COUNTIF(RETAIL!#REF!,+A12)</f>
        <v>#REF!</v>
      </c>
      <c r="J12" s="75"/>
      <c r="K12" s="76"/>
      <c r="L12" s="76"/>
      <c r="M12" s="76"/>
      <c r="N12" s="76"/>
      <c r="O12" s="76"/>
      <c r="P12" s="76"/>
      <c r="Q12" s="76"/>
      <c r="R12" s="77"/>
    </row>
    <row r="13" spans="1:18">
      <c r="A13" s="75" t="s">
        <v>4431</v>
      </c>
      <c r="B13" s="76" t="e">
        <f>SUMIFS(IH!M:M,IH!#REF!,"DISBURSED",IH!#REF!,+A13)</f>
        <v>#REF!</v>
      </c>
      <c r="C13" s="76" t="e">
        <f>COUNTIFS(IH!#REF!,+A13,IH!#REF!,"=DISBURSED")</f>
        <v>#REF!</v>
      </c>
      <c r="D13" s="76" t="e">
        <f>SUMIFS(IH!M:M,IH!#REF!,"LOGIN",IH!#REF!,+A13)</f>
        <v>#REF!</v>
      </c>
      <c r="E13" s="76" t="e">
        <f>COUNTIFS(IH!#REF!,+A13,IH!#REF!,"=LOGIN")</f>
        <v>#REF!</v>
      </c>
      <c r="F13" s="76" t="e">
        <f>SUMIFS(IH!M:M,IH!#REF!,"Approved",IH!#REF!,+A13)</f>
        <v>#REF!</v>
      </c>
      <c r="G13" s="76" t="e">
        <f>COUNTIFS(IH!#REF!,+A13,IH!#REF!,"=APPROVED")</f>
        <v>#REF!</v>
      </c>
      <c r="H13" s="77" t="e">
        <f>COUNTIF(RETAIL!#REF!,+A13)</f>
        <v>#REF!</v>
      </c>
      <c r="J13" s="75" t="s">
        <v>4432</v>
      </c>
      <c r="K13" s="76" t="e">
        <f>SUMIFS(IH!M:M,IH!#REF!,"=DISBURSED",IH!#REF!,+J13)</f>
        <v>#REF!</v>
      </c>
      <c r="L13" s="76" t="e">
        <f>COUNTIFS(IH!#REF!,+J13,IH!#REF!,"=DISBURSED")</f>
        <v>#REF!</v>
      </c>
      <c r="M13" s="76" t="e">
        <f>SUMIFS(IH!M:M,IH!#REF!,"=LOGIN",IH!#REF!,+J13)</f>
        <v>#REF!</v>
      </c>
      <c r="N13" s="76" t="e">
        <f>COUNTIFS(IH!#REF!,+J13,IH!#REF!,"=LOGIN")</f>
        <v>#REF!</v>
      </c>
      <c r="O13" s="76" t="e">
        <f>SUMIFS(IH!M:M,IH!#REF!,"=APPROVED",IH!#REF!,+J13)</f>
        <v>#REF!</v>
      </c>
      <c r="P13" s="76" t="e">
        <f>COUNTIFS(IH!#REF!,+J13,IH!#REF!,"=APPROVED")</f>
        <v>#REF!</v>
      </c>
      <c r="Q13" s="76" t="e">
        <f>SUMIFS(IH!M:M,IH!#REF!,"=REJECTION",IH!#REF!,+J13)</f>
        <v>#REF!</v>
      </c>
      <c r="R13" s="77" t="e">
        <f>COUNTIFS(IH!#REF!,+J13,IH!#REF!,"=REJECTION")</f>
        <v>#REF!</v>
      </c>
    </row>
    <row r="14" spans="1:18">
      <c r="A14" s="75" t="s">
        <v>26</v>
      </c>
      <c r="B14" s="76" t="e">
        <f>SUMIFS(IH!M:M,IH!#REF!,"DISBURSED",IH!#REF!,+A14)</f>
        <v>#REF!</v>
      </c>
      <c r="C14" s="76" t="e">
        <f>COUNTIFS(IH!#REF!,+A14,IH!#REF!,"=DISBURSED")</f>
        <v>#REF!</v>
      </c>
      <c r="D14" s="76" t="e">
        <f>SUMIFS(IH!M:M,IH!#REF!,"LOGIN",IH!#REF!,+A14)</f>
        <v>#REF!</v>
      </c>
      <c r="E14" s="76" t="e">
        <f>COUNTIFS(IH!#REF!,+A14,IH!#REF!,"=LOGIN")</f>
        <v>#REF!</v>
      </c>
      <c r="F14" s="76" t="e">
        <f>SUMIFS(IH!M:M,IH!#REF!,"Approved",IH!#REF!,+A14)</f>
        <v>#REF!</v>
      </c>
      <c r="G14" s="76" t="e">
        <f>COUNTIFS(IH!#REF!,+A14,IH!#REF!,"=APPROVED")</f>
        <v>#REF!</v>
      </c>
      <c r="H14" s="77" t="e">
        <f>COUNTIF(RETAIL!#REF!,+A14)</f>
        <v>#REF!</v>
      </c>
      <c r="J14" s="75" t="s">
        <v>411</v>
      </c>
      <c r="K14" s="76" t="e">
        <f>SUMIFS(IH!M:M,IH!#REF!,"=DISBURSED",IH!#REF!,+J14)</f>
        <v>#REF!</v>
      </c>
      <c r="L14" s="76" t="e">
        <f>COUNTIFS(IH!#REF!,+J14,IH!#REF!,"=DISBURSED")</f>
        <v>#REF!</v>
      </c>
      <c r="M14" s="76" t="e">
        <f>SUMIFS(IH!M:M,IH!#REF!,"=LOGIN",IH!#REF!,+J14)</f>
        <v>#REF!</v>
      </c>
      <c r="N14" s="76" t="e">
        <f>COUNTIFS(IH!#REF!,+J14,IH!#REF!,"=LOGIN")</f>
        <v>#REF!</v>
      </c>
      <c r="O14" s="76" t="e">
        <f>SUMIFS(IH!M:M,IH!#REF!,"=APPROVED",IH!#REF!,+J14)</f>
        <v>#REF!</v>
      </c>
      <c r="P14" s="76" t="e">
        <f>COUNTIFS(IH!#REF!,+J14,IH!#REF!,"=APPROVED")</f>
        <v>#REF!</v>
      </c>
      <c r="Q14" s="76" t="e">
        <f>SUMIFS(IH!M:M,IH!#REF!,"=REJECTION",IH!#REF!,+J14)</f>
        <v>#REF!</v>
      </c>
      <c r="R14" s="77" t="e">
        <f>COUNTIFS(IH!#REF!,+J14,IH!#REF!,"=REJECTION")</f>
        <v>#REF!</v>
      </c>
    </row>
    <row r="15" spans="1:18">
      <c r="A15" s="75" t="s">
        <v>32</v>
      </c>
      <c r="B15" s="76" t="e">
        <f>SUMIFS(IH!M:M,IH!#REF!,"DISBURSED",IH!#REF!,+A15)</f>
        <v>#REF!</v>
      </c>
      <c r="C15" s="76" t="e">
        <f>COUNTIFS(IH!#REF!,+A15,IH!#REF!,"=DISBURSED")</f>
        <v>#REF!</v>
      </c>
      <c r="D15" s="76" t="e">
        <f>SUMIFS(IH!M:M,IH!#REF!,"LOGIN",IH!#REF!,+A15)</f>
        <v>#REF!</v>
      </c>
      <c r="E15" s="76" t="e">
        <f>COUNTIFS(IH!#REF!,+A15,IH!#REF!,"=LOGIN")</f>
        <v>#REF!</v>
      </c>
      <c r="F15" s="76" t="e">
        <f>SUMIFS(IH!M:M,IH!#REF!,"Approved",IH!#REF!,+A15)</f>
        <v>#REF!</v>
      </c>
      <c r="G15" s="76" t="e">
        <f>COUNTIFS(IH!#REF!,+A15,IH!#REF!,"=APPROVED")</f>
        <v>#REF!</v>
      </c>
      <c r="H15" s="77" t="e">
        <f>COUNTIF(RETAIL!#REF!,+A15)</f>
        <v>#REF!</v>
      </c>
      <c r="J15" s="75" t="s">
        <v>4407</v>
      </c>
      <c r="K15" s="76" t="e">
        <f>SUMIFS(IH!M:M,IH!#REF!,"=DISBURSED",IH!#REF!,+J15)</f>
        <v>#REF!</v>
      </c>
      <c r="L15" s="76" t="e">
        <f>COUNTIFS(IH!#REF!,+J15,IH!#REF!,"=DISBURSED")</f>
        <v>#REF!</v>
      </c>
      <c r="M15" s="76" t="e">
        <f>SUMIFS(IH!M:M,IH!#REF!,"=LOGIN",IH!#REF!,+J15)</f>
        <v>#REF!</v>
      </c>
      <c r="N15" s="76" t="e">
        <f>COUNTIFS(IH!#REF!,+J15,IH!#REF!,"=LOGIN")</f>
        <v>#REF!</v>
      </c>
      <c r="O15" s="76" t="e">
        <f>SUMIFS(IH!M:M,IH!#REF!,"=APPROVED",IH!#REF!,+J15)</f>
        <v>#REF!</v>
      </c>
      <c r="P15" s="76" t="e">
        <f>COUNTIFS(IH!#REF!,+J15,IH!#REF!,"=APPROVED")</f>
        <v>#REF!</v>
      </c>
      <c r="Q15" s="76" t="e">
        <f>SUMIFS(IH!M:M,IH!#REF!,"=REJECTION",IH!#REF!,+J15)</f>
        <v>#REF!</v>
      </c>
      <c r="R15" s="77" t="e">
        <f>COUNTIFS(IH!#REF!,+J15,IH!#REF!,"=REJECTION")</f>
        <v>#REF!</v>
      </c>
    </row>
    <row r="16" spans="1:18">
      <c r="A16" s="75" t="s">
        <v>4433</v>
      </c>
      <c r="B16" s="76" t="e">
        <f>SUMIFS(IH!M:M,IH!#REF!,"DISBURSED",IH!#REF!,+A16)</f>
        <v>#REF!</v>
      </c>
      <c r="C16" s="76" t="e">
        <f>COUNTIFS(IH!#REF!,+A16,IH!#REF!,"=DISBURSED")</f>
        <v>#REF!</v>
      </c>
      <c r="D16" s="76" t="e">
        <f>SUMIFS(IH!M:M,IH!#REF!,"LOGIN",IH!#REF!,+A16)</f>
        <v>#REF!</v>
      </c>
      <c r="E16" s="76" t="e">
        <f>COUNTIFS(IH!#REF!,+A16,IH!#REF!,"=LOGIN")</f>
        <v>#REF!</v>
      </c>
      <c r="F16" s="76" t="e">
        <f>SUMIFS(IH!M:M,IH!#REF!,"Approved",IH!#REF!,+A16)</f>
        <v>#REF!</v>
      </c>
      <c r="G16" s="76" t="e">
        <f>COUNTIFS(IH!#REF!,+A16,IH!#REF!,"=APPROVED")</f>
        <v>#REF!</v>
      </c>
      <c r="H16" s="77" t="e">
        <f>COUNTIF(RETAIL!#REF!,+A16)</f>
        <v>#REF!</v>
      </c>
      <c r="J16" s="75" t="s">
        <v>4434</v>
      </c>
      <c r="K16" s="76" t="e">
        <f>SUMIFS(IH!M:M,IH!#REF!,"=DISBURSED",IH!#REF!,+J16)</f>
        <v>#REF!</v>
      </c>
      <c r="L16" s="76" t="e">
        <f>COUNTIFS(IH!#REF!,+J16,IH!#REF!,"=DISBURSED")</f>
        <v>#REF!</v>
      </c>
      <c r="M16" s="76" t="e">
        <f>SUMIFS(IH!M:M,IH!#REF!,"=LOGIN",IH!#REF!,+J16)</f>
        <v>#REF!</v>
      </c>
      <c r="N16" s="76" t="e">
        <f>COUNTIFS(IH!#REF!,+J16,IH!#REF!,"=LOGIN")</f>
        <v>#REF!</v>
      </c>
      <c r="O16" s="76" t="e">
        <f>SUMIFS(IH!M:M,IH!#REF!,"=APPROVED",IH!#REF!,+J16)</f>
        <v>#REF!</v>
      </c>
      <c r="P16" s="76" t="e">
        <f>COUNTIFS(IH!#REF!,+J16,IH!#REF!,"=APPROVED")</f>
        <v>#REF!</v>
      </c>
      <c r="Q16" s="76" t="e">
        <f>SUMIFS(IH!M:M,IH!#REF!,"=REJECTION",IH!#REF!,+J16)</f>
        <v>#REF!</v>
      </c>
      <c r="R16" s="77" t="e">
        <f>COUNTIFS(IH!#REF!,+J16,IH!#REF!,"=REJECTION")</f>
        <v>#REF!</v>
      </c>
    </row>
    <row r="17" spans="1:18">
      <c r="A17" s="75" t="s">
        <v>30</v>
      </c>
      <c r="B17" s="76" t="e">
        <f>SUMIFS(IH!M:M,IH!#REF!,"DISBURSED",IH!#REF!,+A17)</f>
        <v>#REF!</v>
      </c>
      <c r="C17" s="76" t="e">
        <f>COUNTIFS(IH!#REF!,+A17,IH!#REF!,"=DISBURSED")</f>
        <v>#REF!</v>
      </c>
      <c r="D17" s="76" t="e">
        <f>SUMIFS(IH!M:M,IH!#REF!,"LOGIN",IH!#REF!,+A17)</f>
        <v>#REF!</v>
      </c>
      <c r="E17" s="76" t="e">
        <f>COUNTIFS(IH!#REF!,+A17,IH!#REF!,"=LOGIN")</f>
        <v>#REF!</v>
      </c>
      <c r="F17" s="76" t="e">
        <f>SUMIFS(IH!M:M,IH!#REF!,"Approved",IH!#REF!,+A17)</f>
        <v>#REF!</v>
      </c>
      <c r="G17" s="76" t="e">
        <f>COUNTIFS(IH!#REF!,+A17,IH!#REF!,"=APPROVED")</f>
        <v>#REF!</v>
      </c>
      <c r="H17" s="77" t="e">
        <f>COUNTIF(RETAIL!#REF!,+A17)</f>
        <v>#REF!</v>
      </c>
      <c r="J17" s="75" t="s">
        <v>777</v>
      </c>
      <c r="K17" s="76" t="e">
        <f>SUMIFS(IH!M:M,IH!#REF!,"=DISBURSED",IH!#REF!,+J17)</f>
        <v>#REF!</v>
      </c>
      <c r="L17" s="76" t="e">
        <f>COUNTIFS(IH!#REF!,+J17,IH!#REF!,"=DISBURSED")</f>
        <v>#REF!</v>
      </c>
      <c r="M17" s="76" t="e">
        <f>SUMIFS(IH!M:M,IH!#REF!,"=LOGIN",IH!#REF!,+J17)</f>
        <v>#REF!</v>
      </c>
      <c r="N17" s="76" t="e">
        <f>COUNTIFS(IH!#REF!,+J17,IH!#REF!,"=LOGIN")</f>
        <v>#REF!</v>
      </c>
      <c r="O17" s="76" t="e">
        <f>SUMIFS(IH!M:M,IH!#REF!,"=APPROVED",IH!#REF!,+J17)</f>
        <v>#REF!</v>
      </c>
      <c r="P17" s="76" t="e">
        <f>COUNTIFS(IH!#REF!,+J17,IH!#REF!,"=APPROVED")</f>
        <v>#REF!</v>
      </c>
      <c r="Q17" s="76" t="e">
        <f>SUMIFS(IH!M:M,IH!#REF!,"=REJECTION",IH!#REF!,+J17)</f>
        <v>#REF!</v>
      </c>
      <c r="R17" s="77" t="e">
        <f>COUNTIFS(IH!#REF!,+J17,IH!#REF!,"=REJECTION")</f>
        <v>#REF!</v>
      </c>
    </row>
    <row r="18" spans="1:18">
      <c r="A18" s="75" t="s">
        <v>35</v>
      </c>
      <c r="B18" s="76" t="e">
        <f>SUMIFS(IH!M:M,IH!#REF!,"DISBURSED",IH!#REF!,+A18)</f>
        <v>#REF!</v>
      </c>
      <c r="C18" s="76" t="e">
        <f>COUNTIFS(IH!#REF!,+A18,IH!#REF!,"=DISBURSED")</f>
        <v>#REF!</v>
      </c>
      <c r="D18" s="76" t="e">
        <f>SUMIFS(IH!M:M,IH!#REF!,"LOGIN",IH!#REF!,+A18)</f>
        <v>#REF!</v>
      </c>
      <c r="E18" s="76" t="e">
        <f>COUNTIFS(IH!#REF!,+A18,IH!#REF!,"=LOGIN")</f>
        <v>#REF!</v>
      </c>
      <c r="F18" s="76" t="e">
        <f>SUMIFS(IH!M:M,IH!#REF!,"Approved",IH!#REF!,+A18)</f>
        <v>#REF!</v>
      </c>
      <c r="G18" s="76" t="e">
        <f>COUNTIFS(IH!#REF!,+A18,IH!#REF!,"=APPROVED")</f>
        <v>#REF!</v>
      </c>
      <c r="H18" s="77" t="e">
        <f>COUNTIF(RETAIL!#REF!,+A18)</f>
        <v>#REF!</v>
      </c>
      <c r="J18" s="75" t="s">
        <v>2247</v>
      </c>
      <c r="K18" s="76" t="e">
        <f>SUMIFS(IH!M:M,IH!#REF!,"=DISBURSED",IH!#REF!,+J18)</f>
        <v>#REF!</v>
      </c>
      <c r="L18" s="76" t="e">
        <f>COUNTIFS(IH!#REF!,+J18,IH!#REF!,"=DISBURSED")</f>
        <v>#REF!</v>
      </c>
      <c r="M18" s="76" t="e">
        <f>SUMIFS(IH!M:M,IH!#REF!,"=LOGIN",IH!#REF!,+J18)</f>
        <v>#REF!</v>
      </c>
      <c r="N18" s="76" t="e">
        <f>COUNTIFS(IH!#REF!,+J18,IH!#REF!,"=LOGIN")</f>
        <v>#REF!</v>
      </c>
      <c r="O18" s="76" t="e">
        <f>SUMIFS(IH!M:M,IH!#REF!,"=APPROVED",IH!#REF!,+J18)</f>
        <v>#REF!</v>
      </c>
      <c r="P18" s="76" t="e">
        <f>COUNTIFS(IH!#REF!,+J18,IH!#REF!,"=APPROVED")</f>
        <v>#REF!</v>
      </c>
      <c r="Q18" s="76" t="e">
        <f>SUMIFS(IH!M:M,IH!#REF!,"=REJECTION",IH!#REF!,+J18)</f>
        <v>#REF!</v>
      </c>
      <c r="R18" s="77" t="e">
        <f>COUNTIFS(IH!#REF!,+J18,IH!#REF!,"=REJECTION")</f>
        <v>#REF!</v>
      </c>
    </row>
    <row r="19" spans="1:18">
      <c r="A19" s="75" t="s">
        <v>41</v>
      </c>
      <c r="B19" s="76" t="e">
        <f>SUMIFS(IH!M:M,IH!#REF!,"DISBURSED",IH!#REF!,+A19)</f>
        <v>#REF!</v>
      </c>
      <c r="C19" s="76" t="e">
        <f>COUNTIFS(IH!#REF!,+A19,IH!#REF!,"=DISBURSED")</f>
        <v>#REF!</v>
      </c>
      <c r="D19" s="76" t="e">
        <f>SUMIFS(IH!M:M,IH!#REF!,"LOGIN",IH!#REF!,+A19)</f>
        <v>#REF!</v>
      </c>
      <c r="E19" s="76" t="e">
        <f>COUNTIFS(IH!#REF!,+A19,IH!#REF!,"=LOGIN")</f>
        <v>#REF!</v>
      </c>
      <c r="F19" s="76" t="e">
        <f>SUMIFS(IH!M:M,IH!#REF!,"Approved",IH!#REF!,+A19)</f>
        <v>#REF!</v>
      </c>
      <c r="G19" s="76" t="e">
        <f>COUNTIFS(IH!#REF!,+A19,IH!#REF!,"=APPROVED")</f>
        <v>#REF!</v>
      </c>
      <c r="H19" s="77" t="e">
        <f>COUNTIF(RETAIL!#REF!,+A19)</f>
        <v>#REF!</v>
      </c>
      <c r="J19" s="75" t="s">
        <v>4435</v>
      </c>
      <c r="K19" s="76" t="e">
        <f>SUMIFS(IH!M:M,IH!#REF!,"=DISBURSED",IH!#REF!,+J19)</f>
        <v>#REF!</v>
      </c>
      <c r="L19" s="76" t="e">
        <f>COUNTIFS(IH!#REF!,+J19,IH!#REF!,"=DISBURSED")</f>
        <v>#REF!</v>
      </c>
      <c r="M19" s="76" t="e">
        <f>SUMIFS(IH!M:M,IH!#REF!,"=LOGIN",IH!#REF!,+J19)</f>
        <v>#REF!</v>
      </c>
      <c r="N19" s="76" t="e">
        <f>COUNTIFS(IH!#REF!,+J19,IH!#REF!,"=LOGIN")</f>
        <v>#REF!</v>
      </c>
      <c r="O19" s="76" t="e">
        <f>SUMIFS(IH!M:M,IH!#REF!,"=APPROVED",IH!#REF!,+J19)</f>
        <v>#REF!</v>
      </c>
      <c r="P19" s="76" t="e">
        <f>COUNTIFS(IH!#REF!,+J19,IH!#REF!,"=APPROVED")</f>
        <v>#REF!</v>
      </c>
      <c r="Q19" s="76" t="e">
        <f>SUMIFS(IH!M:M,IH!#REF!,"=REJECTION",IH!#REF!,+J19)</f>
        <v>#REF!</v>
      </c>
      <c r="R19" s="77" t="e">
        <f>COUNTIFS(IH!#REF!,+J19,IH!#REF!,"=REJECTION")</f>
        <v>#REF!</v>
      </c>
    </row>
    <row r="20" ht="16.5" spans="1:18">
      <c r="A20" s="75" t="s">
        <v>4436</v>
      </c>
      <c r="B20" s="76" t="e">
        <f>SUMIFS(IH!M:M,IH!#REF!,"DISBURSED",IH!#REF!,+A20)</f>
        <v>#REF!</v>
      </c>
      <c r="C20" s="76" t="e">
        <f>COUNTIFS(IH!#REF!,+A20,IH!#REF!,"=DISBURSED")</f>
        <v>#REF!</v>
      </c>
      <c r="D20" s="76" t="e">
        <f>SUMIFS(IH!M:M,IH!#REF!,"LOGIN",IH!#REF!,+A20)</f>
        <v>#REF!</v>
      </c>
      <c r="E20" s="76" t="e">
        <f>COUNTIFS(IH!#REF!,+A20,IH!#REF!,"=LOGIN")</f>
        <v>#REF!</v>
      </c>
      <c r="F20" s="76" t="e">
        <f>SUMIFS(IH!M:M,IH!#REF!,"Approved",IH!#REF!,+A20)</f>
        <v>#REF!</v>
      </c>
      <c r="G20" s="76" t="e">
        <f>COUNTIFS(IH!#REF!,+A20,IH!#REF!,"=APPROVED")</f>
        <v>#REF!</v>
      </c>
      <c r="H20" s="77" t="e">
        <f>COUNTIF(RETAIL!#REF!,+A20)</f>
        <v>#REF!</v>
      </c>
      <c r="J20" s="79" t="s">
        <v>4437</v>
      </c>
      <c r="K20" s="76" t="e">
        <f>SUMIFS(IH!M:M,IH!#REF!,"=DISBURSED",IH!#REF!,+J20)</f>
        <v>#REF!</v>
      </c>
      <c r="L20" s="76" t="e">
        <f>COUNTIFS(IH!#REF!,+J20,IH!#REF!,"=DISBURSED")</f>
        <v>#REF!</v>
      </c>
      <c r="M20" s="76" t="e">
        <f>SUMIFS(IH!M:M,IH!#REF!,"=LOGIN",IH!#REF!,+J20)</f>
        <v>#REF!</v>
      </c>
      <c r="N20" s="76" t="e">
        <f>COUNTIFS(IH!#REF!,+J20,IH!#REF!,"=LOGIN")</f>
        <v>#REF!</v>
      </c>
      <c r="O20" s="76" t="e">
        <f>SUMIFS(IH!M:M,IH!#REF!,"=APPROVED",IH!#REF!,+J20)</f>
        <v>#REF!</v>
      </c>
      <c r="P20" s="76" t="e">
        <f>COUNTIFS(IH!#REF!,+J20,IH!#REF!,"=APPROVED")</f>
        <v>#REF!</v>
      </c>
      <c r="Q20" s="76" t="e">
        <f>SUMIFS(IH!M:M,IH!#REF!,"=REJECTION",IH!#REF!,+J20)</f>
        <v>#REF!</v>
      </c>
      <c r="R20" s="77" t="e">
        <f>COUNTIFS(IH!#REF!,+J20,IH!#REF!,"=REJECTION")</f>
        <v>#REF!</v>
      </c>
    </row>
    <row r="21" ht="16.5" spans="1:18">
      <c r="A21" s="75" t="s">
        <v>39</v>
      </c>
      <c r="B21" s="76" t="e">
        <f>SUMIFS(IH!M:M,IH!#REF!,"DISBURSED",IH!#REF!,+A21)</f>
        <v>#REF!</v>
      </c>
      <c r="C21" s="76" t="e">
        <f>COUNTIFS(IH!#REF!,+A21,IH!#REF!,"=DISBURSED")</f>
        <v>#REF!</v>
      </c>
      <c r="D21" s="76" t="e">
        <f>SUMIFS(IH!M:M,IH!#REF!,"LOGIN",IH!#REF!,+A21)</f>
        <v>#REF!</v>
      </c>
      <c r="E21" s="76" t="e">
        <f>COUNTIFS(IH!#REF!,+A21,IH!#REF!,"=LOGIN")</f>
        <v>#REF!</v>
      </c>
      <c r="F21" s="76" t="e">
        <f>SUMIFS(IH!M:M,IH!#REF!,"Approved",IH!#REF!,+A21)</f>
        <v>#REF!</v>
      </c>
      <c r="G21" s="76" t="e">
        <f>COUNTIFS(IH!#REF!,+A21,IH!#REF!,"=APPROVED")</f>
        <v>#REF!</v>
      </c>
      <c r="H21" s="77" t="e">
        <f>COUNTIF(RETAIL!#REF!,+A21)</f>
        <v>#REF!</v>
      </c>
      <c r="J21" s="94" t="s">
        <v>46</v>
      </c>
      <c r="K21" s="89" t="e">
        <f t="shared" ref="K21:R21" si="0">SUM(K6:K20)</f>
        <v>#REF!</v>
      </c>
      <c r="L21" s="89" t="e">
        <f t="shared" si="0"/>
        <v>#REF!</v>
      </c>
      <c r="M21" s="89" t="e">
        <f t="shared" si="0"/>
        <v>#REF!</v>
      </c>
      <c r="N21" s="89" t="e">
        <f t="shared" si="0"/>
        <v>#REF!</v>
      </c>
      <c r="O21" s="89" t="e">
        <f t="shared" si="0"/>
        <v>#REF!</v>
      </c>
      <c r="P21" s="89" t="e">
        <f t="shared" si="0"/>
        <v>#REF!</v>
      </c>
      <c r="Q21" s="89" t="e">
        <f t="shared" si="0"/>
        <v>#REF!</v>
      </c>
      <c r="R21" s="98" t="e">
        <f t="shared" si="0"/>
        <v>#REF!</v>
      </c>
    </row>
    <row r="22" spans="1:18">
      <c r="A22" s="78" t="s">
        <v>42</v>
      </c>
      <c r="B22" s="76" t="e">
        <f>SUMIFS(IH!M:M,IH!#REF!,"DISBURSED",IH!#REF!,+A22)</f>
        <v>#REF!</v>
      </c>
      <c r="C22" s="76" t="e">
        <f>COUNTIFS(IH!#REF!,+A22,IH!#REF!,"=DISBURSED")</f>
        <v>#REF!</v>
      </c>
      <c r="D22" s="76" t="e">
        <f>SUMIFS(IH!M:M,IH!#REF!,"LOGIN",IH!#REF!,+A22)</f>
        <v>#REF!</v>
      </c>
      <c r="E22" s="76" t="e">
        <f>COUNTIFS(IH!#REF!,+A22,IH!#REF!,"=LOGIN")</f>
        <v>#REF!</v>
      </c>
      <c r="F22" s="76" t="e">
        <f>SUMIFS(IH!M:M,IH!#REF!,"Approved",IH!#REF!,+A22)</f>
        <v>#REF!</v>
      </c>
      <c r="G22" s="76" t="e">
        <f>COUNTIFS(IH!#REF!,+A22,IH!#REF!,"=APPROVED")</f>
        <v>#REF!</v>
      </c>
      <c r="H22" s="77" t="e">
        <f>COUNTIF(RETAIL!#REF!,+A22)</f>
        <v>#REF!</v>
      </c>
      <c r="L22"/>
      <c r="M22"/>
      <c r="N22"/>
      <c r="O22"/>
      <c r="P22"/>
      <c r="Q22"/>
      <c r="R22"/>
    </row>
    <row r="23" spans="1:8">
      <c r="A23" s="78" t="s">
        <v>37</v>
      </c>
      <c r="B23" s="76" t="e">
        <f>SUMIFS(IH!M:M,IH!#REF!,"DISBURSED",IH!#REF!,+A23)</f>
        <v>#REF!</v>
      </c>
      <c r="C23" s="76" t="e">
        <f>COUNTIFS(IH!#REF!,+A23,IH!#REF!,"=DISBURSED")</f>
        <v>#REF!</v>
      </c>
      <c r="D23" s="76" t="e">
        <f>SUMIFS(IH!M:M,IH!#REF!,"LOGIN",IH!#REF!,+A23)</f>
        <v>#REF!</v>
      </c>
      <c r="E23" s="76" t="e">
        <f>COUNTIFS(IH!#REF!,+A23,IH!#REF!,"=LOGIN")</f>
        <v>#REF!</v>
      </c>
      <c r="F23" s="76" t="e">
        <f>SUMIFS(IH!M:M,IH!#REF!,"Approved",IH!#REF!,+A23)</f>
        <v>#REF!</v>
      </c>
      <c r="G23" s="76" t="e">
        <f>COUNTIFS(IH!#REF!,+A23,IH!#REF!,"=APPROVED")</f>
        <v>#REF!</v>
      </c>
      <c r="H23" s="77" t="e">
        <f>COUNTIF(RETAIL!#REF!,+A23)</f>
        <v>#REF!</v>
      </c>
    </row>
    <row r="24" ht="16.5" spans="1:8">
      <c r="A24" s="79" t="s">
        <v>33</v>
      </c>
      <c r="B24" s="76" t="e">
        <f>SUMIFS(IH!M:M,IH!#REF!,"DISBURSED",IH!#REF!,+A24)</f>
        <v>#REF!</v>
      </c>
      <c r="C24" s="76" t="e">
        <f>COUNTIFS(IH!#REF!,+A24,IH!#REF!,"=DISBURSED")</f>
        <v>#REF!</v>
      </c>
      <c r="D24" s="76" t="e">
        <f>SUMIFS(IH!M:M,IH!#REF!,"LOGIN",IH!#REF!,+A24)</f>
        <v>#REF!</v>
      </c>
      <c r="E24" s="76" t="e">
        <f>COUNTIFS(IH!#REF!,+A24,IH!#REF!,"=LOGIN")</f>
        <v>#REF!</v>
      </c>
      <c r="F24" s="76" t="e">
        <f>SUMIFS(IH!M:M,IH!#REF!,"Approved",IH!#REF!,+A24)</f>
        <v>#REF!</v>
      </c>
      <c r="G24" s="76" t="e">
        <f>COUNTIFS(IH!#REF!,+A24,IH!#REF!,"=APPROVED")</f>
        <v>#REF!</v>
      </c>
      <c r="H24" s="77" t="e">
        <f>COUNTIF(RETAIL!#REF!,+A24)</f>
        <v>#REF!</v>
      </c>
    </row>
    <row r="25" ht="16.5" spans="1:8">
      <c r="A25" s="80" t="s">
        <v>43</v>
      </c>
      <c r="B25" s="81" t="e">
        <f t="shared" ref="B25:H25" si="1">SUM(B5:B24)</f>
        <v>#REF!</v>
      </c>
      <c r="C25" s="81" t="e">
        <f t="shared" si="1"/>
        <v>#REF!</v>
      </c>
      <c r="D25" s="81" t="e">
        <f t="shared" si="1"/>
        <v>#REF!</v>
      </c>
      <c r="E25" s="81" t="e">
        <f t="shared" si="1"/>
        <v>#REF!</v>
      </c>
      <c r="F25" s="81" t="e">
        <f t="shared" si="1"/>
        <v>#REF!</v>
      </c>
      <c r="G25" s="81" t="e">
        <f t="shared" si="1"/>
        <v>#REF!</v>
      </c>
      <c r="H25" s="82" t="e">
        <f t="shared" si="1"/>
        <v>#REF!</v>
      </c>
    </row>
    <row r="27" spans="9:9">
      <c r="I27"/>
    </row>
    <row r="28" customFormat="1" spans="1:9">
      <c r="A28" s="62"/>
      <c r="B28" s="62"/>
      <c r="C28" s="62"/>
      <c r="D28" s="62"/>
      <c r="E28" s="62"/>
      <c r="F28" s="62"/>
      <c r="G28" s="62"/>
      <c r="H28" s="62"/>
      <c r="I28" s="62"/>
    </row>
    <row r="48" spans="11:18">
      <c r="K48" s="95" t="s">
        <v>4438</v>
      </c>
      <c r="L48" s="95"/>
      <c r="M48" s="95"/>
      <c r="N48" s="95"/>
      <c r="O48" s="95" t="s">
        <v>4439</v>
      </c>
      <c r="P48" s="95"/>
      <c r="Q48" s="95" t="s">
        <v>4440</v>
      </c>
      <c r="R48" s="95"/>
    </row>
    <row r="49" spans="10:18">
      <c r="J49" s="96" t="s">
        <v>4441</v>
      </c>
      <c r="K49" s="96" t="s">
        <v>4442</v>
      </c>
      <c r="L49" s="96" t="s">
        <v>4426</v>
      </c>
      <c r="M49" s="96" t="s">
        <v>4443</v>
      </c>
      <c r="N49" s="96" t="s">
        <v>4444</v>
      </c>
      <c r="O49" s="96" t="s">
        <v>4442</v>
      </c>
      <c r="P49" s="96" t="s">
        <v>4426</v>
      </c>
      <c r="Q49" s="96" t="s">
        <v>4442</v>
      </c>
      <c r="R49" s="96" t="s">
        <v>4426</v>
      </c>
    </row>
    <row r="50" spans="10:18">
      <c r="J50" s="96" t="s">
        <v>4445</v>
      </c>
      <c r="K50" s="97"/>
      <c r="L50" s="97"/>
      <c r="M50" s="97"/>
      <c r="N50" s="97"/>
      <c r="O50" s="97"/>
      <c r="P50" s="97"/>
      <c r="Q50" s="97"/>
      <c r="R50" s="97"/>
    </row>
    <row r="51" spans="10:18">
      <c r="J51" s="96" t="s">
        <v>4446</v>
      </c>
      <c r="K51" s="97"/>
      <c r="L51" s="97"/>
      <c r="M51" s="97"/>
      <c r="N51" s="97"/>
      <c r="O51" s="97"/>
      <c r="P51" s="97"/>
      <c r="Q51" s="97"/>
      <c r="R51" s="97"/>
    </row>
  </sheetData>
  <mergeCells count="16">
    <mergeCell ref="A1:H1"/>
    <mergeCell ref="A2:H2"/>
    <mergeCell ref="B3:C3"/>
    <mergeCell ref="D3:E3"/>
    <mergeCell ref="F3:G3"/>
    <mergeCell ref="J3:K3"/>
    <mergeCell ref="K4:L4"/>
    <mergeCell ref="M4:N4"/>
    <mergeCell ref="O4:P4"/>
    <mergeCell ref="Q4:R4"/>
    <mergeCell ref="K48:N48"/>
    <mergeCell ref="O48:P48"/>
    <mergeCell ref="Q48:R48"/>
    <mergeCell ref="A3:A4"/>
    <mergeCell ref="H3:H4"/>
    <mergeCell ref="J4:J5"/>
  </mergeCells>
  <conditionalFormatting sqref="J16">
    <cfRule type="expression" dxfId="8" priority="1" stopIfTrue="1">
      <formula>AND(COUNTIF($B:$B,J16)&gt;1,NOT(ISBLANK(J16)))</formula>
    </cfRule>
  </conditionalFormatting>
  <pageMargins left="0.75" right="0.75" top="1" bottom="1" header="0.51" footer="0.51"/>
  <pageSetup paperSize="9" orientation="portrait"/>
  <headerFooter alignWithMargins="0" scaleWithDoc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opLeftCell="A28" workbookViewId="0">
      <selection activeCell="K157" sqref="K157"/>
    </sheetView>
  </sheetViews>
  <sheetFormatPr defaultColWidth="9" defaultRowHeight="15.75" outlineLevelCol="5"/>
  <cols>
    <col min="1" max="1" width="3.875" style="46" customWidth="1"/>
    <col min="2" max="2" width="13.625" customWidth="1"/>
    <col min="5" max="5" width="13.75" customWidth="1"/>
    <col min="8" max="8" width="6.25" customWidth="1"/>
  </cols>
  <sheetData>
    <row r="1" spans="1:6">
      <c r="A1" s="49" t="s">
        <v>45</v>
      </c>
      <c r="B1" s="50"/>
      <c r="C1" s="50"/>
      <c r="D1" s="50"/>
      <c r="E1" s="50"/>
      <c r="F1" s="51"/>
    </row>
    <row r="2" spans="1:6">
      <c r="A2" s="52" t="s">
        <v>4447</v>
      </c>
      <c r="B2" s="53" t="s">
        <v>4448</v>
      </c>
      <c r="C2" s="53"/>
      <c r="D2" s="54"/>
      <c r="E2" s="53" t="s">
        <v>4449</v>
      </c>
      <c r="F2" s="53"/>
    </row>
    <row r="3" spans="1:6">
      <c r="A3" s="52"/>
      <c r="B3" s="54" t="s">
        <v>4450</v>
      </c>
      <c r="C3" s="54" t="s">
        <v>4451</v>
      </c>
      <c r="D3" s="54"/>
      <c r="E3" s="54" t="s">
        <v>4450</v>
      </c>
      <c r="F3" s="54" t="s">
        <v>4451</v>
      </c>
    </row>
    <row r="4" spans="1:6">
      <c r="A4" s="53"/>
      <c r="B4" s="3">
        <v>1</v>
      </c>
      <c r="C4" s="55">
        <v>400000</v>
      </c>
      <c r="D4" s="54"/>
      <c r="E4" s="3">
        <v>1</v>
      </c>
      <c r="F4" s="56">
        <v>610000</v>
      </c>
    </row>
    <row r="5" spans="1:6">
      <c r="A5" s="53"/>
      <c r="B5" s="3"/>
      <c r="C5" s="55"/>
      <c r="D5" s="54"/>
      <c r="E5" s="3">
        <v>1</v>
      </c>
      <c r="F5" s="57">
        <v>450000</v>
      </c>
    </row>
    <row r="6" spans="1:6">
      <c r="A6" s="53"/>
      <c r="B6" s="3"/>
      <c r="C6" s="55"/>
      <c r="D6" s="54"/>
      <c r="E6" s="3"/>
      <c r="F6" s="58"/>
    </row>
    <row r="7" spans="1:6">
      <c r="A7" s="53"/>
      <c r="B7" s="3"/>
      <c r="C7" s="55"/>
      <c r="D7" s="54"/>
      <c r="E7" s="59"/>
      <c r="F7" s="58"/>
    </row>
    <row r="8" spans="1:6">
      <c r="A8" s="53"/>
      <c r="B8" s="3"/>
      <c r="C8" s="55"/>
      <c r="D8" s="54"/>
      <c r="E8" s="59"/>
      <c r="F8" s="55"/>
    </row>
    <row r="9" spans="1:6">
      <c r="A9" s="53"/>
      <c r="B9" s="3"/>
      <c r="C9" s="55"/>
      <c r="D9" s="54"/>
      <c r="E9" s="59"/>
      <c r="F9" s="60"/>
    </row>
    <row r="10" spans="1:6">
      <c r="A10" s="53"/>
      <c r="B10" s="3"/>
      <c r="C10" s="60"/>
      <c r="D10" s="54"/>
      <c r="E10" s="59"/>
      <c r="F10" s="60"/>
    </row>
    <row r="11" spans="1:6">
      <c r="A11" s="53"/>
      <c r="B11" s="3"/>
      <c r="C11" s="60"/>
      <c r="D11" s="54"/>
      <c r="E11" s="54"/>
      <c r="F11" s="54"/>
    </row>
    <row r="12" spans="1:6">
      <c r="A12" s="53"/>
      <c r="B12" s="3"/>
      <c r="C12" s="60"/>
      <c r="D12" s="54"/>
      <c r="E12" s="54"/>
      <c r="F12" s="54"/>
    </row>
    <row r="13" spans="1:6">
      <c r="A13" s="53"/>
      <c r="B13" s="3"/>
      <c r="C13" s="60"/>
      <c r="D13" s="54"/>
      <c r="E13" s="54"/>
      <c r="F13" s="54"/>
    </row>
    <row r="14" spans="1:6">
      <c r="A14" s="53"/>
      <c r="B14" s="54"/>
      <c r="C14" s="54"/>
      <c r="D14" s="54"/>
      <c r="E14" s="54"/>
      <c r="F14" s="54"/>
    </row>
    <row r="15" spans="1:6">
      <c r="A15" s="53"/>
      <c r="B15" s="54"/>
      <c r="C15" s="54"/>
      <c r="D15" s="54"/>
      <c r="E15" s="54"/>
      <c r="F15" s="54"/>
    </row>
    <row r="16" spans="1:6">
      <c r="A16" s="53"/>
      <c r="B16" s="54"/>
      <c r="C16" s="54"/>
      <c r="D16" s="54"/>
      <c r="E16" s="54"/>
      <c r="F16" s="54"/>
    </row>
    <row r="17" spans="1:6">
      <c r="A17" s="53"/>
      <c r="B17" s="54"/>
      <c r="C17" s="54"/>
      <c r="D17" s="54"/>
      <c r="E17" s="54"/>
      <c r="F17" s="54"/>
    </row>
    <row r="18" spans="1:6">
      <c r="A18" s="53"/>
      <c r="B18" s="54"/>
      <c r="C18" s="54"/>
      <c r="D18" s="54"/>
      <c r="E18" s="54"/>
      <c r="F18" s="54"/>
    </row>
    <row r="19" spans="1:6">
      <c r="A19" s="53"/>
      <c r="B19" s="54"/>
      <c r="C19" s="54"/>
      <c r="D19" s="54"/>
      <c r="E19" s="54"/>
      <c r="F19" s="54"/>
    </row>
    <row r="20" spans="1:6">
      <c r="A20" s="53"/>
      <c r="B20" s="54"/>
      <c r="C20" s="54"/>
      <c r="D20" s="54"/>
      <c r="E20" s="54"/>
      <c r="F20" s="54"/>
    </row>
    <row r="21" spans="1:6">
      <c r="A21" s="53"/>
      <c r="B21" s="54"/>
      <c r="C21" s="54"/>
      <c r="D21" s="54"/>
      <c r="E21" s="54"/>
      <c r="F21" s="54"/>
    </row>
    <row r="22" spans="1:6">
      <c r="A22" s="53"/>
      <c r="B22" s="54"/>
      <c r="C22" s="54"/>
      <c r="D22" s="54"/>
      <c r="E22" s="54"/>
      <c r="F22" s="54"/>
    </row>
    <row r="23" spans="1:6">
      <c r="A23" s="53"/>
      <c r="B23" s="54"/>
      <c r="C23" s="54"/>
      <c r="D23" s="54"/>
      <c r="E23" s="54"/>
      <c r="F23" s="54"/>
    </row>
    <row r="24" spans="1:6">
      <c r="A24" s="53"/>
      <c r="B24" s="54"/>
      <c r="C24" s="54"/>
      <c r="D24" s="54"/>
      <c r="E24" s="54"/>
      <c r="F24" s="54"/>
    </row>
    <row r="25" spans="1:6">
      <c r="A25" s="53"/>
      <c r="B25" s="54"/>
      <c r="C25" s="54"/>
      <c r="D25" s="54"/>
      <c r="E25" s="54"/>
      <c r="F25" s="54"/>
    </row>
    <row r="26" spans="1:6">
      <c r="A26" s="53"/>
      <c r="B26" s="54"/>
      <c r="C26" s="54"/>
      <c r="D26" s="54"/>
      <c r="E26" s="54"/>
      <c r="F26" s="54"/>
    </row>
    <row r="27" spans="1:6">
      <c r="A27" s="53"/>
      <c r="B27" s="54"/>
      <c r="C27" s="54"/>
      <c r="D27" s="54"/>
      <c r="E27" s="54"/>
      <c r="F27" s="54"/>
    </row>
    <row r="28" spans="1:6">
      <c r="A28" s="53"/>
      <c r="B28" s="54"/>
      <c r="C28" s="54"/>
      <c r="D28" s="54"/>
      <c r="E28" s="54"/>
      <c r="F28" s="54"/>
    </row>
    <row r="29" spans="1:6">
      <c r="A29" s="53"/>
      <c r="B29" s="54"/>
      <c r="C29" s="54"/>
      <c r="D29" s="54"/>
      <c r="E29" s="54"/>
      <c r="F29" s="54"/>
    </row>
    <row r="30" spans="1:6">
      <c r="A30" s="53"/>
      <c r="B30" s="54"/>
      <c r="C30" s="54"/>
      <c r="D30" s="54"/>
      <c r="E30" s="54"/>
      <c r="F30" s="54"/>
    </row>
    <row r="31" spans="1:6">
      <c r="A31" s="53"/>
      <c r="B31" s="54"/>
      <c r="C31" s="54"/>
      <c r="D31" s="54"/>
      <c r="E31" s="54"/>
      <c r="F31" s="54"/>
    </row>
    <row r="32" spans="1:6">
      <c r="A32" s="53"/>
      <c r="B32" s="54"/>
      <c r="C32" s="54"/>
      <c r="D32" s="54"/>
      <c r="E32" s="54"/>
      <c r="F32" s="54"/>
    </row>
    <row r="33" spans="1:6">
      <c r="A33" s="53"/>
      <c r="B33" s="54"/>
      <c r="C33" s="54"/>
      <c r="D33" s="54"/>
      <c r="E33" s="54"/>
      <c r="F33" s="54"/>
    </row>
    <row r="34" spans="1:6">
      <c r="A34" s="53"/>
      <c r="B34" s="54"/>
      <c r="C34" s="54"/>
      <c r="D34" s="54"/>
      <c r="E34" s="54"/>
      <c r="F34" s="54"/>
    </row>
    <row r="35" spans="1:6">
      <c r="A35" s="53"/>
      <c r="B35" s="54"/>
      <c r="C35" s="54"/>
      <c r="D35" s="54"/>
      <c r="E35" s="54"/>
      <c r="F35" s="54"/>
    </row>
    <row r="36" spans="1:6">
      <c r="A36" s="53"/>
      <c r="B36" s="54"/>
      <c r="C36" s="54"/>
      <c r="D36" s="54"/>
      <c r="E36" s="54"/>
      <c r="F36" s="54"/>
    </row>
    <row r="37" spans="1:6">
      <c r="A37" s="53"/>
      <c r="B37" s="54"/>
      <c r="C37" s="54"/>
      <c r="D37" s="54"/>
      <c r="E37" s="54"/>
      <c r="F37" s="54"/>
    </row>
    <row r="38" spans="1:6">
      <c r="A38" s="53"/>
      <c r="B38" s="54"/>
      <c r="C38" s="54"/>
      <c r="D38" s="54"/>
      <c r="E38" s="54"/>
      <c r="F38" s="54"/>
    </row>
  </sheetData>
  <mergeCells count="4">
    <mergeCell ref="A1:F1"/>
    <mergeCell ref="B2:C2"/>
    <mergeCell ref="E2:F2"/>
    <mergeCell ref="A2:A3"/>
  </mergeCells>
  <conditionalFormatting sqref="F6">
    <cfRule type="duplicateValues" dxfId="2" priority="1"/>
  </conditionalFormatting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82"/>
  <sheetViews>
    <sheetView topLeftCell="B62" workbookViewId="0">
      <selection activeCell="K157" sqref="K157"/>
    </sheetView>
  </sheetViews>
  <sheetFormatPr defaultColWidth="27.625" defaultRowHeight="13.15" customHeight="1"/>
  <cols>
    <col min="1" max="1" width="4" customWidth="1"/>
    <col min="2" max="2" width="20.625" customWidth="1"/>
    <col min="3" max="3" width="13.25" customWidth="1"/>
    <col min="4" max="4" width="15" customWidth="1"/>
    <col min="5" max="5" width="7.75" customWidth="1"/>
    <col min="6" max="6" width="9.875" customWidth="1"/>
    <col min="7" max="7" width="7.5" customWidth="1"/>
    <col min="8" max="8" width="8.375" customWidth="1"/>
    <col min="9" max="9" width="5.5" customWidth="1"/>
    <col min="10" max="10" width="8.125" customWidth="1"/>
    <col min="11" max="11" width="6.375" customWidth="1"/>
    <col min="12" max="12" width="31.5" customWidth="1"/>
    <col min="13" max="13" width="9.75" customWidth="1"/>
    <col min="14" max="14" width="7.875" customWidth="1"/>
    <col min="15" max="15" width="10.375" customWidth="1"/>
    <col min="16" max="16" width="11" customWidth="1"/>
    <col min="17" max="17" width="8.875" customWidth="1"/>
    <col min="18" max="18" width="5.75" customWidth="1"/>
    <col min="19" max="19" width="6.5" customWidth="1"/>
    <col min="20" max="20" width="13.25" customWidth="1"/>
    <col min="21" max="21" width="10.125" customWidth="1"/>
  </cols>
  <sheetData>
    <row r="1" ht="19.9" customHeight="1" spans="1:21">
      <c r="A1" s="1" t="s">
        <v>4452</v>
      </c>
      <c r="B1" s="1" t="s">
        <v>4453</v>
      </c>
      <c r="C1" s="1" t="s">
        <v>4454</v>
      </c>
      <c r="D1" s="1" t="s">
        <v>4455</v>
      </c>
      <c r="E1" s="1" t="s">
        <v>4456</v>
      </c>
      <c r="F1" s="1" t="s">
        <v>4457</v>
      </c>
      <c r="G1" s="2" t="s">
        <v>4458</v>
      </c>
      <c r="H1" s="2" t="s">
        <v>4459</v>
      </c>
      <c r="I1" s="1" t="s">
        <v>4460</v>
      </c>
      <c r="J1" s="1" t="s">
        <v>4461</v>
      </c>
      <c r="K1" s="1" t="s">
        <v>2132</v>
      </c>
      <c r="L1" s="1" t="s">
        <v>2302</v>
      </c>
      <c r="M1" s="1" t="s">
        <v>4462</v>
      </c>
      <c r="N1" s="1" t="s">
        <v>4463</v>
      </c>
      <c r="O1" s="1" t="s">
        <v>4464</v>
      </c>
      <c r="P1" s="1" t="s">
        <v>4465</v>
      </c>
      <c r="Q1" s="1" t="s">
        <v>4466</v>
      </c>
      <c r="R1" s="1" t="s">
        <v>4467</v>
      </c>
      <c r="S1" s="1" t="s">
        <v>4468</v>
      </c>
      <c r="T1" s="42" t="s">
        <v>4469</v>
      </c>
      <c r="U1" s="1" t="s">
        <v>4470</v>
      </c>
    </row>
    <row r="2" customHeight="1" spans="1:21">
      <c r="A2" s="3">
        <v>1</v>
      </c>
      <c r="B2" s="3" t="s">
        <v>4471</v>
      </c>
      <c r="C2" s="4"/>
      <c r="D2" s="5">
        <v>221501110152342</v>
      </c>
      <c r="E2" s="3" t="s">
        <v>4472</v>
      </c>
      <c r="F2" s="3">
        <v>425000</v>
      </c>
      <c r="G2" s="6"/>
      <c r="H2" s="3">
        <v>9307.5</v>
      </c>
      <c r="I2" s="3">
        <v>60</v>
      </c>
      <c r="J2" s="3" t="s">
        <v>411</v>
      </c>
      <c r="K2" s="3" t="s">
        <v>39</v>
      </c>
      <c r="L2" s="3" t="s">
        <v>4473</v>
      </c>
      <c r="M2" s="3" t="s">
        <v>4474</v>
      </c>
      <c r="N2" s="33">
        <v>44513</v>
      </c>
      <c r="O2" s="3"/>
      <c r="P2" s="33">
        <v>44548</v>
      </c>
      <c r="Q2" s="3" t="s">
        <v>368</v>
      </c>
      <c r="R2" s="3"/>
      <c r="S2" s="43">
        <v>0</v>
      </c>
      <c r="T2" s="3" t="s">
        <v>10</v>
      </c>
      <c r="U2" s="3"/>
    </row>
    <row r="3" customHeight="1" spans="1:21">
      <c r="A3" s="3">
        <v>2</v>
      </c>
      <c r="B3" s="7" t="s">
        <v>4475</v>
      </c>
      <c r="C3" s="3">
        <v>110030218</v>
      </c>
      <c r="D3" s="8">
        <v>221501110152484</v>
      </c>
      <c r="E3" s="3" t="s">
        <v>683</v>
      </c>
      <c r="F3" s="3">
        <v>547000</v>
      </c>
      <c r="G3" s="3">
        <v>13401.5</v>
      </c>
      <c r="H3" s="3">
        <v>13401.5</v>
      </c>
      <c r="I3" s="3">
        <v>60</v>
      </c>
      <c r="J3" s="3" t="s">
        <v>4407</v>
      </c>
      <c r="K3" s="3" t="s">
        <v>16</v>
      </c>
      <c r="L3" s="3" t="s">
        <v>4476</v>
      </c>
      <c r="M3" s="3" t="s">
        <v>4477</v>
      </c>
      <c r="N3" s="33">
        <v>44523</v>
      </c>
      <c r="O3" s="33"/>
      <c r="P3" s="33">
        <v>44537</v>
      </c>
      <c r="Q3" s="3" t="s">
        <v>368</v>
      </c>
      <c r="R3" s="3"/>
      <c r="S3" s="43">
        <v>0</v>
      </c>
      <c r="T3" s="3" t="s">
        <v>10</v>
      </c>
      <c r="U3" s="3"/>
    </row>
    <row r="4" customHeight="1" spans="1:21">
      <c r="A4" s="3">
        <v>3</v>
      </c>
      <c r="B4" s="9" t="s">
        <v>4478</v>
      </c>
      <c r="C4" s="3"/>
      <c r="D4" s="8">
        <v>221501110152452</v>
      </c>
      <c r="E4" s="9" t="s">
        <v>4479</v>
      </c>
      <c r="F4" s="10">
        <v>275000</v>
      </c>
      <c r="G4" s="6"/>
      <c r="H4" s="11">
        <v>5923.5</v>
      </c>
      <c r="I4" s="3">
        <v>60</v>
      </c>
      <c r="J4" s="30" t="s">
        <v>437</v>
      </c>
      <c r="K4" s="3" t="s">
        <v>32</v>
      </c>
      <c r="L4" s="9" t="s">
        <v>3424</v>
      </c>
      <c r="M4" s="9" t="s">
        <v>531</v>
      </c>
      <c r="N4" s="33">
        <v>44527</v>
      </c>
      <c r="O4" s="3"/>
      <c r="P4" s="33">
        <v>44532</v>
      </c>
      <c r="Q4" s="3" t="s">
        <v>368</v>
      </c>
      <c r="R4" s="3"/>
      <c r="S4" s="43">
        <v>0</v>
      </c>
      <c r="T4" s="3"/>
      <c r="U4" s="3"/>
    </row>
    <row r="5" customHeight="1" spans="1:21">
      <c r="A5" s="3">
        <v>4</v>
      </c>
      <c r="B5" s="7" t="s">
        <v>4480</v>
      </c>
      <c r="C5" s="3"/>
      <c r="D5" s="8">
        <v>221501110152640</v>
      </c>
      <c r="E5" s="3" t="s">
        <v>1016</v>
      </c>
      <c r="F5" s="10">
        <v>320000</v>
      </c>
      <c r="G5" s="6"/>
      <c r="H5" s="3">
        <v>7008</v>
      </c>
      <c r="I5" s="3">
        <v>60</v>
      </c>
      <c r="J5" s="3" t="s">
        <v>777</v>
      </c>
      <c r="K5" s="3" t="s">
        <v>24</v>
      </c>
      <c r="L5" s="9" t="s">
        <v>4481</v>
      </c>
      <c r="M5" s="3" t="s">
        <v>4482</v>
      </c>
      <c r="N5" s="33">
        <v>44533</v>
      </c>
      <c r="O5" s="3"/>
      <c r="P5" s="33">
        <v>44538</v>
      </c>
      <c r="Q5" s="3" t="s">
        <v>368</v>
      </c>
      <c r="R5" s="3"/>
      <c r="S5" s="43">
        <v>0</v>
      </c>
      <c r="T5" s="3" t="s">
        <v>10</v>
      </c>
      <c r="U5" s="3"/>
    </row>
    <row r="6" customHeight="1" spans="1:21">
      <c r="A6" s="3">
        <v>5</v>
      </c>
      <c r="B6" s="9" t="s">
        <v>4483</v>
      </c>
      <c r="C6" s="12" t="s">
        <v>4484</v>
      </c>
      <c r="D6" s="8">
        <v>221501110152723</v>
      </c>
      <c r="E6" s="9" t="s">
        <v>463</v>
      </c>
      <c r="F6" s="3">
        <v>850000</v>
      </c>
      <c r="G6" s="6"/>
      <c r="H6" s="3">
        <v>17850</v>
      </c>
      <c r="I6" s="3">
        <v>60</v>
      </c>
      <c r="J6" s="3" t="s">
        <v>1902</v>
      </c>
      <c r="K6" s="3" t="s">
        <v>24</v>
      </c>
      <c r="L6" s="9" t="s">
        <v>4485</v>
      </c>
      <c r="M6" s="3" t="s">
        <v>4482</v>
      </c>
      <c r="N6" s="33">
        <v>44538</v>
      </c>
      <c r="O6" s="3"/>
      <c r="P6" s="33">
        <v>44547</v>
      </c>
      <c r="Q6" s="3" t="s">
        <v>368</v>
      </c>
      <c r="R6" s="3">
        <v>8500</v>
      </c>
      <c r="S6" s="43">
        <v>0.01</v>
      </c>
      <c r="T6" s="3" t="s">
        <v>10</v>
      </c>
      <c r="U6" s="3"/>
    </row>
    <row r="7" customHeight="1" spans="1:21">
      <c r="A7" s="3">
        <v>6</v>
      </c>
      <c r="B7" s="7" t="s">
        <v>4486</v>
      </c>
      <c r="C7" s="3"/>
      <c r="D7" s="8">
        <v>221501110152244</v>
      </c>
      <c r="E7" s="3" t="s">
        <v>1016</v>
      </c>
      <c r="F7" s="3">
        <v>300000</v>
      </c>
      <c r="G7" s="6"/>
      <c r="H7" s="11">
        <v>6300</v>
      </c>
      <c r="I7" s="3">
        <v>60</v>
      </c>
      <c r="J7" s="30" t="s">
        <v>1902</v>
      </c>
      <c r="K7" s="3" t="s">
        <v>39</v>
      </c>
      <c r="L7" s="9" t="s">
        <v>4487</v>
      </c>
      <c r="M7" s="9" t="s">
        <v>261</v>
      </c>
      <c r="N7" s="33">
        <v>44540</v>
      </c>
      <c r="O7" s="3"/>
      <c r="P7" s="33">
        <v>44539</v>
      </c>
      <c r="Q7" s="3" t="s">
        <v>368</v>
      </c>
      <c r="R7" s="3"/>
      <c r="S7" s="43">
        <v>0</v>
      </c>
      <c r="T7" s="3" t="s">
        <v>10</v>
      </c>
      <c r="U7" s="3"/>
    </row>
    <row r="8" customHeight="1" spans="1:21">
      <c r="A8" s="3">
        <v>7</v>
      </c>
      <c r="B8" s="7" t="s">
        <v>4488</v>
      </c>
      <c r="C8" s="3"/>
      <c r="D8" s="8">
        <v>221501110152636</v>
      </c>
      <c r="E8" s="3" t="s">
        <v>683</v>
      </c>
      <c r="F8" s="10">
        <v>400000</v>
      </c>
      <c r="G8" s="6"/>
      <c r="H8" s="3">
        <v>8760</v>
      </c>
      <c r="I8" s="3">
        <v>60</v>
      </c>
      <c r="J8" s="30" t="s">
        <v>411</v>
      </c>
      <c r="K8" s="3" t="s">
        <v>32</v>
      </c>
      <c r="L8" s="9" t="s">
        <v>3424</v>
      </c>
      <c r="M8" s="9" t="s">
        <v>531</v>
      </c>
      <c r="N8" s="33">
        <v>44538</v>
      </c>
      <c r="O8" s="3"/>
      <c r="P8" s="33">
        <v>44539</v>
      </c>
      <c r="Q8" s="3" t="s">
        <v>368</v>
      </c>
      <c r="R8" s="3"/>
      <c r="S8" s="43">
        <v>0</v>
      </c>
      <c r="T8" s="3"/>
      <c r="U8" s="3"/>
    </row>
    <row r="9" customHeight="1" spans="1:21">
      <c r="A9" s="3">
        <v>8</v>
      </c>
      <c r="B9" s="7" t="s">
        <v>4489</v>
      </c>
      <c r="C9" s="3"/>
      <c r="D9" s="8">
        <v>221501110152660</v>
      </c>
      <c r="E9" s="3" t="s">
        <v>4479</v>
      </c>
      <c r="F9" s="3">
        <v>300000</v>
      </c>
      <c r="G9" s="6"/>
      <c r="H9" s="3">
        <v>6570</v>
      </c>
      <c r="I9" s="3">
        <v>60</v>
      </c>
      <c r="J9" s="30" t="s">
        <v>777</v>
      </c>
      <c r="K9" s="3" t="s">
        <v>24</v>
      </c>
      <c r="L9" s="9" t="s">
        <v>4481</v>
      </c>
      <c r="M9" s="9" t="s">
        <v>4482</v>
      </c>
      <c r="N9" s="33">
        <v>44539</v>
      </c>
      <c r="O9" s="3"/>
      <c r="P9" s="33">
        <v>44539</v>
      </c>
      <c r="Q9" s="3" t="s">
        <v>368</v>
      </c>
      <c r="R9" s="3"/>
      <c r="S9" s="43">
        <v>0</v>
      </c>
      <c r="T9" s="3"/>
      <c r="U9" s="3"/>
    </row>
    <row r="10" customHeight="1" spans="1:21">
      <c r="A10" s="3">
        <v>9</v>
      </c>
      <c r="B10" s="7" t="s">
        <v>4490</v>
      </c>
      <c r="C10" s="3">
        <v>110326889</v>
      </c>
      <c r="D10" s="5">
        <v>221501110152756</v>
      </c>
      <c r="E10" s="3" t="s">
        <v>504</v>
      </c>
      <c r="F10" s="10">
        <v>790000</v>
      </c>
      <c r="G10" s="3">
        <v>19355</v>
      </c>
      <c r="H10" s="3">
        <v>19355</v>
      </c>
      <c r="I10" s="3">
        <v>60</v>
      </c>
      <c r="J10" s="30" t="s">
        <v>4407</v>
      </c>
      <c r="K10" s="3" t="s">
        <v>39</v>
      </c>
      <c r="L10" s="9" t="s">
        <v>4491</v>
      </c>
      <c r="M10" s="3" t="s">
        <v>4474</v>
      </c>
      <c r="N10" s="33">
        <v>44540</v>
      </c>
      <c r="O10" s="3"/>
      <c r="P10" s="33">
        <v>44541</v>
      </c>
      <c r="Q10" s="3" t="s">
        <v>368</v>
      </c>
      <c r="R10" s="3"/>
      <c r="S10" s="43">
        <v>0</v>
      </c>
      <c r="T10" s="3" t="s">
        <v>10</v>
      </c>
      <c r="U10" s="3"/>
    </row>
    <row r="11" customHeight="1" spans="1:21">
      <c r="A11" s="3">
        <v>10</v>
      </c>
      <c r="B11" s="7" t="s">
        <v>4492</v>
      </c>
      <c r="C11" s="9" t="s">
        <v>4493</v>
      </c>
      <c r="D11" s="5">
        <v>221501110152763</v>
      </c>
      <c r="E11" s="9" t="s">
        <v>504</v>
      </c>
      <c r="F11" s="9">
        <v>832000</v>
      </c>
      <c r="G11" s="9"/>
      <c r="H11" s="3">
        <v>18220.8</v>
      </c>
      <c r="I11" s="9">
        <v>60</v>
      </c>
      <c r="J11" s="9" t="s">
        <v>777</v>
      </c>
      <c r="K11" s="3" t="s">
        <v>22</v>
      </c>
      <c r="L11" s="9" t="s">
        <v>4494</v>
      </c>
      <c r="M11" s="9" t="s">
        <v>4495</v>
      </c>
      <c r="N11" s="34">
        <v>44541</v>
      </c>
      <c r="O11" s="3"/>
      <c r="P11" s="33">
        <v>44552</v>
      </c>
      <c r="Q11" s="3" t="s">
        <v>368</v>
      </c>
      <c r="R11" s="3"/>
      <c r="S11" s="43">
        <v>0</v>
      </c>
      <c r="T11" s="3" t="s">
        <v>10</v>
      </c>
      <c r="U11" s="3" t="s">
        <v>4496</v>
      </c>
    </row>
    <row r="12" customHeight="1" spans="1:21">
      <c r="A12" s="3">
        <v>11</v>
      </c>
      <c r="B12" s="3" t="s">
        <v>4497</v>
      </c>
      <c r="C12" s="3"/>
      <c r="D12" s="5">
        <v>221501110152673</v>
      </c>
      <c r="E12" s="3" t="s">
        <v>735</v>
      </c>
      <c r="F12" s="3">
        <v>563000</v>
      </c>
      <c r="G12" s="3">
        <v>13793.5</v>
      </c>
      <c r="H12" s="3">
        <v>13793.5</v>
      </c>
      <c r="I12" s="3">
        <v>60</v>
      </c>
      <c r="J12" s="3" t="s">
        <v>4407</v>
      </c>
      <c r="K12" s="3" t="s">
        <v>22</v>
      </c>
      <c r="L12" s="9" t="s">
        <v>4083</v>
      </c>
      <c r="M12" s="3" t="s">
        <v>4495</v>
      </c>
      <c r="N12" s="33">
        <v>44540</v>
      </c>
      <c r="O12" s="3"/>
      <c r="P12" s="33">
        <v>44541</v>
      </c>
      <c r="Q12" s="3" t="s">
        <v>368</v>
      </c>
      <c r="R12" s="3"/>
      <c r="S12" s="43">
        <v>0</v>
      </c>
      <c r="T12" s="3" t="s">
        <v>10</v>
      </c>
      <c r="U12" s="3"/>
    </row>
    <row r="13" customHeight="1" spans="1:21">
      <c r="A13" s="3">
        <v>12</v>
      </c>
      <c r="B13" s="7" t="s">
        <v>4498</v>
      </c>
      <c r="C13" s="9" t="s">
        <v>4499</v>
      </c>
      <c r="D13" s="5">
        <v>221501110152729</v>
      </c>
      <c r="E13" s="9" t="s">
        <v>4479</v>
      </c>
      <c r="F13" s="9">
        <v>300000</v>
      </c>
      <c r="G13" s="9"/>
      <c r="H13" s="3">
        <v>6300</v>
      </c>
      <c r="I13" s="9">
        <v>60</v>
      </c>
      <c r="J13" s="9" t="s">
        <v>1902</v>
      </c>
      <c r="K13" s="3" t="s">
        <v>39</v>
      </c>
      <c r="L13" s="9" t="s">
        <v>4491</v>
      </c>
      <c r="M13" s="3" t="s">
        <v>4474</v>
      </c>
      <c r="N13" s="34">
        <v>44543</v>
      </c>
      <c r="O13" s="3"/>
      <c r="P13" s="33">
        <v>44544</v>
      </c>
      <c r="Q13" s="3" t="s">
        <v>368</v>
      </c>
      <c r="R13" s="3"/>
      <c r="S13" s="43">
        <v>0</v>
      </c>
      <c r="T13" s="3" t="s">
        <v>10</v>
      </c>
      <c r="U13" s="3"/>
    </row>
    <row r="14" customHeight="1" spans="1:21">
      <c r="A14" s="3">
        <v>13</v>
      </c>
      <c r="B14" s="13" t="s">
        <v>4500</v>
      </c>
      <c r="C14" s="13" t="s">
        <v>4501</v>
      </c>
      <c r="D14" s="14">
        <v>221501110152792</v>
      </c>
      <c r="E14" s="13" t="s">
        <v>2166</v>
      </c>
      <c r="F14" s="13">
        <v>400000</v>
      </c>
      <c r="G14" s="13"/>
      <c r="H14" s="3">
        <v>8400</v>
      </c>
      <c r="I14" s="13">
        <v>60</v>
      </c>
      <c r="J14" s="13" t="s">
        <v>1902</v>
      </c>
      <c r="K14" s="3" t="s">
        <v>39</v>
      </c>
      <c r="L14" s="9" t="s">
        <v>4491</v>
      </c>
      <c r="M14" s="35" t="s">
        <v>4474</v>
      </c>
      <c r="N14" s="36">
        <v>44543</v>
      </c>
      <c r="O14" s="35"/>
      <c r="P14" s="37">
        <v>44545</v>
      </c>
      <c r="Q14" s="35" t="s">
        <v>368</v>
      </c>
      <c r="R14" s="3"/>
      <c r="S14" s="43">
        <v>0</v>
      </c>
      <c r="T14" s="3" t="s">
        <v>10</v>
      </c>
      <c r="U14" s="3"/>
    </row>
    <row r="15" customHeight="1" spans="1:21">
      <c r="A15" s="3">
        <v>14</v>
      </c>
      <c r="B15" s="7" t="s">
        <v>4502</v>
      </c>
      <c r="C15" s="9" t="s">
        <v>4503</v>
      </c>
      <c r="D15" s="5">
        <v>221501110152784</v>
      </c>
      <c r="E15" s="9" t="s">
        <v>735</v>
      </c>
      <c r="F15" s="9">
        <v>500000</v>
      </c>
      <c r="G15" s="9"/>
      <c r="H15" s="9"/>
      <c r="I15" s="9">
        <v>60</v>
      </c>
      <c r="J15" s="9" t="s">
        <v>437</v>
      </c>
      <c r="K15" s="3" t="s">
        <v>24</v>
      </c>
      <c r="L15" s="38" t="s">
        <v>4504</v>
      </c>
      <c r="M15" s="3" t="s">
        <v>4482</v>
      </c>
      <c r="N15" s="34">
        <v>44543</v>
      </c>
      <c r="O15" s="3"/>
      <c r="P15" s="33">
        <v>44560</v>
      </c>
      <c r="Q15" s="3" t="s">
        <v>368</v>
      </c>
      <c r="R15" s="44"/>
      <c r="S15" s="3"/>
      <c r="T15" s="3" t="s">
        <v>10</v>
      </c>
      <c r="U15" s="3"/>
    </row>
    <row r="16" customHeight="1" spans="1:21">
      <c r="A16" s="3">
        <v>15</v>
      </c>
      <c r="B16" s="7" t="s">
        <v>4505</v>
      </c>
      <c r="C16" s="9">
        <v>125209510</v>
      </c>
      <c r="D16" s="5">
        <v>221501110152021</v>
      </c>
      <c r="E16" s="9" t="s">
        <v>532</v>
      </c>
      <c r="F16" s="9">
        <v>400000</v>
      </c>
      <c r="G16" s="9"/>
      <c r="H16" s="11">
        <v>8616</v>
      </c>
      <c r="I16" s="9">
        <v>60</v>
      </c>
      <c r="J16" s="9" t="s">
        <v>507</v>
      </c>
      <c r="K16" s="3" t="s">
        <v>39</v>
      </c>
      <c r="L16" s="9" t="s">
        <v>2388</v>
      </c>
      <c r="M16" s="9" t="s">
        <v>261</v>
      </c>
      <c r="N16" s="34">
        <v>44543</v>
      </c>
      <c r="O16" s="3"/>
      <c r="P16" s="33">
        <v>44548</v>
      </c>
      <c r="Q16" s="3" t="s">
        <v>368</v>
      </c>
      <c r="R16" s="44"/>
      <c r="S16" s="43">
        <v>0</v>
      </c>
      <c r="T16" s="3" t="s">
        <v>10</v>
      </c>
      <c r="U16" s="3"/>
    </row>
    <row r="17" customHeight="1" spans="1:21">
      <c r="A17" s="3">
        <v>16</v>
      </c>
      <c r="B17" s="7" t="s">
        <v>4506</v>
      </c>
      <c r="C17" s="9" t="s">
        <v>4507</v>
      </c>
      <c r="D17" s="5">
        <v>221501110152698</v>
      </c>
      <c r="E17" s="9" t="s">
        <v>1016</v>
      </c>
      <c r="F17" s="15">
        <v>320000</v>
      </c>
      <c r="G17" s="9"/>
      <c r="H17" s="9"/>
      <c r="I17" s="9">
        <v>60</v>
      </c>
      <c r="J17" s="9" t="s">
        <v>1902</v>
      </c>
      <c r="K17" s="3" t="s">
        <v>39</v>
      </c>
      <c r="L17" s="9" t="s">
        <v>4508</v>
      </c>
      <c r="M17" s="9" t="s">
        <v>261</v>
      </c>
      <c r="N17" s="34">
        <v>44544</v>
      </c>
      <c r="O17" s="3"/>
      <c r="P17" s="33">
        <v>44560</v>
      </c>
      <c r="Q17" s="3" t="s">
        <v>368</v>
      </c>
      <c r="R17" s="44"/>
      <c r="S17" s="3"/>
      <c r="T17" s="3" t="s">
        <v>10</v>
      </c>
      <c r="U17" s="3"/>
    </row>
    <row r="18" customHeight="1" spans="1:21">
      <c r="A18" s="3">
        <v>17</v>
      </c>
      <c r="B18" s="7" t="s">
        <v>4509</v>
      </c>
      <c r="C18" s="9" t="s">
        <v>4510</v>
      </c>
      <c r="D18" s="8">
        <v>221501110152778</v>
      </c>
      <c r="E18" s="9" t="s">
        <v>683</v>
      </c>
      <c r="F18" s="16">
        <v>500000</v>
      </c>
      <c r="G18" s="9"/>
      <c r="H18" s="3">
        <v>10950</v>
      </c>
      <c r="I18" s="9">
        <v>60</v>
      </c>
      <c r="J18" s="9" t="s">
        <v>411</v>
      </c>
      <c r="K18" s="3" t="s">
        <v>32</v>
      </c>
      <c r="L18" s="9" t="s">
        <v>4511</v>
      </c>
      <c r="M18" s="9" t="s">
        <v>531</v>
      </c>
      <c r="N18" s="34"/>
      <c r="O18" s="3"/>
      <c r="P18" s="34">
        <v>44545</v>
      </c>
      <c r="Q18" s="3" t="s">
        <v>368</v>
      </c>
      <c r="R18" s="3"/>
      <c r="S18" s="43">
        <v>0</v>
      </c>
      <c r="T18" s="3"/>
      <c r="U18" s="3"/>
    </row>
    <row r="19" customHeight="1" spans="1:21">
      <c r="A19" s="3">
        <v>18</v>
      </c>
      <c r="B19" s="7" t="s">
        <v>4512</v>
      </c>
      <c r="C19" s="9">
        <v>2740545</v>
      </c>
      <c r="D19" s="8">
        <v>221501110152624</v>
      </c>
      <c r="E19" s="9" t="s">
        <v>2166</v>
      </c>
      <c r="F19" s="16">
        <v>205000</v>
      </c>
      <c r="G19" s="9"/>
      <c r="H19" s="11">
        <v>4415.7</v>
      </c>
      <c r="I19" s="9">
        <v>60</v>
      </c>
      <c r="J19" s="9" t="s">
        <v>437</v>
      </c>
      <c r="K19" s="3" t="s">
        <v>32</v>
      </c>
      <c r="L19" s="9" t="s">
        <v>4511</v>
      </c>
      <c r="M19" s="9" t="s">
        <v>531</v>
      </c>
      <c r="N19" s="34"/>
      <c r="O19" s="3"/>
      <c r="P19" s="33">
        <v>44545</v>
      </c>
      <c r="Q19" s="3" t="s">
        <v>368</v>
      </c>
      <c r="R19" s="3"/>
      <c r="S19" s="43">
        <v>0</v>
      </c>
      <c r="T19" s="3" t="s">
        <v>10</v>
      </c>
      <c r="U19" s="3"/>
    </row>
    <row r="20" customHeight="1" spans="1:21">
      <c r="A20" s="3">
        <v>19</v>
      </c>
      <c r="B20" s="17" t="s">
        <v>4513</v>
      </c>
      <c r="C20" s="18"/>
      <c r="D20" s="19">
        <v>221501110152730</v>
      </c>
      <c r="E20" s="18" t="s">
        <v>735</v>
      </c>
      <c r="F20" s="20">
        <v>500000</v>
      </c>
      <c r="G20" s="18"/>
      <c r="H20" s="21">
        <v>10500</v>
      </c>
      <c r="I20" s="18">
        <v>60</v>
      </c>
      <c r="J20" s="18" t="s">
        <v>1902</v>
      </c>
      <c r="K20" s="21" t="s">
        <v>39</v>
      </c>
      <c r="L20" s="18" t="s">
        <v>4514</v>
      </c>
      <c r="M20" s="18" t="s">
        <v>4515</v>
      </c>
      <c r="N20" s="34"/>
      <c r="O20" s="3"/>
      <c r="P20" s="33">
        <v>44545</v>
      </c>
      <c r="Q20" s="3" t="s">
        <v>368</v>
      </c>
      <c r="R20" s="3"/>
      <c r="S20" s="43">
        <v>0</v>
      </c>
      <c r="T20" s="3"/>
      <c r="U20" s="3"/>
    </row>
    <row r="21" customHeight="1" spans="1:21">
      <c r="A21" s="3">
        <v>20</v>
      </c>
      <c r="B21" s="7" t="s">
        <v>4516</v>
      </c>
      <c r="C21" s="9"/>
      <c r="D21" s="8">
        <v>221501110152820</v>
      </c>
      <c r="E21" s="9" t="s">
        <v>2166</v>
      </c>
      <c r="F21" s="16">
        <v>320000</v>
      </c>
      <c r="G21" s="9"/>
      <c r="H21" s="3">
        <v>7008</v>
      </c>
      <c r="I21" s="9">
        <v>60</v>
      </c>
      <c r="J21" s="9" t="s">
        <v>411</v>
      </c>
      <c r="K21" s="3" t="s">
        <v>24</v>
      </c>
      <c r="L21" s="9" t="s">
        <v>4517</v>
      </c>
      <c r="M21" s="9" t="s">
        <v>4482</v>
      </c>
      <c r="N21" s="34"/>
      <c r="O21" s="3"/>
      <c r="P21" s="33">
        <v>44546</v>
      </c>
      <c r="Q21" s="3" t="s">
        <v>368</v>
      </c>
      <c r="R21" s="3"/>
      <c r="S21" s="43">
        <v>0</v>
      </c>
      <c r="T21" s="3"/>
      <c r="U21" s="3"/>
    </row>
    <row r="22" customHeight="1" spans="1:21">
      <c r="A22" s="3">
        <v>21</v>
      </c>
      <c r="B22" s="9" t="s">
        <v>4518</v>
      </c>
      <c r="C22" s="9">
        <v>6052578</v>
      </c>
      <c r="D22" s="9"/>
      <c r="E22" s="9" t="s">
        <v>735</v>
      </c>
      <c r="F22" s="15">
        <v>320000</v>
      </c>
      <c r="G22" s="9"/>
      <c r="H22" s="3">
        <v>7840</v>
      </c>
      <c r="I22" s="9">
        <v>60</v>
      </c>
      <c r="J22" s="9" t="s">
        <v>457</v>
      </c>
      <c r="K22" s="3" t="s">
        <v>32</v>
      </c>
      <c r="L22" s="9" t="s">
        <v>3424</v>
      </c>
      <c r="M22" s="9" t="s">
        <v>531</v>
      </c>
      <c r="N22" s="34">
        <v>44546</v>
      </c>
      <c r="O22" s="3"/>
      <c r="P22" s="33">
        <v>44550</v>
      </c>
      <c r="Q22" s="3" t="s">
        <v>368</v>
      </c>
      <c r="R22" s="3"/>
      <c r="S22" s="3"/>
      <c r="T22" s="3" t="s">
        <v>10</v>
      </c>
      <c r="U22" s="3"/>
    </row>
    <row r="23" customHeight="1" spans="1:21">
      <c r="A23" s="3">
        <v>22</v>
      </c>
      <c r="B23" s="22" t="s">
        <v>4519</v>
      </c>
      <c r="C23" s="23">
        <v>133949235</v>
      </c>
      <c r="D23" s="24">
        <v>221501110151850</v>
      </c>
      <c r="E23" s="23" t="s">
        <v>683</v>
      </c>
      <c r="F23" s="18">
        <v>496000</v>
      </c>
      <c r="G23" s="25"/>
      <c r="H23" s="26">
        <v>10683.84</v>
      </c>
      <c r="I23" s="22">
        <v>60</v>
      </c>
      <c r="J23" s="39" t="s">
        <v>507</v>
      </c>
      <c r="K23" s="21" t="s">
        <v>22</v>
      </c>
      <c r="L23" s="18" t="s">
        <v>4520</v>
      </c>
      <c r="M23" s="40" t="s">
        <v>4495</v>
      </c>
      <c r="N23" s="35"/>
      <c r="O23" s="35"/>
      <c r="P23" s="37">
        <v>44547</v>
      </c>
      <c r="Q23" s="35" t="s">
        <v>368</v>
      </c>
      <c r="R23" s="35"/>
      <c r="S23" s="43">
        <v>0</v>
      </c>
      <c r="T23" s="3" t="s">
        <v>10</v>
      </c>
      <c r="U23" s="3"/>
    </row>
    <row r="24" customHeight="1" spans="1:21">
      <c r="A24" s="3">
        <v>23</v>
      </c>
      <c r="B24" s="27" t="s">
        <v>4521</v>
      </c>
      <c r="C24" s="3"/>
      <c r="D24" s="8">
        <v>221501110152406</v>
      </c>
      <c r="E24" s="3" t="s">
        <v>683</v>
      </c>
      <c r="F24" s="3">
        <v>550000</v>
      </c>
      <c r="G24" s="6"/>
      <c r="H24" s="3">
        <v>11550</v>
      </c>
      <c r="I24" s="9">
        <v>60</v>
      </c>
      <c r="J24" s="30" t="s">
        <v>1902</v>
      </c>
      <c r="K24" s="3" t="s">
        <v>39</v>
      </c>
      <c r="L24" s="9" t="s">
        <v>4487</v>
      </c>
      <c r="M24" s="9" t="s">
        <v>261</v>
      </c>
      <c r="N24" s="3"/>
      <c r="O24" s="3"/>
      <c r="P24" s="33">
        <v>44547</v>
      </c>
      <c r="Q24" s="3" t="s">
        <v>368</v>
      </c>
      <c r="R24" s="3"/>
      <c r="S24" s="43">
        <v>0</v>
      </c>
      <c r="T24" s="3" t="s">
        <v>10</v>
      </c>
      <c r="U24" s="3"/>
    </row>
    <row r="25" customHeight="1" spans="1:21">
      <c r="A25" s="3">
        <v>24</v>
      </c>
      <c r="B25" s="9" t="s">
        <v>4522</v>
      </c>
      <c r="C25" s="3"/>
      <c r="D25" s="8">
        <v>221501110152795</v>
      </c>
      <c r="E25" s="9" t="s">
        <v>4479</v>
      </c>
      <c r="F25" s="3">
        <v>369000</v>
      </c>
      <c r="G25" s="6"/>
      <c r="H25" s="3">
        <v>7749</v>
      </c>
      <c r="I25" s="9">
        <v>60</v>
      </c>
      <c r="J25" s="30" t="s">
        <v>1902</v>
      </c>
      <c r="K25" s="3" t="s">
        <v>39</v>
      </c>
      <c r="L25" s="9" t="s">
        <v>4491</v>
      </c>
      <c r="M25" s="9" t="s">
        <v>4474</v>
      </c>
      <c r="N25" s="3"/>
      <c r="O25" s="3"/>
      <c r="P25" s="33">
        <v>44547</v>
      </c>
      <c r="Q25" s="3" t="s">
        <v>368</v>
      </c>
      <c r="R25" s="3"/>
      <c r="S25" s="43">
        <v>0</v>
      </c>
      <c r="T25" s="3" t="s">
        <v>10</v>
      </c>
      <c r="U25" s="3"/>
    </row>
    <row r="26" customHeight="1" spans="1:21">
      <c r="A26" s="3">
        <v>25</v>
      </c>
      <c r="B26" s="7" t="s">
        <v>4523</v>
      </c>
      <c r="C26" s="3" t="s">
        <v>4524</v>
      </c>
      <c r="D26" s="8">
        <v>221501110151801</v>
      </c>
      <c r="E26" s="3" t="s">
        <v>504</v>
      </c>
      <c r="F26" s="3">
        <v>850000</v>
      </c>
      <c r="G26" s="6"/>
      <c r="H26" s="3">
        <v>18615</v>
      </c>
      <c r="I26" s="9">
        <v>60</v>
      </c>
      <c r="J26" s="30" t="s">
        <v>777</v>
      </c>
      <c r="K26" s="9" t="s">
        <v>39</v>
      </c>
      <c r="L26" s="9" t="s">
        <v>4491</v>
      </c>
      <c r="M26" s="9" t="s">
        <v>4474</v>
      </c>
      <c r="N26" s="34">
        <v>44547</v>
      </c>
      <c r="O26" s="3"/>
      <c r="P26" s="33">
        <v>44552</v>
      </c>
      <c r="Q26" s="3" t="s">
        <v>368</v>
      </c>
      <c r="R26" s="3"/>
      <c r="S26" s="43">
        <v>0</v>
      </c>
      <c r="T26" s="3" t="s">
        <v>10</v>
      </c>
      <c r="U26" s="3" t="s">
        <v>4525</v>
      </c>
    </row>
    <row r="27" customHeight="1" spans="1:21">
      <c r="A27" s="3">
        <v>26</v>
      </c>
      <c r="B27" s="7" t="s">
        <v>4526</v>
      </c>
      <c r="C27" s="3" t="s">
        <v>4527</v>
      </c>
      <c r="D27" s="5">
        <v>221501110152912</v>
      </c>
      <c r="E27" s="9" t="s">
        <v>4479</v>
      </c>
      <c r="F27" s="16">
        <v>275000</v>
      </c>
      <c r="G27" s="6"/>
      <c r="H27" s="3">
        <v>5775</v>
      </c>
      <c r="I27" s="9">
        <v>60</v>
      </c>
      <c r="J27" s="30" t="s">
        <v>1902</v>
      </c>
      <c r="K27" s="9" t="s">
        <v>39</v>
      </c>
      <c r="L27" s="9" t="s">
        <v>4473</v>
      </c>
      <c r="M27" s="9" t="s">
        <v>4474</v>
      </c>
      <c r="N27" s="34">
        <v>44547</v>
      </c>
      <c r="O27" s="3"/>
      <c r="P27" s="33">
        <v>44548</v>
      </c>
      <c r="Q27" s="3" t="s">
        <v>368</v>
      </c>
      <c r="R27" s="3"/>
      <c r="S27" s="43">
        <v>0</v>
      </c>
      <c r="T27" s="3" t="s">
        <v>10</v>
      </c>
      <c r="U27" s="3"/>
    </row>
    <row r="28" customHeight="1" spans="1:21">
      <c r="A28" s="3">
        <v>27</v>
      </c>
      <c r="B28" s="9" t="s">
        <v>4528</v>
      </c>
      <c r="C28" s="3">
        <v>133969517</v>
      </c>
      <c r="D28" s="8">
        <v>221501110152794</v>
      </c>
      <c r="E28" s="9" t="s">
        <v>2166</v>
      </c>
      <c r="F28" s="16">
        <v>300000</v>
      </c>
      <c r="G28" s="6"/>
      <c r="H28" s="11">
        <v>6462</v>
      </c>
      <c r="I28" s="9">
        <v>60</v>
      </c>
      <c r="J28" s="30" t="s">
        <v>507</v>
      </c>
      <c r="K28" s="9" t="s">
        <v>24</v>
      </c>
      <c r="L28" s="9" t="s">
        <v>4529</v>
      </c>
      <c r="M28" s="9" t="s">
        <v>4482</v>
      </c>
      <c r="N28" s="34"/>
      <c r="O28" s="3"/>
      <c r="P28" s="33">
        <v>44550</v>
      </c>
      <c r="Q28" s="3" t="s">
        <v>368</v>
      </c>
      <c r="R28" s="3"/>
      <c r="S28" s="43">
        <v>0</v>
      </c>
      <c r="T28" s="3"/>
      <c r="U28" s="3"/>
    </row>
    <row r="29" customHeight="1" spans="1:21">
      <c r="A29" s="3">
        <v>28</v>
      </c>
      <c r="B29" s="9" t="s">
        <v>4530</v>
      </c>
      <c r="C29" s="3" t="s">
        <v>4531</v>
      </c>
      <c r="D29" s="8"/>
      <c r="E29" s="3" t="s">
        <v>683</v>
      </c>
      <c r="F29" s="15">
        <v>500000</v>
      </c>
      <c r="G29" s="6"/>
      <c r="H29" s="3"/>
      <c r="I29" s="9">
        <v>60</v>
      </c>
      <c r="J29" s="30" t="s">
        <v>437</v>
      </c>
      <c r="K29" s="3" t="s">
        <v>22</v>
      </c>
      <c r="L29" s="18" t="s">
        <v>4532</v>
      </c>
      <c r="M29" s="9" t="s">
        <v>4495</v>
      </c>
      <c r="N29" s="34">
        <v>44551</v>
      </c>
      <c r="O29" s="3"/>
      <c r="P29" s="33">
        <v>44561</v>
      </c>
      <c r="Q29" s="3" t="s">
        <v>368</v>
      </c>
      <c r="R29" s="3"/>
      <c r="S29" s="44"/>
      <c r="T29" s="3" t="s">
        <v>10</v>
      </c>
      <c r="U29" s="3"/>
    </row>
    <row r="30" customHeight="1" spans="1:21">
      <c r="A30" s="3">
        <v>29</v>
      </c>
      <c r="B30" s="9" t="s">
        <v>4533</v>
      </c>
      <c r="C30" s="3">
        <v>6193035</v>
      </c>
      <c r="D30" s="8"/>
      <c r="E30" s="9" t="s">
        <v>4479</v>
      </c>
      <c r="F30" s="16">
        <v>400000</v>
      </c>
      <c r="G30" s="6"/>
      <c r="H30" s="3"/>
      <c r="I30" s="9">
        <v>60</v>
      </c>
      <c r="J30" s="30" t="s">
        <v>457</v>
      </c>
      <c r="K30" s="3" t="s">
        <v>24</v>
      </c>
      <c r="L30" s="9" t="s">
        <v>4534</v>
      </c>
      <c r="M30" s="9" t="s">
        <v>4482</v>
      </c>
      <c r="N30" s="34">
        <v>44551</v>
      </c>
      <c r="O30" s="3"/>
      <c r="P30" s="33">
        <v>44561</v>
      </c>
      <c r="Q30" s="3" t="s">
        <v>368</v>
      </c>
      <c r="R30" s="3"/>
      <c r="S30" s="3"/>
      <c r="T30" s="3" t="s">
        <v>10</v>
      </c>
      <c r="U30" s="3"/>
    </row>
    <row r="31" customHeight="1" spans="1:21">
      <c r="A31" s="3">
        <v>30</v>
      </c>
      <c r="B31" s="9" t="s">
        <v>4535</v>
      </c>
      <c r="C31" s="3" t="s">
        <v>4536</v>
      </c>
      <c r="D31" s="8"/>
      <c r="E31" s="3" t="s">
        <v>683</v>
      </c>
      <c r="F31" s="15">
        <v>520000</v>
      </c>
      <c r="G31" s="6"/>
      <c r="H31" s="3"/>
      <c r="I31" s="9">
        <v>60</v>
      </c>
      <c r="J31" s="30" t="s">
        <v>1902</v>
      </c>
      <c r="K31" s="3" t="s">
        <v>16</v>
      </c>
      <c r="L31" s="3"/>
      <c r="M31" s="9" t="s">
        <v>4477</v>
      </c>
      <c r="N31" s="34">
        <v>44551</v>
      </c>
      <c r="O31" s="3"/>
      <c r="P31" s="33">
        <v>44561</v>
      </c>
      <c r="Q31" s="3" t="s">
        <v>368</v>
      </c>
      <c r="R31" s="3"/>
      <c r="S31" s="44"/>
      <c r="T31" s="3" t="s">
        <v>10</v>
      </c>
      <c r="U31" s="3"/>
    </row>
    <row r="32" customHeight="1" spans="1:21">
      <c r="A32" s="3">
        <v>31</v>
      </c>
      <c r="B32" s="7" t="s">
        <v>4537</v>
      </c>
      <c r="C32" s="3">
        <v>125496632</v>
      </c>
      <c r="D32" s="8">
        <v>221501110152932</v>
      </c>
      <c r="E32" s="3" t="s">
        <v>463</v>
      </c>
      <c r="F32" s="16">
        <v>682000</v>
      </c>
      <c r="G32" s="6"/>
      <c r="H32" s="11">
        <v>14690.28</v>
      </c>
      <c r="I32" s="9">
        <v>60</v>
      </c>
      <c r="J32" s="30" t="s">
        <v>507</v>
      </c>
      <c r="K32" s="3" t="s">
        <v>24</v>
      </c>
      <c r="L32" s="3" t="s">
        <v>4538</v>
      </c>
      <c r="M32" s="9" t="s">
        <v>4482</v>
      </c>
      <c r="N32" s="34">
        <v>44551</v>
      </c>
      <c r="O32" s="3"/>
      <c r="P32" s="33">
        <v>44553</v>
      </c>
      <c r="Q32" s="3" t="s">
        <v>368</v>
      </c>
      <c r="R32" s="3"/>
      <c r="S32" s="43">
        <v>0</v>
      </c>
      <c r="T32" s="3" t="s">
        <v>10</v>
      </c>
      <c r="U32" s="3"/>
    </row>
    <row r="33" customHeight="1" spans="1:21">
      <c r="A33" s="3">
        <v>32</v>
      </c>
      <c r="B33" s="17" t="s">
        <v>4539</v>
      </c>
      <c r="C33" s="21" t="s">
        <v>4540</v>
      </c>
      <c r="D33" s="19">
        <v>221501110153034</v>
      </c>
      <c r="E33" s="21" t="s">
        <v>2166</v>
      </c>
      <c r="F33" s="20">
        <v>410000</v>
      </c>
      <c r="G33" s="28"/>
      <c r="H33" s="21">
        <v>8610</v>
      </c>
      <c r="I33" s="18">
        <v>60</v>
      </c>
      <c r="J33" s="41" t="s">
        <v>1902</v>
      </c>
      <c r="K33" s="21" t="s">
        <v>22</v>
      </c>
      <c r="L33" s="21" t="s">
        <v>4532</v>
      </c>
      <c r="M33" s="18" t="s">
        <v>4495</v>
      </c>
      <c r="N33" s="34">
        <v>44551</v>
      </c>
      <c r="O33" s="3"/>
      <c r="P33" s="33">
        <v>44557</v>
      </c>
      <c r="Q33" s="3" t="s">
        <v>368</v>
      </c>
      <c r="R33" s="3"/>
      <c r="S33" s="43">
        <v>0</v>
      </c>
      <c r="T33" s="3" t="s">
        <v>10</v>
      </c>
      <c r="U33" s="3"/>
    </row>
    <row r="34" customHeight="1" spans="1:21">
      <c r="A34" s="3">
        <v>33</v>
      </c>
      <c r="B34" s="9" t="s">
        <v>4541</v>
      </c>
      <c r="C34" s="3" t="s">
        <v>4542</v>
      </c>
      <c r="D34" s="8"/>
      <c r="E34" s="9" t="s">
        <v>4479</v>
      </c>
      <c r="F34" s="16">
        <v>350000</v>
      </c>
      <c r="G34" s="6"/>
      <c r="H34" s="3"/>
      <c r="I34" s="9">
        <v>60</v>
      </c>
      <c r="J34" s="30" t="s">
        <v>437</v>
      </c>
      <c r="K34" s="3" t="s">
        <v>39</v>
      </c>
      <c r="L34" s="3" t="s">
        <v>4514</v>
      </c>
      <c r="M34" s="9" t="s">
        <v>4515</v>
      </c>
      <c r="N34" s="34">
        <v>44551</v>
      </c>
      <c r="O34" s="3"/>
      <c r="P34" s="33">
        <v>44561</v>
      </c>
      <c r="Q34" s="3" t="s">
        <v>368</v>
      </c>
      <c r="R34" s="3"/>
      <c r="S34" s="44"/>
      <c r="T34" s="3" t="s">
        <v>1430</v>
      </c>
      <c r="U34" s="3"/>
    </row>
    <row r="35" customHeight="1" spans="1:21">
      <c r="A35" s="3">
        <v>34</v>
      </c>
      <c r="B35" s="9" t="s">
        <v>4543</v>
      </c>
      <c r="C35" s="3" t="s">
        <v>4544</v>
      </c>
      <c r="D35" s="8"/>
      <c r="E35" s="3" t="s">
        <v>735</v>
      </c>
      <c r="F35" s="15">
        <v>275000</v>
      </c>
      <c r="G35" s="6"/>
      <c r="H35" s="3"/>
      <c r="I35" s="9">
        <v>60</v>
      </c>
      <c r="J35" s="30" t="s">
        <v>437</v>
      </c>
      <c r="K35" s="3" t="s">
        <v>24</v>
      </c>
      <c r="L35" s="3" t="s">
        <v>4517</v>
      </c>
      <c r="M35" s="9" t="s">
        <v>4482</v>
      </c>
      <c r="N35" s="34">
        <v>44552</v>
      </c>
      <c r="O35" s="3"/>
      <c r="P35" s="33">
        <v>44561</v>
      </c>
      <c r="Q35" s="3" t="s">
        <v>368</v>
      </c>
      <c r="R35" s="3"/>
      <c r="S35" s="3"/>
      <c r="T35" s="3" t="s">
        <v>1430</v>
      </c>
      <c r="U35" s="3"/>
    </row>
    <row r="36" customHeight="1" spans="1:21">
      <c r="A36" s="3">
        <v>35</v>
      </c>
      <c r="B36" s="9" t="s">
        <v>4545</v>
      </c>
      <c r="C36" s="3">
        <v>6200511</v>
      </c>
      <c r="D36" s="8"/>
      <c r="E36" s="3" t="s">
        <v>463</v>
      </c>
      <c r="F36" s="15">
        <v>400000</v>
      </c>
      <c r="G36" s="6"/>
      <c r="H36" s="3"/>
      <c r="I36" s="9">
        <v>60</v>
      </c>
      <c r="J36" s="30" t="s">
        <v>457</v>
      </c>
      <c r="K36" s="3" t="s">
        <v>24</v>
      </c>
      <c r="L36" s="3" t="s">
        <v>4529</v>
      </c>
      <c r="M36" s="9" t="s">
        <v>4482</v>
      </c>
      <c r="N36" s="34">
        <v>44553</v>
      </c>
      <c r="O36" s="3"/>
      <c r="P36" s="33">
        <v>44561</v>
      </c>
      <c r="Q36" s="3" t="s">
        <v>368</v>
      </c>
      <c r="R36" s="3"/>
      <c r="S36" s="3"/>
      <c r="T36" s="3" t="s">
        <v>1430</v>
      </c>
      <c r="U36" s="3"/>
    </row>
    <row r="37" customHeight="1" spans="1:21">
      <c r="A37" s="3">
        <v>36</v>
      </c>
      <c r="B37" s="7" t="s">
        <v>4546</v>
      </c>
      <c r="C37" s="3"/>
      <c r="D37" s="8">
        <v>221501110152654</v>
      </c>
      <c r="E37" s="3" t="s">
        <v>489</v>
      </c>
      <c r="F37" s="15">
        <v>321000</v>
      </c>
      <c r="G37" s="6"/>
      <c r="H37" s="3">
        <v>7029.9</v>
      </c>
      <c r="I37" s="9">
        <v>60</v>
      </c>
      <c r="J37" s="30" t="s">
        <v>411</v>
      </c>
      <c r="K37" s="3" t="s">
        <v>22</v>
      </c>
      <c r="L37" s="3" t="s">
        <v>4520</v>
      </c>
      <c r="M37" s="9" t="s">
        <v>4495</v>
      </c>
      <c r="N37" s="33">
        <v>44539</v>
      </c>
      <c r="O37" s="3"/>
      <c r="P37" s="33">
        <v>44557</v>
      </c>
      <c r="Q37" s="3" t="s">
        <v>368</v>
      </c>
      <c r="R37" s="3"/>
      <c r="S37" s="43">
        <v>0</v>
      </c>
      <c r="T37" s="3" t="s">
        <v>10</v>
      </c>
      <c r="U37" s="3"/>
    </row>
    <row r="38" customHeight="1" spans="1:21">
      <c r="A38" s="3">
        <v>37</v>
      </c>
      <c r="B38" s="7" t="s">
        <v>4547</v>
      </c>
      <c r="C38" s="3"/>
      <c r="D38" s="8">
        <v>221501110152711</v>
      </c>
      <c r="E38" s="3" t="s">
        <v>1028</v>
      </c>
      <c r="F38" s="16">
        <v>619000</v>
      </c>
      <c r="G38" s="6"/>
      <c r="H38" s="3">
        <v>13556.1</v>
      </c>
      <c r="I38" s="9">
        <v>60</v>
      </c>
      <c r="J38" s="30" t="s">
        <v>411</v>
      </c>
      <c r="K38" s="3" t="s">
        <v>24</v>
      </c>
      <c r="L38" s="3" t="s">
        <v>4517</v>
      </c>
      <c r="M38" s="9" t="s">
        <v>4482</v>
      </c>
      <c r="N38" s="33">
        <v>44539</v>
      </c>
      <c r="O38" s="3"/>
      <c r="P38" s="33">
        <v>44557</v>
      </c>
      <c r="Q38" s="3" t="s">
        <v>368</v>
      </c>
      <c r="R38" s="3"/>
      <c r="S38" s="43">
        <v>0</v>
      </c>
      <c r="T38" s="3" t="s">
        <v>10</v>
      </c>
      <c r="U38" s="3"/>
    </row>
    <row r="39" customHeight="1" spans="1:21">
      <c r="A39" s="3">
        <v>38</v>
      </c>
      <c r="B39" s="7" t="s">
        <v>4548</v>
      </c>
      <c r="C39" s="3"/>
      <c r="D39" s="8">
        <v>221501110152760</v>
      </c>
      <c r="E39" s="3" t="s">
        <v>463</v>
      </c>
      <c r="F39" s="16">
        <v>800000</v>
      </c>
      <c r="G39" s="6"/>
      <c r="H39" s="3">
        <v>19600</v>
      </c>
      <c r="I39" s="9">
        <v>60</v>
      </c>
      <c r="J39" s="30" t="s">
        <v>457</v>
      </c>
      <c r="K39" s="3" t="s">
        <v>24</v>
      </c>
      <c r="L39" s="3" t="s">
        <v>4481</v>
      </c>
      <c r="M39" s="9" t="s">
        <v>4482</v>
      </c>
      <c r="N39" s="33">
        <v>44539</v>
      </c>
      <c r="O39" s="3"/>
      <c r="P39" s="33">
        <v>44557</v>
      </c>
      <c r="Q39" s="3" t="s">
        <v>368</v>
      </c>
      <c r="R39" s="3">
        <v>16000</v>
      </c>
      <c r="S39" s="43">
        <v>0.02</v>
      </c>
      <c r="T39" s="3" t="s">
        <v>10</v>
      </c>
      <c r="U39" s="3"/>
    </row>
    <row r="40" customHeight="1" spans="1:21">
      <c r="A40" s="3">
        <v>39</v>
      </c>
      <c r="B40" s="7" t="s">
        <v>4549</v>
      </c>
      <c r="C40" s="3"/>
      <c r="D40" s="8">
        <v>221501110152386</v>
      </c>
      <c r="E40" s="3" t="s">
        <v>4550</v>
      </c>
      <c r="F40" s="15">
        <v>560000</v>
      </c>
      <c r="G40" s="6"/>
      <c r="H40" s="3">
        <v>12264</v>
      </c>
      <c r="I40" s="9">
        <v>60</v>
      </c>
      <c r="J40" s="30" t="s">
        <v>777</v>
      </c>
      <c r="K40" s="3" t="s">
        <v>22</v>
      </c>
      <c r="L40" s="3" t="s">
        <v>4551</v>
      </c>
      <c r="M40" s="9" t="s">
        <v>4495</v>
      </c>
      <c r="N40" s="33">
        <v>44537</v>
      </c>
      <c r="O40" s="3"/>
      <c r="P40" s="33">
        <v>44557</v>
      </c>
      <c r="Q40" s="3" t="s">
        <v>368</v>
      </c>
      <c r="R40" s="3"/>
      <c r="S40" s="43">
        <v>0</v>
      </c>
      <c r="T40" s="3"/>
      <c r="U40" s="3"/>
    </row>
    <row r="41" customHeight="1" spans="1:21">
      <c r="A41" s="3">
        <v>40</v>
      </c>
      <c r="B41" s="7" t="s">
        <v>4552</v>
      </c>
      <c r="C41" s="3">
        <v>134066939</v>
      </c>
      <c r="D41" s="8">
        <v>221501110152568</v>
      </c>
      <c r="E41" s="3" t="s">
        <v>1028</v>
      </c>
      <c r="F41" s="16">
        <v>700000</v>
      </c>
      <c r="G41" s="6"/>
      <c r="H41" s="11">
        <v>15078</v>
      </c>
      <c r="I41" s="9">
        <v>60</v>
      </c>
      <c r="J41" s="30" t="s">
        <v>507</v>
      </c>
      <c r="K41" s="3" t="s">
        <v>24</v>
      </c>
      <c r="L41" s="3" t="s">
        <v>4481</v>
      </c>
      <c r="M41" s="9" t="s">
        <v>4482</v>
      </c>
      <c r="N41" s="33">
        <v>44540</v>
      </c>
      <c r="O41" s="3"/>
      <c r="P41" s="33">
        <v>44557</v>
      </c>
      <c r="Q41" s="3" t="s">
        <v>368</v>
      </c>
      <c r="R41" s="3"/>
      <c r="S41" s="43">
        <v>0</v>
      </c>
      <c r="T41" s="3"/>
      <c r="U41" s="3"/>
    </row>
    <row r="42" customHeight="1" spans="1:21">
      <c r="A42" s="3">
        <v>41</v>
      </c>
      <c r="B42" s="7" t="s">
        <v>4553</v>
      </c>
      <c r="C42" s="3"/>
      <c r="D42" s="8">
        <v>221501110152890</v>
      </c>
      <c r="E42" s="3" t="s">
        <v>2166</v>
      </c>
      <c r="F42" s="15">
        <v>312000</v>
      </c>
      <c r="G42" s="6"/>
      <c r="H42" s="11">
        <v>6720.48</v>
      </c>
      <c r="I42" s="9">
        <v>60</v>
      </c>
      <c r="J42" s="30" t="s">
        <v>437</v>
      </c>
      <c r="K42" s="3" t="s">
        <v>22</v>
      </c>
      <c r="L42" s="3" t="s">
        <v>4520</v>
      </c>
      <c r="M42" s="9" t="s">
        <v>4495</v>
      </c>
      <c r="N42" s="33">
        <v>44540</v>
      </c>
      <c r="O42" s="3"/>
      <c r="P42" s="33">
        <v>44557</v>
      </c>
      <c r="Q42" s="3" t="s">
        <v>368</v>
      </c>
      <c r="R42" s="3"/>
      <c r="S42" s="43">
        <v>0</v>
      </c>
      <c r="T42" s="3" t="s">
        <v>10</v>
      </c>
      <c r="U42" s="3"/>
    </row>
    <row r="43" customHeight="1" spans="1:21">
      <c r="A43" s="3">
        <v>42</v>
      </c>
      <c r="B43" s="7" t="s">
        <v>4554</v>
      </c>
      <c r="C43" s="3"/>
      <c r="D43" s="8">
        <v>221501110152899</v>
      </c>
      <c r="E43" s="3" t="s">
        <v>489</v>
      </c>
      <c r="F43" s="15">
        <v>320000</v>
      </c>
      <c r="G43" s="6"/>
      <c r="H43" s="3">
        <v>7008</v>
      </c>
      <c r="I43" s="9">
        <v>60</v>
      </c>
      <c r="J43" s="30" t="s">
        <v>777</v>
      </c>
      <c r="K43" s="3" t="s">
        <v>22</v>
      </c>
      <c r="L43" s="3" t="s">
        <v>4555</v>
      </c>
      <c r="M43" s="9" t="s">
        <v>4495</v>
      </c>
      <c r="N43" s="34">
        <v>44541</v>
      </c>
      <c r="O43" s="3"/>
      <c r="P43" s="33">
        <v>44557</v>
      </c>
      <c r="Q43" s="3" t="s">
        <v>368</v>
      </c>
      <c r="R43" s="3"/>
      <c r="S43" s="43">
        <v>0</v>
      </c>
      <c r="T43" s="3"/>
      <c r="U43" s="44"/>
    </row>
    <row r="44" customHeight="1" spans="1:21">
      <c r="A44" s="3">
        <v>43</v>
      </c>
      <c r="B44" s="7" t="s">
        <v>4556</v>
      </c>
      <c r="C44" s="3"/>
      <c r="D44" s="8">
        <v>221501110152968</v>
      </c>
      <c r="E44" s="3" t="s">
        <v>735</v>
      </c>
      <c r="F44" s="15">
        <v>325000</v>
      </c>
      <c r="G44" s="6"/>
      <c r="H44" s="3">
        <v>6825</v>
      </c>
      <c r="I44" s="9">
        <v>60</v>
      </c>
      <c r="J44" s="30" t="s">
        <v>1902</v>
      </c>
      <c r="K44" s="3" t="s">
        <v>39</v>
      </c>
      <c r="L44" s="3" t="s">
        <v>2350</v>
      </c>
      <c r="M44" s="9" t="s">
        <v>4515</v>
      </c>
      <c r="N44" s="34">
        <v>44541</v>
      </c>
      <c r="O44" s="3"/>
      <c r="P44" s="33">
        <v>44557</v>
      </c>
      <c r="Q44" s="3" t="s">
        <v>368</v>
      </c>
      <c r="R44" s="3">
        <v>7000</v>
      </c>
      <c r="S44" s="43">
        <v>0.0215384615384615</v>
      </c>
      <c r="T44" s="3" t="s">
        <v>10</v>
      </c>
      <c r="U44" s="44"/>
    </row>
    <row r="45" customHeight="1" spans="1:21">
      <c r="A45" s="3">
        <v>44</v>
      </c>
      <c r="B45" s="7" t="s">
        <v>4557</v>
      </c>
      <c r="C45" s="3"/>
      <c r="D45" s="8">
        <v>221501110152988</v>
      </c>
      <c r="E45" s="3" t="s">
        <v>2166</v>
      </c>
      <c r="F45" s="15">
        <v>400000</v>
      </c>
      <c r="G45" s="6"/>
      <c r="H45" s="3">
        <v>8760</v>
      </c>
      <c r="I45" s="9">
        <v>60</v>
      </c>
      <c r="J45" s="30" t="s">
        <v>411</v>
      </c>
      <c r="K45" s="3" t="s">
        <v>22</v>
      </c>
      <c r="L45" s="3" t="s">
        <v>4558</v>
      </c>
      <c r="M45" s="9" t="s">
        <v>4495</v>
      </c>
      <c r="N45" s="34">
        <v>44553</v>
      </c>
      <c r="O45" s="3"/>
      <c r="P45" s="33">
        <v>44557</v>
      </c>
      <c r="Q45" s="3" t="s">
        <v>368</v>
      </c>
      <c r="R45" s="3"/>
      <c r="S45" s="43">
        <v>0</v>
      </c>
      <c r="T45" s="3" t="s">
        <v>10</v>
      </c>
      <c r="U45" s="44"/>
    </row>
    <row r="46" customHeight="1" spans="1:21">
      <c r="A46" s="3">
        <v>45</v>
      </c>
      <c r="B46" s="7" t="s">
        <v>4559</v>
      </c>
      <c r="C46" s="3"/>
      <c r="D46" s="8">
        <v>221501110152685</v>
      </c>
      <c r="E46" s="9" t="s">
        <v>4479</v>
      </c>
      <c r="F46" s="15">
        <v>275000</v>
      </c>
      <c r="G46" s="6"/>
      <c r="H46" s="3">
        <v>6737.5</v>
      </c>
      <c r="I46" s="9">
        <v>60</v>
      </c>
      <c r="J46" s="30" t="s">
        <v>457</v>
      </c>
      <c r="K46" s="3" t="s">
        <v>22</v>
      </c>
      <c r="L46" s="3" t="s">
        <v>4534</v>
      </c>
      <c r="M46" s="9" t="s">
        <v>4495</v>
      </c>
      <c r="N46" s="34">
        <v>44553</v>
      </c>
      <c r="O46" s="3"/>
      <c r="P46" s="33">
        <v>44557</v>
      </c>
      <c r="Q46" s="3" t="s">
        <v>368</v>
      </c>
      <c r="R46" s="3"/>
      <c r="S46" s="43">
        <v>0</v>
      </c>
      <c r="T46" s="3" t="s">
        <v>10</v>
      </c>
      <c r="U46" s="44"/>
    </row>
    <row r="47" customHeight="1" spans="1:21">
      <c r="A47" s="3">
        <v>46</v>
      </c>
      <c r="B47" s="7" t="s">
        <v>4560</v>
      </c>
      <c r="C47" s="3">
        <v>125517285</v>
      </c>
      <c r="D47" s="8">
        <v>221501110152932</v>
      </c>
      <c r="E47" s="3" t="s">
        <v>463</v>
      </c>
      <c r="F47" s="16">
        <v>670000</v>
      </c>
      <c r="G47" s="6"/>
      <c r="H47" s="11">
        <v>14431.8</v>
      </c>
      <c r="I47" s="9">
        <v>60</v>
      </c>
      <c r="J47" s="30" t="s">
        <v>507</v>
      </c>
      <c r="K47" s="3" t="s">
        <v>24</v>
      </c>
      <c r="L47" s="3" t="s">
        <v>4538</v>
      </c>
      <c r="M47" s="9" t="s">
        <v>4482</v>
      </c>
      <c r="N47" s="34">
        <v>44553</v>
      </c>
      <c r="O47" s="3"/>
      <c r="P47" s="33">
        <v>44557</v>
      </c>
      <c r="Q47" s="3" t="s">
        <v>368</v>
      </c>
      <c r="R47" s="3"/>
      <c r="S47" s="43">
        <v>0</v>
      </c>
      <c r="T47" s="3"/>
      <c r="U47" s="44"/>
    </row>
    <row r="48" customHeight="1" spans="1:21">
      <c r="A48" s="3">
        <v>47</v>
      </c>
      <c r="B48" s="7" t="s">
        <v>4561</v>
      </c>
      <c r="C48" s="3" t="s">
        <v>4562</v>
      </c>
      <c r="D48" s="8">
        <v>221501110152972</v>
      </c>
      <c r="E48" s="3" t="s">
        <v>735</v>
      </c>
      <c r="F48" s="16">
        <v>550000</v>
      </c>
      <c r="G48" s="6"/>
      <c r="H48" s="3">
        <v>12045</v>
      </c>
      <c r="I48" s="9">
        <v>60</v>
      </c>
      <c r="J48" s="30" t="s">
        <v>777</v>
      </c>
      <c r="K48" s="3" t="s">
        <v>22</v>
      </c>
      <c r="L48" s="3" t="s">
        <v>4551</v>
      </c>
      <c r="M48" s="9" t="s">
        <v>4495</v>
      </c>
      <c r="N48" s="34">
        <v>44553</v>
      </c>
      <c r="O48" s="3"/>
      <c r="P48" s="33">
        <v>44557</v>
      </c>
      <c r="Q48" s="3" t="s">
        <v>368</v>
      </c>
      <c r="R48" s="3"/>
      <c r="S48" s="43">
        <v>0</v>
      </c>
      <c r="T48" s="3" t="s">
        <v>10</v>
      </c>
      <c r="U48" s="44"/>
    </row>
    <row r="49" customHeight="1" spans="1:21">
      <c r="A49" s="3">
        <v>48</v>
      </c>
      <c r="B49" s="18" t="s">
        <v>4563</v>
      </c>
      <c r="C49" s="21" t="s">
        <v>4564</v>
      </c>
      <c r="D49" s="19">
        <v>221501110152916</v>
      </c>
      <c r="E49" s="21" t="s">
        <v>683</v>
      </c>
      <c r="F49" s="16">
        <v>478000</v>
      </c>
      <c r="G49" s="28"/>
      <c r="H49" s="21"/>
      <c r="I49" s="18">
        <v>60</v>
      </c>
      <c r="J49" s="41" t="s">
        <v>1902</v>
      </c>
      <c r="K49" s="21" t="s">
        <v>39</v>
      </c>
      <c r="L49" s="21" t="s">
        <v>4491</v>
      </c>
      <c r="M49" s="18" t="s">
        <v>4474</v>
      </c>
      <c r="N49" s="34">
        <v>44557</v>
      </c>
      <c r="O49" s="3"/>
      <c r="P49" s="33">
        <v>44561</v>
      </c>
      <c r="Q49" s="3" t="s">
        <v>368</v>
      </c>
      <c r="R49" s="3">
        <v>7170</v>
      </c>
      <c r="S49" s="3"/>
      <c r="T49" s="3" t="s">
        <v>1430</v>
      </c>
      <c r="U49" s="44"/>
    </row>
    <row r="50" customHeight="1" spans="1:21">
      <c r="A50" s="3">
        <v>49</v>
      </c>
      <c r="B50" s="9" t="s">
        <v>4565</v>
      </c>
      <c r="C50" s="3" t="s">
        <v>4566</v>
      </c>
      <c r="D50" s="29"/>
      <c r="E50" s="3" t="s">
        <v>1016</v>
      </c>
      <c r="F50" s="16">
        <v>300000</v>
      </c>
      <c r="G50" s="6"/>
      <c r="H50" s="3"/>
      <c r="I50" s="9">
        <v>60</v>
      </c>
      <c r="J50" s="30" t="s">
        <v>1902</v>
      </c>
      <c r="K50" s="3" t="s">
        <v>39</v>
      </c>
      <c r="L50" s="3" t="s">
        <v>4473</v>
      </c>
      <c r="M50" s="9" t="s">
        <v>4474</v>
      </c>
      <c r="N50" s="34">
        <v>44557</v>
      </c>
      <c r="O50" s="3"/>
      <c r="P50" s="33">
        <v>44561</v>
      </c>
      <c r="Q50" s="3" t="s">
        <v>368</v>
      </c>
      <c r="R50" s="3">
        <v>6000</v>
      </c>
      <c r="S50" s="3"/>
      <c r="T50" s="3" t="s">
        <v>1430</v>
      </c>
      <c r="U50" s="44"/>
    </row>
    <row r="51" customHeight="1" spans="1:21">
      <c r="A51" s="3">
        <v>50</v>
      </c>
      <c r="B51" s="7" t="s">
        <v>4567</v>
      </c>
      <c r="C51" s="3" t="s">
        <v>4568</v>
      </c>
      <c r="D51" s="8">
        <v>221501110153060</v>
      </c>
      <c r="E51" s="3" t="s">
        <v>504</v>
      </c>
      <c r="F51" s="16">
        <v>530000</v>
      </c>
      <c r="G51" s="6"/>
      <c r="H51" s="3"/>
      <c r="I51" s="9">
        <v>60</v>
      </c>
      <c r="J51" s="30" t="s">
        <v>1902</v>
      </c>
      <c r="K51" s="3" t="s">
        <v>39</v>
      </c>
      <c r="L51" s="3" t="s">
        <v>2350</v>
      </c>
      <c r="M51" s="9" t="s">
        <v>4515</v>
      </c>
      <c r="N51" s="33">
        <v>44557</v>
      </c>
      <c r="O51" s="3"/>
      <c r="P51" s="33">
        <v>44559</v>
      </c>
      <c r="Q51" s="43" t="s">
        <v>368</v>
      </c>
      <c r="R51" s="3">
        <v>10610</v>
      </c>
      <c r="S51" s="43">
        <v>0.0200188679245283</v>
      </c>
      <c r="T51" s="3" t="s">
        <v>10</v>
      </c>
      <c r="U51" s="29"/>
    </row>
    <row r="52" customHeight="1" spans="1:21">
      <c r="A52" s="3">
        <v>51</v>
      </c>
      <c r="B52" s="9" t="s">
        <v>4569</v>
      </c>
      <c r="C52" s="3">
        <v>6220399</v>
      </c>
      <c r="D52" s="8"/>
      <c r="E52" s="3" t="s">
        <v>2166</v>
      </c>
      <c r="F52" s="3">
        <v>446000</v>
      </c>
      <c r="G52" s="6"/>
      <c r="H52" s="3"/>
      <c r="I52" s="9">
        <v>60</v>
      </c>
      <c r="J52" s="30" t="s">
        <v>457</v>
      </c>
      <c r="K52" s="3" t="s">
        <v>16</v>
      </c>
      <c r="L52" s="3" t="s">
        <v>4476</v>
      </c>
      <c r="M52" s="9" t="s">
        <v>4477</v>
      </c>
      <c r="N52" s="34">
        <v>44557</v>
      </c>
      <c r="O52" s="3"/>
      <c r="P52" s="33">
        <v>44561</v>
      </c>
      <c r="Q52" s="3" t="s">
        <v>368</v>
      </c>
      <c r="R52" s="3"/>
      <c r="S52" s="3"/>
      <c r="T52" s="3" t="s">
        <v>10</v>
      </c>
      <c r="U52" s="44">
        <v>97389490</v>
      </c>
    </row>
    <row r="53" customHeight="1" spans="1:21">
      <c r="A53" s="3">
        <v>52</v>
      </c>
      <c r="B53" s="7" t="s">
        <v>4570</v>
      </c>
      <c r="C53" s="3" t="s">
        <v>4571</v>
      </c>
      <c r="D53" s="8">
        <v>221501110152352</v>
      </c>
      <c r="E53" s="3" t="s">
        <v>735</v>
      </c>
      <c r="F53" s="3">
        <v>610000</v>
      </c>
      <c r="G53" s="6"/>
      <c r="H53" s="3">
        <v>13420</v>
      </c>
      <c r="I53" s="9">
        <v>60</v>
      </c>
      <c r="J53" s="3" t="s">
        <v>1902</v>
      </c>
      <c r="K53" s="3" t="s">
        <v>16</v>
      </c>
      <c r="L53" s="3" t="s">
        <v>4572</v>
      </c>
      <c r="M53" s="3" t="s">
        <v>4477</v>
      </c>
      <c r="N53" s="34">
        <v>44553</v>
      </c>
      <c r="O53" s="34">
        <v>44557</v>
      </c>
      <c r="P53" s="33">
        <v>44558</v>
      </c>
      <c r="Q53" s="3" t="s">
        <v>368</v>
      </c>
      <c r="R53" s="3">
        <v>8500</v>
      </c>
      <c r="S53" s="43">
        <v>0.0139344262295082</v>
      </c>
      <c r="T53" s="3"/>
      <c r="U53" s="44"/>
    </row>
    <row r="54" customHeight="1" spans="1:21">
      <c r="A54" s="3">
        <v>53</v>
      </c>
      <c r="B54" s="3" t="s">
        <v>4573</v>
      </c>
      <c r="C54" s="3">
        <v>125743771</v>
      </c>
      <c r="D54" s="8"/>
      <c r="E54" s="3" t="s">
        <v>683</v>
      </c>
      <c r="F54" s="30">
        <v>468000</v>
      </c>
      <c r="G54" s="6"/>
      <c r="H54" s="3"/>
      <c r="I54" s="9">
        <v>60</v>
      </c>
      <c r="J54" s="3" t="s">
        <v>507</v>
      </c>
      <c r="K54" s="3" t="s">
        <v>16</v>
      </c>
      <c r="L54" s="3" t="s">
        <v>4572</v>
      </c>
      <c r="M54" s="3" t="s">
        <v>4477</v>
      </c>
      <c r="N54" s="34">
        <v>44558</v>
      </c>
      <c r="O54" s="3"/>
      <c r="P54" s="33">
        <v>44561</v>
      </c>
      <c r="Q54" s="3" t="s">
        <v>368</v>
      </c>
      <c r="R54" s="3"/>
      <c r="S54" s="3"/>
      <c r="T54" s="3" t="s">
        <v>10</v>
      </c>
      <c r="U54" s="44"/>
    </row>
    <row r="55" customHeight="1" spans="1:21">
      <c r="A55" s="3">
        <v>54</v>
      </c>
      <c r="B55" s="3" t="s">
        <v>4574</v>
      </c>
      <c r="C55" s="3" t="s">
        <v>4575</v>
      </c>
      <c r="D55" s="8"/>
      <c r="E55" s="3" t="s">
        <v>735</v>
      </c>
      <c r="F55" s="30">
        <v>470000</v>
      </c>
      <c r="G55" s="6"/>
      <c r="H55" s="3"/>
      <c r="I55" s="9">
        <v>60</v>
      </c>
      <c r="J55" s="3" t="s">
        <v>1902</v>
      </c>
      <c r="K55" s="3" t="s">
        <v>39</v>
      </c>
      <c r="L55" s="9" t="s">
        <v>4576</v>
      </c>
      <c r="M55" s="3" t="s">
        <v>4515</v>
      </c>
      <c r="N55" s="34">
        <v>44559</v>
      </c>
      <c r="O55" s="3"/>
      <c r="P55" s="33">
        <v>44561</v>
      </c>
      <c r="Q55" s="3" t="s">
        <v>368</v>
      </c>
      <c r="R55" s="3">
        <v>7050</v>
      </c>
      <c r="S55" s="3"/>
      <c r="T55" s="3" t="s">
        <v>1430</v>
      </c>
      <c r="U55" s="44"/>
    </row>
    <row r="56" customHeight="1" spans="1:21">
      <c r="A56" s="3">
        <v>55</v>
      </c>
      <c r="B56" s="3" t="s">
        <v>4577</v>
      </c>
      <c r="C56" s="3" t="s">
        <v>4578</v>
      </c>
      <c r="D56" s="8"/>
      <c r="E56" s="3" t="s">
        <v>683</v>
      </c>
      <c r="F56" s="3">
        <v>265000</v>
      </c>
      <c r="G56" s="6"/>
      <c r="H56" s="3"/>
      <c r="I56" s="9">
        <v>60</v>
      </c>
      <c r="J56" s="3" t="s">
        <v>777</v>
      </c>
      <c r="K56" s="3" t="s">
        <v>16</v>
      </c>
      <c r="L56" s="9" t="s">
        <v>4579</v>
      </c>
      <c r="M56" s="3" t="s">
        <v>4477</v>
      </c>
      <c r="N56" s="34">
        <v>44559</v>
      </c>
      <c r="O56" s="3"/>
      <c r="P56" s="33">
        <v>44561</v>
      </c>
      <c r="Q56" s="3" t="s">
        <v>368</v>
      </c>
      <c r="R56" s="3">
        <v>5300</v>
      </c>
      <c r="S56" s="3"/>
      <c r="T56" s="3" t="s">
        <v>10</v>
      </c>
      <c r="U56" s="44"/>
    </row>
    <row r="57" customHeight="1" spans="1:21">
      <c r="A57" s="3">
        <v>56</v>
      </c>
      <c r="B57" s="3" t="s">
        <v>4580</v>
      </c>
      <c r="C57" s="3" t="s">
        <v>4581</v>
      </c>
      <c r="D57" s="8"/>
      <c r="E57" s="3" t="s">
        <v>1016</v>
      </c>
      <c r="F57" s="30">
        <v>450000</v>
      </c>
      <c r="G57" s="6"/>
      <c r="H57" s="3"/>
      <c r="I57" s="9">
        <v>60</v>
      </c>
      <c r="J57" s="3" t="s">
        <v>1902</v>
      </c>
      <c r="K57" s="3" t="s">
        <v>39</v>
      </c>
      <c r="L57" s="3" t="s">
        <v>4514</v>
      </c>
      <c r="M57" s="3" t="s">
        <v>4515</v>
      </c>
      <c r="N57" s="34">
        <v>44559</v>
      </c>
      <c r="O57" s="3"/>
      <c r="P57" s="33">
        <v>44561</v>
      </c>
      <c r="Q57" s="3" t="s">
        <v>368</v>
      </c>
      <c r="R57" s="3">
        <v>4500</v>
      </c>
      <c r="S57" s="3"/>
      <c r="T57" s="3" t="s">
        <v>1430</v>
      </c>
      <c r="U57" s="44"/>
    </row>
    <row r="58" customHeight="1" spans="1:21">
      <c r="A58" s="3">
        <v>57</v>
      </c>
      <c r="B58" s="7" t="s">
        <v>4582</v>
      </c>
      <c r="C58" s="3"/>
      <c r="D58" s="8">
        <v>221501110152318</v>
      </c>
      <c r="E58" s="9" t="s">
        <v>4583</v>
      </c>
      <c r="F58" s="10">
        <v>275000</v>
      </c>
      <c r="G58" s="6"/>
      <c r="H58" s="3"/>
      <c r="I58" s="9">
        <v>60</v>
      </c>
      <c r="J58" s="30" t="s">
        <v>437</v>
      </c>
      <c r="K58" s="9" t="s">
        <v>22</v>
      </c>
      <c r="L58" s="9" t="s">
        <v>4520</v>
      </c>
      <c r="M58" s="9" t="s">
        <v>4495</v>
      </c>
      <c r="N58" s="34">
        <v>44558</v>
      </c>
      <c r="O58" s="3"/>
      <c r="P58" s="33">
        <v>44560</v>
      </c>
      <c r="Q58" s="3" t="s">
        <v>368</v>
      </c>
      <c r="R58" s="3"/>
      <c r="S58" s="3"/>
      <c r="T58" s="3" t="s">
        <v>10</v>
      </c>
      <c r="U58" s="29"/>
    </row>
    <row r="59" customHeight="1" spans="1:21">
      <c r="A59" s="3">
        <v>58</v>
      </c>
      <c r="B59" s="7" t="s">
        <v>4584</v>
      </c>
      <c r="C59" s="3"/>
      <c r="D59" s="8">
        <v>221501110152481</v>
      </c>
      <c r="E59" s="9" t="s">
        <v>735</v>
      </c>
      <c r="F59" s="10">
        <v>300000</v>
      </c>
      <c r="G59" s="6"/>
      <c r="H59" s="3"/>
      <c r="I59" s="9">
        <v>60</v>
      </c>
      <c r="J59" s="30" t="s">
        <v>437</v>
      </c>
      <c r="K59" s="9" t="s">
        <v>22</v>
      </c>
      <c r="L59" s="9" t="s">
        <v>4551</v>
      </c>
      <c r="M59" s="9" t="s">
        <v>4495</v>
      </c>
      <c r="N59" s="34">
        <v>44558</v>
      </c>
      <c r="O59" s="3"/>
      <c r="P59" s="33">
        <v>44560</v>
      </c>
      <c r="Q59" s="3" t="s">
        <v>368</v>
      </c>
      <c r="R59" s="3"/>
      <c r="S59" s="3"/>
      <c r="T59" s="3" t="s">
        <v>10</v>
      </c>
      <c r="U59" s="29"/>
    </row>
    <row r="60" customHeight="1" spans="1:21">
      <c r="A60" s="3">
        <v>59</v>
      </c>
      <c r="B60" s="7" t="s">
        <v>4585</v>
      </c>
      <c r="C60" s="3"/>
      <c r="D60" s="8">
        <v>221501110152878</v>
      </c>
      <c r="E60" s="9" t="s">
        <v>735</v>
      </c>
      <c r="F60" s="10">
        <v>300000</v>
      </c>
      <c r="G60" s="6"/>
      <c r="H60" s="3"/>
      <c r="I60" s="9">
        <v>60</v>
      </c>
      <c r="J60" s="30" t="s">
        <v>777</v>
      </c>
      <c r="K60" s="9" t="s">
        <v>22</v>
      </c>
      <c r="L60" s="9" t="s">
        <v>4551</v>
      </c>
      <c r="M60" s="9" t="s">
        <v>4495</v>
      </c>
      <c r="N60" s="34">
        <v>44558</v>
      </c>
      <c r="O60" s="3"/>
      <c r="P60" s="33">
        <v>44560</v>
      </c>
      <c r="Q60" s="3" t="s">
        <v>368</v>
      </c>
      <c r="R60" s="3"/>
      <c r="S60" s="3"/>
      <c r="T60" s="3"/>
      <c r="U60" s="29"/>
    </row>
    <row r="61" customHeight="1" spans="1:21">
      <c r="A61" s="3">
        <v>60</v>
      </c>
      <c r="B61" s="7" t="s">
        <v>4586</v>
      </c>
      <c r="C61" s="9" t="s">
        <v>4587</v>
      </c>
      <c r="D61" s="8">
        <v>221501110150005</v>
      </c>
      <c r="E61" s="9" t="s">
        <v>489</v>
      </c>
      <c r="F61" s="16">
        <v>530000</v>
      </c>
      <c r="G61" s="6"/>
      <c r="H61" s="3"/>
      <c r="I61" s="9">
        <v>60</v>
      </c>
      <c r="J61" s="30" t="s">
        <v>1902</v>
      </c>
      <c r="K61" s="3" t="s">
        <v>32</v>
      </c>
      <c r="L61" s="9" t="s">
        <v>3424</v>
      </c>
      <c r="M61" s="9" t="s">
        <v>531</v>
      </c>
      <c r="N61" s="34">
        <v>44557</v>
      </c>
      <c r="O61" s="3"/>
      <c r="P61" s="33">
        <v>44560</v>
      </c>
      <c r="Q61" s="3" t="s">
        <v>368</v>
      </c>
      <c r="R61" s="3">
        <v>5300</v>
      </c>
      <c r="S61" s="3"/>
      <c r="T61" s="3" t="s">
        <v>10</v>
      </c>
      <c r="U61" s="29"/>
    </row>
    <row r="62" customHeight="1" spans="1:21">
      <c r="A62" s="3">
        <v>61</v>
      </c>
      <c r="B62" s="7" t="s">
        <v>4588</v>
      </c>
      <c r="C62" s="9" t="s">
        <v>4589</v>
      </c>
      <c r="D62" s="8">
        <v>221501110152761</v>
      </c>
      <c r="E62" s="9" t="s">
        <v>4590</v>
      </c>
      <c r="F62" s="16">
        <v>350000</v>
      </c>
      <c r="G62" s="6"/>
      <c r="H62" s="3"/>
      <c r="I62" s="9">
        <v>60</v>
      </c>
      <c r="J62" s="30" t="s">
        <v>1902</v>
      </c>
      <c r="K62" s="3" t="s">
        <v>32</v>
      </c>
      <c r="L62" s="9" t="s">
        <v>3424</v>
      </c>
      <c r="M62" s="9" t="s">
        <v>531</v>
      </c>
      <c r="N62" s="34">
        <v>44553</v>
      </c>
      <c r="O62" s="3"/>
      <c r="P62" s="33">
        <v>44560</v>
      </c>
      <c r="Q62" s="3" t="s">
        <v>368</v>
      </c>
      <c r="R62" s="3"/>
      <c r="S62" s="3"/>
      <c r="T62" s="3"/>
      <c r="U62" s="29"/>
    </row>
    <row r="63" customHeight="1" spans="1:21">
      <c r="A63" s="3">
        <v>62</v>
      </c>
      <c r="B63" s="7" t="s">
        <v>4591</v>
      </c>
      <c r="C63" s="31" t="s">
        <v>4592</v>
      </c>
      <c r="D63" s="8">
        <v>221501110152811</v>
      </c>
      <c r="E63" s="9" t="s">
        <v>1016</v>
      </c>
      <c r="F63" s="13">
        <v>498000</v>
      </c>
      <c r="G63" s="6"/>
      <c r="H63" s="3"/>
      <c r="I63" s="9">
        <v>60</v>
      </c>
      <c r="J63" s="30" t="s">
        <v>411</v>
      </c>
      <c r="K63" s="9" t="s">
        <v>39</v>
      </c>
      <c r="L63" s="9" t="s">
        <v>4473</v>
      </c>
      <c r="M63" s="9" t="s">
        <v>4474</v>
      </c>
      <c r="N63" s="34">
        <v>44558</v>
      </c>
      <c r="O63" s="3"/>
      <c r="P63" s="33">
        <v>44560</v>
      </c>
      <c r="Q63" s="43" t="s">
        <v>368</v>
      </c>
      <c r="R63" s="3"/>
      <c r="S63" s="3"/>
      <c r="T63" s="3"/>
      <c r="U63" s="29"/>
    </row>
    <row r="64" customHeight="1" spans="1:21">
      <c r="A64" s="3">
        <v>63</v>
      </c>
      <c r="B64" s="3" t="s">
        <v>4593</v>
      </c>
      <c r="C64" s="3" t="s">
        <v>4594</v>
      </c>
      <c r="D64" s="32"/>
      <c r="E64" s="3" t="s">
        <v>683</v>
      </c>
      <c r="F64" s="10"/>
      <c r="G64" s="6"/>
      <c r="H64" s="3"/>
      <c r="I64" s="9">
        <v>60</v>
      </c>
      <c r="J64" s="3" t="s">
        <v>1902</v>
      </c>
      <c r="K64" s="3" t="s">
        <v>16</v>
      </c>
      <c r="L64" s="9"/>
      <c r="M64" s="3" t="s">
        <v>4477</v>
      </c>
      <c r="N64" s="34">
        <v>44559</v>
      </c>
      <c r="O64" s="3"/>
      <c r="P64" s="33">
        <v>44561</v>
      </c>
      <c r="Q64" s="3" t="s">
        <v>368</v>
      </c>
      <c r="R64" s="3"/>
      <c r="S64" s="3"/>
      <c r="T64" s="3"/>
      <c r="U64" s="29"/>
    </row>
    <row r="65" customHeight="1" spans="1:21">
      <c r="A65" s="3">
        <v>64</v>
      </c>
      <c r="B65" s="3" t="s">
        <v>4595</v>
      </c>
      <c r="C65" s="3">
        <v>124515230</v>
      </c>
      <c r="D65" s="32"/>
      <c r="E65" s="3" t="s">
        <v>683</v>
      </c>
      <c r="F65" s="3">
        <v>400000</v>
      </c>
      <c r="G65" s="6"/>
      <c r="H65" s="3"/>
      <c r="I65" s="9">
        <v>60</v>
      </c>
      <c r="J65" s="3" t="s">
        <v>507</v>
      </c>
      <c r="K65" s="3" t="s">
        <v>16</v>
      </c>
      <c r="L65" s="9"/>
      <c r="M65" s="3" t="s">
        <v>4477</v>
      </c>
      <c r="N65" s="34">
        <v>44559</v>
      </c>
      <c r="O65" s="3"/>
      <c r="P65" s="33">
        <v>44561</v>
      </c>
      <c r="Q65" s="3" t="s">
        <v>368</v>
      </c>
      <c r="R65" s="3"/>
      <c r="S65" s="3"/>
      <c r="T65" s="3"/>
      <c r="U65" s="29"/>
    </row>
    <row r="66" customHeight="1" spans="1:21">
      <c r="A66" s="3">
        <v>65</v>
      </c>
      <c r="B66" s="27" t="s">
        <v>4596</v>
      </c>
      <c r="C66" s="3">
        <v>7850175</v>
      </c>
      <c r="D66" s="32"/>
      <c r="E66" s="3" t="s">
        <v>683</v>
      </c>
      <c r="F66" s="16">
        <v>555000</v>
      </c>
      <c r="G66" s="6"/>
      <c r="H66" s="11"/>
      <c r="I66" s="9">
        <v>60</v>
      </c>
      <c r="J66" s="30" t="s">
        <v>4407</v>
      </c>
      <c r="K66" s="3" t="s">
        <v>24</v>
      </c>
      <c r="L66" s="9"/>
      <c r="M66" s="9" t="s">
        <v>4482</v>
      </c>
      <c r="N66" s="34">
        <v>44559</v>
      </c>
      <c r="O66" s="3"/>
      <c r="P66" s="33">
        <v>44561</v>
      </c>
      <c r="Q66" s="43" t="s">
        <v>368</v>
      </c>
      <c r="R66" s="3"/>
      <c r="S66" s="3"/>
      <c r="T66" s="3"/>
      <c r="U66" s="29"/>
    </row>
    <row r="67" customHeight="1" spans="1:21">
      <c r="A67" s="3">
        <v>66</v>
      </c>
      <c r="B67" s="3" t="s">
        <v>4597</v>
      </c>
      <c r="C67" s="3">
        <v>124692311</v>
      </c>
      <c r="D67" s="45"/>
      <c r="E67" s="3" t="s">
        <v>463</v>
      </c>
      <c r="F67" s="3">
        <v>980000</v>
      </c>
      <c r="G67" s="6"/>
      <c r="H67" s="3"/>
      <c r="I67" s="9">
        <v>60</v>
      </c>
      <c r="J67" s="3" t="s">
        <v>507</v>
      </c>
      <c r="K67" s="3" t="s">
        <v>24</v>
      </c>
      <c r="L67" s="9"/>
      <c r="M67" s="9" t="s">
        <v>4482</v>
      </c>
      <c r="N67" s="34">
        <v>44559</v>
      </c>
      <c r="O67" s="43"/>
      <c r="P67" s="33">
        <v>44561</v>
      </c>
      <c r="Q67" s="3" t="s">
        <v>368</v>
      </c>
      <c r="R67" s="3"/>
      <c r="S67" s="3"/>
      <c r="T67" s="3"/>
      <c r="U67" s="29"/>
    </row>
    <row r="68" customHeight="1" spans="1:21">
      <c r="A68" s="3">
        <v>67</v>
      </c>
      <c r="B68" s="3" t="s">
        <v>4598</v>
      </c>
      <c r="C68" s="3" t="s">
        <v>4599</v>
      </c>
      <c r="D68" s="45"/>
      <c r="E68" s="3" t="s">
        <v>683</v>
      </c>
      <c r="F68" s="3">
        <v>525000</v>
      </c>
      <c r="G68" s="6"/>
      <c r="H68" s="3"/>
      <c r="I68" s="9">
        <v>60</v>
      </c>
      <c r="J68" s="3" t="s">
        <v>437</v>
      </c>
      <c r="K68" s="3" t="s">
        <v>24</v>
      </c>
      <c r="L68" s="9" t="s">
        <v>4517</v>
      </c>
      <c r="M68" s="9" t="s">
        <v>4482</v>
      </c>
      <c r="N68" s="34">
        <v>44559</v>
      </c>
      <c r="O68" s="43"/>
      <c r="P68" s="33">
        <v>44561</v>
      </c>
      <c r="Q68" s="3" t="s">
        <v>368</v>
      </c>
      <c r="R68" s="3"/>
      <c r="S68" s="3"/>
      <c r="T68" s="3"/>
      <c r="U68" s="29"/>
    </row>
    <row r="69" customHeight="1" spans="1:21">
      <c r="A69" s="3">
        <v>68</v>
      </c>
      <c r="B69" s="3" t="s">
        <v>4600</v>
      </c>
      <c r="C69" s="3"/>
      <c r="D69" s="45"/>
      <c r="E69" s="3" t="s">
        <v>489</v>
      </c>
      <c r="F69" s="3"/>
      <c r="G69" s="6"/>
      <c r="H69" s="3"/>
      <c r="I69" s="9">
        <v>60</v>
      </c>
      <c r="J69" s="3" t="s">
        <v>437</v>
      </c>
      <c r="K69" s="3" t="s">
        <v>24</v>
      </c>
      <c r="L69" s="9" t="s">
        <v>4485</v>
      </c>
      <c r="M69" s="9" t="s">
        <v>4482</v>
      </c>
      <c r="N69" s="34">
        <v>44558</v>
      </c>
      <c r="O69" s="43"/>
      <c r="P69" s="33">
        <v>44561</v>
      </c>
      <c r="Q69" s="3" t="s">
        <v>368</v>
      </c>
      <c r="R69" s="3"/>
      <c r="S69" s="3"/>
      <c r="T69" s="3"/>
      <c r="U69" s="29"/>
    </row>
    <row r="70" customHeight="1" spans="1:21">
      <c r="A70" s="3">
        <v>69</v>
      </c>
      <c r="B70" s="3" t="s">
        <v>4601</v>
      </c>
      <c r="C70" s="3"/>
      <c r="D70" s="45"/>
      <c r="E70" s="3" t="s">
        <v>4590</v>
      </c>
      <c r="F70" s="3">
        <v>250000</v>
      </c>
      <c r="G70" s="6"/>
      <c r="H70" s="3"/>
      <c r="I70" s="9">
        <v>60</v>
      </c>
      <c r="J70" s="3" t="s">
        <v>1902</v>
      </c>
      <c r="K70" s="3" t="s">
        <v>32</v>
      </c>
      <c r="L70" s="9" t="s">
        <v>3424</v>
      </c>
      <c r="M70" s="3" t="s">
        <v>531</v>
      </c>
      <c r="N70" s="34">
        <v>44557</v>
      </c>
      <c r="O70" s="3"/>
      <c r="P70" s="33">
        <v>44561</v>
      </c>
      <c r="Q70" s="3" t="s">
        <v>368</v>
      </c>
      <c r="R70" s="3"/>
      <c r="S70" s="3"/>
      <c r="T70" s="3"/>
      <c r="U70" s="29"/>
    </row>
    <row r="73" customHeight="1" spans="1:2">
      <c r="A73" s="46" t="s">
        <v>386</v>
      </c>
      <c r="B73" s="46"/>
    </row>
    <row r="74" customHeight="1" spans="1:15">
      <c r="A74" s="1" t="s">
        <v>4602</v>
      </c>
      <c r="B74" s="1" t="s">
        <v>4453</v>
      </c>
      <c r="C74" s="1" t="s">
        <v>4456</v>
      </c>
      <c r="D74" s="1" t="s">
        <v>2302</v>
      </c>
      <c r="E74" s="1" t="s">
        <v>4462</v>
      </c>
      <c r="F74" s="1" t="s">
        <v>4603</v>
      </c>
      <c r="G74" s="1" t="s">
        <v>4461</v>
      </c>
      <c r="H74" s="1" t="s">
        <v>4604</v>
      </c>
      <c r="I74" s="1" t="s">
        <v>4463</v>
      </c>
      <c r="J74" s="1" t="s">
        <v>4465</v>
      </c>
      <c r="K74" s="1" t="s">
        <v>4605</v>
      </c>
      <c r="L74" s="1" t="s">
        <v>4606</v>
      </c>
      <c r="M74" s="1" t="s">
        <v>4607</v>
      </c>
      <c r="N74" s="1" t="s">
        <v>4469</v>
      </c>
      <c r="O74" s="1" t="s">
        <v>4608</v>
      </c>
    </row>
    <row r="75" customHeight="1" spans="1:15">
      <c r="A75" s="30">
        <v>13</v>
      </c>
      <c r="B75" s="27" t="s">
        <v>4609</v>
      </c>
      <c r="C75" s="30" t="s">
        <v>504</v>
      </c>
      <c r="D75" s="47" t="s">
        <v>4491</v>
      </c>
      <c r="E75" s="30" t="s">
        <v>4474</v>
      </c>
      <c r="F75" s="30" t="s">
        <v>39</v>
      </c>
      <c r="G75" s="30" t="s">
        <v>386</v>
      </c>
      <c r="H75" s="30">
        <v>1000000</v>
      </c>
      <c r="I75" s="48"/>
      <c r="J75" s="48">
        <v>44539</v>
      </c>
      <c r="K75" s="30" t="s">
        <v>368</v>
      </c>
      <c r="L75" s="30"/>
      <c r="M75" s="30"/>
      <c r="N75" s="30"/>
      <c r="O75" s="30"/>
    </row>
    <row r="76" customHeight="1" spans="1:15">
      <c r="A76" s="30">
        <v>15</v>
      </c>
      <c r="B76" s="7" t="s">
        <v>4610</v>
      </c>
      <c r="C76" s="30" t="s">
        <v>2166</v>
      </c>
      <c r="D76" s="30" t="s">
        <v>4514</v>
      </c>
      <c r="E76" s="30" t="s">
        <v>4515</v>
      </c>
      <c r="F76" s="30" t="s">
        <v>39</v>
      </c>
      <c r="G76" s="30" t="s">
        <v>386</v>
      </c>
      <c r="H76" s="10">
        <v>320000</v>
      </c>
      <c r="I76" s="48">
        <v>44540</v>
      </c>
      <c r="J76" s="48"/>
      <c r="K76" s="30" t="s">
        <v>368</v>
      </c>
      <c r="L76" s="30"/>
      <c r="M76" s="30"/>
      <c r="N76" s="30" t="s">
        <v>10</v>
      </c>
      <c r="O76" s="30">
        <v>10155819</v>
      </c>
    </row>
    <row r="77" hidden="1" customHeight="1" spans="1:15">
      <c r="A77" s="30">
        <v>16</v>
      </c>
      <c r="B77" s="27" t="s">
        <v>4611</v>
      </c>
      <c r="C77" s="30" t="s">
        <v>463</v>
      </c>
      <c r="D77" s="30" t="s">
        <v>4612</v>
      </c>
      <c r="E77" s="30" t="s">
        <v>4613</v>
      </c>
      <c r="F77" s="30" t="s">
        <v>39</v>
      </c>
      <c r="G77" s="30" t="s">
        <v>386</v>
      </c>
      <c r="H77" s="10">
        <v>411000</v>
      </c>
      <c r="I77" s="48">
        <v>44540</v>
      </c>
      <c r="J77" s="48"/>
      <c r="K77" s="30" t="s">
        <v>300</v>
      </c>
      <c r="L77" s="30"/>
      <c r="M77" s="30"/>
      <c r="N77" s="30" t="s">
        <v>1430</v>
      </c>
      <c r="O77" s="30">
        <v>10159331</v>
      </c>
    </row>
    <row r="78" customHeight="1" spans="1:15">
      <c r="A78" s="30">
        <v>26</v>
      </c>
      <c r="B78" s="27" t="s">
        <v>4614</v>
      </c>
      <c r="C78" s="30" t="s">
        <v>4615</v>
      </c>
      <c r="D78" s="30" t="s">
        <v>3424</v>
      </c>
      <c r="E78" s="30" t="s">
        <v>531</v>
      </c>
      <c r="F78" s="30" t="s">
        <v>32</v>
      </c>
      <c r="G78" s="48" t="s">
        <v>386</v>
      </c>
      <c r="H78" s="30">
        <v>450000</v>
      </c>
      <c r="I78" s="48"/>
      <c r="J78" s="48">
        <v>44548</v>
      </c>
      <c r="K78" s="30" t="s">
        <v>368</v>
      </c>
      <c r="L78" s="30" t="s">
        <v>31</v>
      </c>
      <c r="M78" s="30"/>
      <c r="N78" s="30"/>
      <c r="O78" s="30"/>
    </row>
    <row r="79" hidden="1" customHeight="1" spans="1:15">
      <c r="A79" s="30">
        <v>46</v>
      </c>
      <c r="B79" s="27" t="s">
        <v>4616</v>
      </c>
      <c r="C79" s="30" t="s">
        <v>4617</v>
      </c>
      <c r="D79" s="30" t="s">
        <v>4471</v>
      </c>
      <c r="E79" s="30" t="s">
        <v>4474</v>
      </c>
      <c r="F79" s="30" t="s">
        <v>39</v>
      </c>
      <c r="G79" s="48" t="s">
        <v>386</v>
      </c>
      <c r="H79" s="10">
        <v>275000</v>
      </c>
      <c r="I79" s="48">
        <v>44558</v>
      </c>
      <c r="J79" s="48"/>
      <c r="K79" s="30" t="s">
        <v>300</v>
      </c>
      <c r="L79" s="30"/>
      <c r="M79" s="30"/>
      <c r="N79" s="30" t="s">
        <v>1430</v>
      </c>
      <c r="O79" s="30">
        <v>11535377</v>
      </c>
    </row>
    <row r="80" hidden="1" customHeight="1" spans="1:15">
      <c r="A80" s="30">
        <v>48</v>
      </c>
      <c r="B80" s="27" t="s">
        <v>4618</v>
      </c>
      <c r="C80" s="30" t="s">
        <v>2166</v>
      </c>
      <c r="D80" s="30" t="s">
        <v>4619</v>
      </c>
      <c r="E80" s="30" t="s">
        <v>4515</v>
      </c>
      <c r="F80" s="30" t="s">
        <v>39</v>
      </c>
      <c r="G80" s="48" t="s">
        <v>386</v>
      </c>
      <c r="H80" s="10">
        <v>400000</v>
      </c>
      <c r="I80" s="48">
        <v>44559</v>
      </c>
      <c r="J80" s="48"/>
      <c r="K80" s="30" t="s">
        <v>300</v>
      </c>
      <c r="L80" s="30"/>
      <c r="M80" s="30"/>
      <c r="N80" s="30" t="s">
        <v>1430</v>
      </c>
      <c r="O80" s="30">
        <v>11605907</v>
      </c>
    </row>
    <row r="81" hidden="1" customHeight="1" spans="1:15">
      <c r="A81" s="30">
        <v>49</v>
      </c>
      <c r="B81" s="27" t="s">
        <v>4620</v>
      </c>
      <c r="C81" s="30" t="s">
        <v>504</v>
      </c>
      <c r="D81" s="30" t="s">
        <v>4621</v>
      </c>
      <c r="E81" s="30" t="s">
        <v>261</v>
      </c>
      <c r="F81" s="30" t="s">
        <v>39</v>
      </c>
      <c r="G81" s="48" t="s">
        <v>386</v>
      </c>
      <c r="H81" s="10">
        <v>560000</v>
      </c>
      <c r="I81" s="48">
        <v>44559</v>
      </c>
      <c r="J81" s="48"/>
      <c r="K81" s="30" t="s">
        <v>300</v>
      </c>
      <c r="L81" s="30"/>
      <c r="M81" s="30"/>
      <c r="N81" s="30" t="s">
        <v>1430</v>
      </c>
      <c r="O81" s="30">
        <v>11608955</v>
      </c>
    </row>
    <row r="82" customHeight="1" spans="1:15">
      <c r="A82" s="30">
        <v>52</v>
      </c>
      <c r="B82" s="27" t="s">
        <v>4622</v>
      </c>
      <c r="C82" s="30" t="s">
        <v>463</v>
      </c>
      <c r="D82" s="30" t="s">
        <v>4532</v>
      </c>
      <c r="E82" s="30" t="s">
        <v>4495</v>
      </c>
      <c r="F82" s="30" t="s">
        <v>22</v>
      </c>
      <c r="G82" s="48" t="s">
        <v>386</v>
      </c>
      <c r="H82" s="10">
        <v>410000</v>
      </c>
      <c r="I82" s="48"/>
      <c r="J82" s="48">
        <v>44560</v>
      </c>
      <c r="K82" s="30" t="s">
        <v>368</v>
      </c>
      <c r="L82" s="30"/>
      <c r="M82" s="30"/>
      <c r="N82" s="30"/>
      <c r="O82" s="30"/>
    </row>
  </sheetData>
  <autoFilter xmlns:etc="http://www.wps.cn/officeDocument/2017/etCustomData" ref="A74:U82" etc:filterBottomFollowUsedRange="0">
    <filterColumn colId="10">
      <customFilters>
        <customFilter operator="equal" val="DISBURSED"/>
      </customFilters>
    </filterColumn>
    <extLst/>
  </autoFilter>
  <mergeCells count="1">
    <mergeCell ref="A73:B73"/>
  </mergeCells>
  <conditionalFormatting sqref="C1">
    <cfRule type="duplicateValues" dxfId="2" priority="77"/>
  </conditionalFormatting>
  <conditionalFormatting sqref="D1">
    <cfRule type="duplicateValues" dxfId="2" priority="76"/>
  </conditionalFormatting>
  <conditionalFormatting sqref="U1">
    <cfRule type="duplicateValues" dxfId="0" priority="74" stopIfTrue="1"/>
  </conditionalFormatting>
  <conditionalFormatting sqref="C2">
    <cfRule type="duplicateValues" dxfId="2" priority="73"/>
  </conditionalFormatting>
  <conditionalFormatting sqref="C6">
    <cfRule type="duplicateValues" dxfId="2" priority="72"/>
  </conditionalFormatting>
  <conditionalFormatting sqref="C10">
    <cfRule type="duplicateValues" dxfId="2" priority="71"/>
  </conditionalFormatting>
  <conditionalFormatting sqref="L15">
    <cfRule type="duplicateValues" dxfId="2" priority="30"/>
  </conditionalFormatting>
  <conditionalFormatting sqref="C26">
    <cfRule type="duplicateValues" dxfId="2" priority="70"/>
  </conditionalFormatting>
  <conditionalFormatting sqref="C27">
    <cfRule type="duplicateValues" dxfId="2" priority="69"/>
  </conditionalFormatting>
  <conditionalFormatting sqref="C28">
    <cfRule type="duplicateValues" dxfId="2" priority="35"/>
  </conditionalFormatting>
  <conditionalFormatting sqref="C29">
    <cfRule type="duplicateValues" dxfId="2" priority="68"/>
  </conditionalFormatting>
  <conditionalFormatting sqref="C30">
    <cfRule type="duplicateValues" dxfId="2" priority="67"/>
  </conditionalFormatting>
  <conditionalFormatting sqref="C31">
    <cfRule type="duplicateValues" dxfId="2" priority="66"/>
  </conditionalFormatting>
  <conditionalFormatting sqref="C32">
    <cfRule type="duplicateValues" dxfId="2" priority="65"/>
  </conditionalFormatting>
  <conditionalFormatting sqref="C33">
    <cfRule type="duplicateValues" dxfId="2" priority="64"/>
  </conditionalFormatting>
  <conditionalFormatting sqref="C34">
    <cfRule type="duplicateValues" dxfId="2" priority="63"/>
  </conditionalFormatting>
  <conditionalFormatting sqref="C35">
    <cfRule type="duplicateValues" dxfId="2" priority="62"/>
  </conditionalFormatting>
  <conditionalFormatting sqref="C36">
    <cfRule type="duplicateValues" dxfId="2" priority="61"/>
  </conditionalFormatting>
  <conditionalFormatting sqref="C37">
    <cfRule type="duplicateValues" dxfId="2" priority="60"/>
  </conditionalFormatting>
  <conditionalFormatting sqref="C38">
    <cfRule type="duplicateValues" dxfId="2" priority="59"/>
  </conditionalFormatting>
  <conditionalFormatting sqref="C39">
    <cfRule type="duplicateValues" dxfId="2" priority="58"/>
  </conditionalFormatting>
  <conditionalFormatting sqref="C40">
    <cfRule type="duplicateValues" dxfId="2" priority="57"/>
  </conditionalFormatting>
  <conditionalFormatting sqref="C41">
    <cfRule type="duplicateValues" dxfId="2" priority="56"/>
  </conditionalFormatting>
  <conditionalFormatting sqref="C42">
    <cfRule type="duplicateValues" dxfId="2" priority="55"/>
  </conditionalFormatting>
  <conditionalFormatting sqref="C43">
    <cfRule type="duplicateValues" dxfId="2" priority="54"/>
  </conditionalFormatting>
  <conditionalFormatting sqref="C44">
    <cfRule type="duplicateValues" dxfId="2" priority="53"/>
  </conditionalFormatting>
  <conditionalFormatting sqref="C45">
    <cfRule type="duplicateValues" dxfId="2" priority="52"/>
  </conditionalFormatting>
  <conditionalFormatting sqref="C46">
    <cfRule type="duplicateValues" dxfId="2" priority="51"/>
  </conditionalFormatting>
  <conditionalFormatting sqref="C47">
    <cfRule type="duplicateValues" dxfId="2" priority="50"/>
  </conditionalFormatting>
  <conditionalFormatting sqref="C48">
    <cfRule type="duplicateValues" dxfId="2" priority="49"/>
  </conditionalFormatting>
  <conditionalFormatting sqref="C49">
    <cfRule type="duplicateValues" dxfId="2" priority="48"/>
  </conditionalFormatting>
  <conditionalFormatting sqref="C50">
    <cfRule type="duplicateValues" dxfId="2" priority="47"/>
  </conditionalFormatting>
  <conditionalFormatting sqref="B51">
    <cfRule type="duplicateValues" dxfId="2" priority="43"/>
  </conditionalFormatting>
  <conditionalFormatting sqref="C51">
    <cfRule type="duplicateValues" dxfId="2" priority="42"/>
  </conditionalFormatting>
  <conditionalFormatting sqref="C52">
    <cfRule type="duplicateValues" dxfId="2" priority="46"/>
  </conditionalFormatting>
  <conditionalFormatting sqref="C53">
    <cfRule type="duplicateValues" dxfId="2" priority="45"/>
  </conditionalFormatting>
  <conditionalFormatting sqref="C54">
    <cfRule type="duplicateValues" dxfId="2" priority="44"/>
  </conditionalFormatting>
  <conditionalFormatting sqref="B55">
    <cfRule type="duplicateValues" dxfId="2" priority="41"/>
  </conditionalFormatting>
  <conditionalFormatting sqref="C55">
    <cfRule type="duplicateValues" dxfId="2" priority="38"/>
  </conditionalFormatting>
  <conditionalFormatting sqref="B56">
    <cfRule type="duplicateValues" dxfId="2" priority="40"/>
  </conditionalFormatting>
  <conditionalFormatting sqref="C56">
    <cfRule type="duplicateValues" dxfId="2" priority="37"/>
  </conditionalFormatting>
  <conditionalFormatting sqref="B57">
    <cfRule type="duplicateValues" dxfId="2" priority="39"/>
  </conditionalFormatting>
  <conditionalFormatting sqref="C57">
    <cfRule type="duplicateValues" dxfId="2" priority="36"/>
  </conditionalFormatting>
  <conditionalFormatting sqref="B63">
    <cfRule type="duplicateValues" dxfId="2" priority="32"/>
  </conditionalFormatting>
  <conditionalFormatting sqref="C63">
    <cfRule type="duplicateValues" dxfId="2" priority="31"/>
  </conditionalFormatting>
  <conditionalFormatting sqref="B64">
    <cfRule type="duplicateValues" dxfId="2" priority="29"/>
  </conditionalFormatting>
  <conditionalFormatting sqref="C64">
    <cfRule type="duplicateValues" dxfId="2" priority="28"/>
  </conditionalFormatting>
  <conditionalFormatting sqref="B65">
    <cfRule type="duplicateValues" dxfId="2" priority="27"/>
  </conditionalFormatting>
  <conditionalFormatting sqref="C65">
    <cfRule type="duplicateValues" dxfId="2" priority="26"/>
  </conditionalFormatting>
  <conditionalFormatting sqref="B66">
    <cfRule type="duplicateValues" dxfId="2" priority="25"/>
  </conditionalFormatting>
  <conditionalFormatting sqref="C66">
    <cfRule type="duplicateValues" dxfId="2" priority="24"/>
  </conditionalFormatting>
  <conditionalFormatting sqref="B67">
    <cfRule type="duplicateValues" dxfId="2" priority="23"/>
  </conditionalFormatting>
  <conditionalFormatting sqref="D67">
    <cfRule type="duplicateValues" dxfId="2" priority="20"/>
  </conditionalFormatting>
  <conditionalFormatting sqref="B68">
    <cfRule type="duplicateValues" dxfId="2" priority="22"/>
  </conditionalFormatting>
  <conditionalFormatting sqref="D68">
    <cfRule type="duplicateValues" dxfId="2" priority="19"/>
  </conditionalFormatting>
  <conditionalFormatting sqref="B69">
    <cfRule type="duplicateValues" dxfId="2" priority="21"/>
  </conditionalFormatting>
  <conditionalFormatting sqref="D69">
    <cfRule type="duplicateValues" dxfId="2" priority="18"/>
  </conditionalFormatting>
  <conditionalFormatting sqref="D70">
    <cfRule type="duplicateValues" dxfId="2" priority="79"/>
  </conditionalFormatting>
  <conditionalFormatting sqref="B74">
    <cfRule type="duplicateValues" dxfId="2" priority="16"/>
  </conditionalFormatting>
  <conditionalFormatting sqref="N74:O74">
    <cfRule type="duplicateValues" dxfId="0" priority="14" stopIfTrue="1"/>
  </conditionalFormatting>
  <conditionalFormatting sqref="B75">
    <cfRule type="duplicateValues" dxfId="2" priority="12"/>
  </conditionalFormatting>
  <conditionalFormatting sqref="D75">
    <cfRule type="duplicateValues" dxfId="2" priority="9"/>
  </conditionalFormatting>
  <conditionalFormatting sqref="F75">
    <cfRule type="duplicateValues" dxfId="2" priority="13"/>
  </conditionalFormatting>
  <conditionalFormatting sqref="B76">
    <cfRule type="duplicateValues" dxfId="2" priority="6"/>
  </conditionalFormatting>
  <conditionalFormatting sqref="D76">
    <cfRule type="duplicateValues" dxfId="2" priority="5"/>
  </conditionalFormatting>
  <conditionalFormatting sqref="B77">
    <cfRule type="duplicateValues" dxfId="2" priority="11"/>
  </conditionalFormatting>
  <conditionalFormatting sqref="B78">
    <cfRule type="duplicateValues" dxfId="2" priority="8"/>
  </conditionalFormatting>
  <conditionalFormatting sqref="D78">
    <cfRule type="duplicateValues" dxfId="2" priority="7"/>
  </conditionalFormatting>
  <conditionalFormatting sqref="B79">
    <cfRule type="duplicateValues" dxfId="2" priority="4"/>
  </conditionalFormatting>
  <conditionalFormatting sqref="B80">
    <cfRule type="duplicateValues" dxfId="2" priority="3"/>
  </conditionalFormatting>
  <conditionalFormatting sqref="B81">
    <cfRule type="duplicateValues" dxfId="2" priority="2"/>
  </conditionalFormatting>
  <conditionalFormatting sqref="B82">
    <cfRule type="duplicateValues" dxfId="2" priority="1"/>
  </conditionalFormatting>
  <conditionalFormatting sqref="B58:B60">
    <cfRule type="duplicateValues" dxfId="2" priority="34"/>
  </conditionalFormatting>
  <conditionalFormatting sqref="B61:B62">
    <cfRule type="duplicateValues" dxfId="2" priority="33"/>
  </conditionalFormatting>
  <conditionalFormatting sqref="C67:C69">
    <cfRule type="duplicateValues" dxfId="2" priority="17"/>
  </conditionalFormatting>
  <conditionalFormatting sqref="A1 E1:L1 N1:S1">
    <cfRule type="duplicateValues" dxfId="0" priority="75" stopIfTrue="1"/>
  </conditionalFormatting>
  <conditionalFormatting sqref="B1 B2 B3 B4 B5 B6 B7:B9 B10 B11:B12 B13 B14 B15:B16 B17 B18:B20 B21:B25 B26:B27 B28 B29:B34 B35 B36 B37:B50 B52 B53 B54 B70">
    <cfRule type="duplicateValues" dxfId="2" priority="80"/>
  </conditionalFormatting>
  <conditionalFormatting sqref="C4 C5 C7:C9 C12 C23:C25 C58:C60 C70">
    <cfRule type="duplicateValues" dxfId="2" priority="78"/>
  </conditionalFormatting>
  <conditionalFormatting sqref="A74 D74:F74 H74:J74 L74:M74">
    <cfRule type="duplicateValues" dxfId="0" priority="15" stopIfTrue="1"/>
  </conditionalFormatting>
  <conditionalFormatting sqref="O75 O76:O77">
    <cfRule type="duplicateValues" dxfId="2" priority="10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OUTLET WISE  </vt:lpstr>
      <vt:lpstr>DSE</vt:lpstr>
      <vt:lpstr>TL</vt:lpstr>
      <vt:lpstr>Outlet</vt:lpstr>
      <vt:lpstr>Finance</vt:lpstr>
      <vt:lpstr>Arena+Nexa</vt:lpstr>
      <vt:lpstr>RETAIL</vt:lpstr>
      <vt:lpstr>IH</vt:lpstr>
      <vt:lpstr>Booking</vt:lpstr>
      <vt:lpstr>Allotment</vt:lpstr>
      <vt:lpstr>Report</vt:lpstr>
      <vt:lpstr>Report 2</vt:lpstr>
      <vt:lpstr>Emp</vt:lpstr>
      <vt:lpstr>Sheet1</vt:lpstr>
      <vt:lpstr>ERP</vt:lpstr>
      <vt:lpstr>Sheet4</vt:lpstr>
      <vt:lpstr>Sheet6</vt:lpstr>
      <vt:lpstr>EQUA</vt:lpstr>
      <vt:lpstr>Location wise vol.</vt:lpstr>
      <vt:lpstr>FORMULA</vt:lpstr>
      <vt:lpstr>THCR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cc1</dc:creator>
  <cp:lastModifiedBy>Rino Mathew</cp:lastModifiedBy>
  <cp:revision>1</cp:revision>
  <dcterms:created xsi:type="dcterms:W3CDTF">2018-09-04T09:01:00Z</dcterms:created>
  <dcterms:modified xsi:type="dcterms:W3CDTF">2026-03-30T11:07:31Z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KSOReadingLayout">
    <vt:bool>true</vt:bool>
  </property>
  <property fmtid="{D5CDD505-2E9C-101B-9397-08002B2CF9AE}" pid="4" name="ICV">
    <vt:lpwstr>BFB54C4F1C0545F1AC721148EFB8CE77_13</vt:lpwstr>
  </property>
</Properties>
</file>